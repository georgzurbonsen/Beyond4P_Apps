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0BF130DF-63E0-458F-8E54-F781FDC8A0A7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Confirmed" sheetId="118" r:id="rId3"/>
    <sheet name="Confirmed Day Zero" sheetId="119" r:id="rId4"/>
    <sheet name="Confirmed Trend" sheetId="120" r:id="rId5"/>
    <sheet name="Recovered" sheetId="121" r:id="rId6"/>
    <sheet name="Recovered Predicted" sheetId="122" r:id="rId7"/>
    <sheet name="Deaths" sheetId="123" r:id="rId8"/>
  </sheets>
  <definedNames>
    <definedName name="_xlnm._FilterDatabase" localSheetId="0" hidden="1">'4 Country Dashboard'!$B$21:$C$1045</definedName>
    <definedName name="_xlnm._FilterDatabase" localSheetId="2" hidden="1">Confirmed!$A$1:$BP$1</definedName>
    <definedName name="_xlnm._FilterDatabase" localSheetId="3" hidden="1">'Confirmed Day Zero'!$A$1:$BP$1</definedName>
    <definedName name="_xlnm._FilterDatabase" localSheetId="4" hidden="1">'Confirmed Trend'!$A$1:$BQ$1</definedName>
    <definedName name="_xlnm._FilterDatabase" localSheetId="7" hidden="1">Deaths!$A$1:$BR$1</definedName>
    <definedName name="_xlnm._FilterDatabase" localSheetId="5" hidden="1">Recovered!$A$1:$BP$1</definedName>
    <definedName name="_xlnm._FilterDatabase" localSheetId="6" hidden="1">'Recovered Predicted'!$A$1:$BP$1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2" i="15" l="1"/>
  <c r="C102" i="15"/>
  <c r="D39" i="15" a="1"/>
  <c r="D39" i="15" l="1"/>
  <c r="B41" i="15"/>
  <c r="B42" i="15" s="1"/>
  <c r="B43" i="15" s="1"/>
  <c r="B103" i="15" s="1"/>
  <c r="C40" i="15" a="1"/>
  <c r="E38" i="15"/>
  <c r="K5" i="8"/>
  <c r="C43" i="15" a="1"/>
  <c r="C41" i="15" a="1"/>
  <c r="C42" i="15" a="1"/>
  <c r="D43" i="15" a="1"/>
  <c r="D43" i="15" l="1"/>
  <c r="D103" i="15" s="1"/>
  <c r="C42" i="15"/>
  <c r="C43" i="15"/>
  <c r="C103" i="15" s="1"/>
  <c r="C41" i="15"/>
  <c r="C40" i="15"/>
  <c r="F38" i="15"/>
  <c r="B44" i="15"/>
  <c r="C91" i="8"/>
  <c r="C90" i="8"/>
  <c r="C89" i="8"/>
  <c r="C88" i="8"/>
  <c r="C85" i="8"/>
  <c r="C84" i="8"/>
  <c r="C83" i="8"/>
  <c r="C82" i="8"/>
  <c r="C79" i="8"/>
  <c r="C78" i="8"/>
  <c r="C77" i="8"/>
  <c r="C76" i="8"/>
  <c r="C73" i="8"/>
  <c r="C72" i="8"/>
  <c r="C71" i="8"/>
  <c r="C70" i="8"/>
  <c r="C67" i="8"/>
  <c r="C66" i="8"/>
  <c r="C65" i="8"/>
  <c r="C64" i="8"/>
  <c r="C61" i="8"/>
  <c r="C60" i="8"/>
  <c r="C59" i="8"/>
  <c r="C58" i="8"/>
  <c r="C55" i="8"/>
  <c r="C54" i="8"/>
  <c r="C53" i="8"/>
  <c r="C52" i="8"/>
  <c r="E43" i="15" a="1"/>
  <c r="B73" i="8"/>
  <c r="B10" i="8"/>
  <c r="D44" i="15" a="1"/>
  <c r="B61" i="8"/>
  <c r="F40" i="15" a="1"/>
  <c r="C44" i="15" a="1"/>
  <c r="B67" i="8"/>
  <c r="E42" i="15" a="1"/>
  <c r="B11" i="8"/>
  <c r="E44" i="15" a="1"/>
  <c r="B55" i="8"/>
  <c r="B91" i="8"/>
  <c r="E41" i="15" a="1"/>
  <c r="B7" i="8"/>
  <c r="B8" i="8"/>
  <c r="B9" i="8"/>
  <c r="E40" i="15" a="1"/>
  <c r="F39" i="15" a="1"/>
  <c r="D102" i="15" l="1"/>
  <c r="D44" i="15"/>
  <c r="D104" i="15" s="1"/>
  <c r="B104" i="15"/>
  <c r="C44" i="15"/>
  <c r="C104" i="15" s="1"/>
  <c r="E44" i="15"/>
  <c r="E43" i="15"/>
  <c r="E103" i="15" s="1"/>
  <c r="E41" i="15"/>
  <c r="E42" i="15"/>
  <c r="E40" i="15"/>
  <c r="F40" i="15"/>
  <c r="G38" i="15"/>
  <c r="F39" i="15"/>
  <c r="F102" i="15" s="1"/>
  <c r="B45" i="15"/>
  <c r="L5" i="8"/>
  <c r="M5" i="8" s="1"/>
  <c r="D88" i="8"/>
  <c r="D89" i="8" s="1"/>
  <c r="D90" i="8" s="1"/>
  <c r="D91" i="8" s="1"/>
  <c r="D82" i="8"/>
  <c r="D83" i="8" s="1"/>
  <c r="D84" i="8" s="1"/>
  <c r="D85" i="8" s="1"/>
  <c r="D76" i="8"/>
  <c r="D77" i="8" s="1"/>
  <c r="D78" i="8" s="1"/>
  <c r="D79" i="8" s="1"/>
  <c r="D70" i="8"/>
  <c r="D71" i="8" s="1"/>
  <c r="D72" i="8" s="1"/>
  <c r="D73" i="8" s="1"/>
  <c r="D64" i="8"/>
  <c r="D65" i="8" s="1"/>
  <c r="D66" i="8" s="1"/>
  <c r="D67" i="8" s="1"/>
  <c r="D58" i="8"/>
  <c r="D59" i="8" s="1"/>
  <c r="D60" i="8" s="1"/>
  <c r="D61" i="8" s="1"/>
  <c r="D52" i="8"/>
  <c r="D53" i="8" s="1"/>
  <c r="D54" i="8" s="1"/>
  <c r="D55" i="8" s="1"/>
  <c r="I8" i="8" a="1"/>
  <c r="B59" i="8"/>
  <c r="B70" i="8"/>
  <c r="G9" i="8" a="1"/>
  <c r="K9" i="8" a="1"/>
  <c r="E9" i="8" a="1"/>
  <c r="F41" i="15" a="1"/>
  <c r="J9" i="8" a="1"/>
  <c r="K8" i="8" a="1"/>
  <c r="F10" i="8" a="1"/>
  <c r="E61" i="8" a="1"/>
  <c r="H11" i="8" a="1"/>
  <c r="E10" i="8" a="1"/>
  <c r="E67" i="8" a="1"/>
  <c r="C45" i="15" a="1"/>
  <c r="F43" i="15" a="1"/>
  <c r="G8" i="8" a="1"/>
  <c r="L8" i="8" a="1"/>
  <c r="M11" i="8" a="1"/>
  <c r="M9" i="8" a="1"/>
  <c r="B71" i="8"/>
  <c r="E73" i="8" a="1"/>
  <c r="H8" i="8" a="1"/>
  <c r="L11" i="8" a="1"/>
  <c r="F44" i="15" a="1"/>
  <c r="D45" i="15" a="1"/>
  <c r="E91" i="8" a="1"/>
  <c r="F11" i="8" a="1"/>
  <c r="F42" i="15" a="1"/>
  <c r="E55" i="8" a="1"/>
  <c r="G39" i="15" a="1"/>
  <c r="B66" i="8"/>
  <c r="B51" i="8"/>
  <c r="I11" i="8" a="1"/>
  <c r="K10" i="8" a="1"/>
  <c r="B89" i="8"/>
  <c r="B65" i="8"/>
  <c r="G10" i="8" a="1"/>
  <c r="J8" i="8" a="1"/>
  <c r="J11" i="8" a="1"/>
  <c r="B63" i="8"/>
  <c r="B64" i="8"/>
  <c r="I9" i="8" a="1"/>
  <c r="E45" i="15" a="1"/>
  <c r="F8" i="8" a="1"/>
  <c r="B69" i="8"/>
  <c r="H10" i="8" a="1"/>
  <c r="M8" i="8" a="1"/>
  <c r="B52" i="8"/>
  <c r="F45" i="15" a="1"/>
  <c r="B90" i="8"/>
  <c r="B53" i="8"/>
  <c r="K11" i="8" a="1"/>
  <c r="B57" i="8"/>
  <c r="B58" i="8"/>
  <c r="H9" i="8" a="1"/>
  <c r="B54" i="8"/>
  <c r="F9" i="8" a="1"/>
  <c r="I10" i="8" a="1"/>
  <c r="G11" i="8" a="1"/>
  <c r="B60" i="8"/>
  <c r="J10" i="8" a="1"/>
  <c r="E11" i="8" a="1"/>
  <c r="B72" i="8"/>
  <c r="E8" i="8" a="1"/>
  <c r="E104" i="15" l="1"/>
  <c r="D45" i="15"/>
  <c r="D105" i="15" s="1"/>
  <c r="B105" i="15"/>
  <c r="C45" i="15"/>
  <c r="C105" i="15" s="1"/>
  <c r="E45" i="15"/>
  <c r="F45" i="15"/>
  <c r="F43" i="15"/>
  <c r="F103" i="15" s="1"/>
  <c r="F44" i="15"/>
  <c r="F104" i="15" s="1"/>
  <c r="F41" i="15"/>
  <c r="F42" i="15"/>
  <c r="H38" i="15"/>
  <c r="G39" i="15"/>
  <c r="G102" i="15" s="1"/>
  <c r="B46" i="15"/>
  <c r="M9" i="8"/>
  <c r="M11" i="8"/>
  <c r="M8" i="8"/>
  <c r="L11" i="8"/>
  <c r="L8" i="8"/>
  <c r="K8" i="8"/>
  <c r="K9" i="8"/>
  <c r="K10" i="8"/>
  <c r="K11" i="8"/>
  <c r="J8" i="8"/>
  <c r="J11" i="8"/>
  <c r="J9" i="8"/>
  <c r="J10" i="8"/>
  <c r="I9" i="8"/>
  <c r="I8" i="8"/>
  <c r="I11" i="8"/>
  <c r="I10" i="8"/>
  <c r="H8" i="8"/>
  <c r="H11" i="8"/>
  <c r="H10" i="8"/>
  <c r="H9" i="8"/>
  <c r="G11" i="8"/>
  <c r="G10" i="8"/>
  <c r="G9" i="8"/>
  <c r="G8" i="8"/>
  <c r="F8" i="8"/>
  <c r="F11" i="8"/>
  <c r="F9" i="8"/>
  <c r="F10" i="8"/>
  <c r="E11" i="8"/>
  <c r="E10" i="8"/>
  <c r="E9" i="8"/>
  <c r="E8" i="8"/>
  <c r="E91" i="8"/>
  <c r="E73" i="8"/>
  <c r="E67" i="8"/>
  <c r="E61" i="8"/>
  <c r="E55" i="8"/>
  <c r="F49" i="8"/>
  <c r="D46" i="15" a="1"/>
  <c r="F89" i="8" a="1"/>
  <c r="G41" i="15" a="1"/>
  <c r="F57" i="8" a="1"/>
  <c r="E54" i="8" a="1"/>
  <c r="G40" i="15" a="1"/>
  <c r="F91" i="8" a="1"/>
  <c r="E89" i="8" a="1"/>
  <c r="E59" i="8" a="1"/>
  <c r="F69" i="8" a="1"/>
  <c r="E90" i="8" a="1"/>
  <c r="F58" i="8" a="1"/>
  <c r="E51" i="8" a="1"/>
  <c r="F51" i="8" a="1"/>
  <c r="F46" i="15" a="1"/>
  <c r="L9" i="8" a="1"/>
  <c r="E63" i="8" a="1"/>
  <c r="H39" i="15" a="1"/>
  <c r="F73" i="8" a="1"/>
  <c r="F61" i="8" a="1"/>
  <c r="E70" i="8" a="1"/>
  <c r="E53" i="8" a="1"/>
  <c r="E60" i="8" a="1"/>
  <c r="E46" i="15" a="1"/>
  <c r="C46" i="15" a="1"/>
  <c r="E71" i="8" a="1"/>
  <c r="E72" i="8" a="1"/>
  <c r="G45" i="15" a="1"/>
  <c r="F53" i="8" a="1"/>
  <c r="F52" i="8" a="1"/>
  <c r="F63" i="8" a="1"/>
  <c r="E64" i="8" a="1"/>
  <c r="F55" i="8" a="1"/>
  <c r="E58" i="8" a="1"/>
  <c r="G43" i="15" a="1"/>
  <c r="E66" i="8" a="1"/>
  <c r="F65" i="8" a="1"/>
  <c r="L10" i="8" a="1"/>
  <c r="G42" i="15" a="1"/>
  <c r="E52" i="8" a="1"/>
  <c r="E69" i="8" a="1"/>
  <c r="F71" i="8" a="1"/>
  <c r="E65" i="8" a="1"/>
  <c r="B88" i="8"/>
  <c r="G46" i="15" a="1"/>
  <c r="F64" i="8" a="1"/>
  <c r="G44" i="15" a="1"/>
  <c r="F54" i="8" a="1"/>
  <c r="F60" i="8" a="1"/>
  <c r="F67" i="8" a="1"/>
  <c r="F70" i="8" a="1"/>
  <c r="F66" i="8" a="1"/>
  <c r="F72" i="8" a="1"/>
  <c r="M10" i="8" a="1"/>
  <c r="E57" i="8" a="1"/>
  <c r="B87" i="8"/>
  <c r="F90" i="8" a="1"/>
  <c r="F59" i="8" a="1"/>
  <c r="F105" i="15" l="1"/>
  <c r="E105" i="15"/>
  <c r="D46" i="15"/>
  <c r="D106" i="15" s="1"/>
  <c r="B106" i="15"/>
  <c r="L9" i="8"/>
  <c r="L10" i="8"/>
  <c r="M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G40" i="15"/>
  <c r="G41" i="15"/>
  <c r="G42" i="15"/>
  <c r="H39" i="15"/>
  <c r="H102" i="15" s="1"/>
  <c r="B47" i="15"/>
  <c r="F91" i="8"/>
  <c r="F73" i="8"/>
  <c r="F67" i="8"/>
  <c r="F61" i="8"/>
  <c r="F55" i="8"/>
  <c r="E85" i="8"/>
  <c r="E79" i="8"/>
  <c r="E51" i="8"/>
  <c r="E81" i="8" s="1"/>
  <c r="E89" i="8"/>
  <c r="F52" i="8"/>
  <c r="E53" i="8"/>
  <c r="E52" i="8"/>
  <c r="F53" i="8"/>
  <c r="E54" i="8"/>
  <c r="F54" i="8"/>
  <c r="F59" i="8"/>
  <c r="F60" i="8"/>
  <c r="F58" i="8"/>
  <c r="E58" i="8"/>
  <c r="E59" i="8"/>
  <c r="E60" i="8"/>
  <c r="F65" i="8"/>
  <c r="F66" i="8"/>
  <c r="E66" i="8"/>
  <c r="E64" i="8"/>
  <c r="E65" i="8"/>
  <c r="F64" i="8"/>
  <c r="F70" i="8"/>
  <c r="F71" i="8"/>
  <c r="E72" i="8"/>
  <c r="F72" i="8"/>
  <c r="E71" i="8"/>
  <c r="E70" i="8"/>
  <c r="F89" i="8"/>
  <c r="G49" i="8"/>
  <c r="F51" i="8"/>
  <c r="F57" i="8"/>
  <c r="E57" i="8"/>
  <c r="F69" i="8"/>
  <c r="E69" i="8"/>
  <c r="F63" i="8"/>
  <c r="E63" i="8"/>
  <c r="F90" i="8"/>
  <c r="E90" i="8"/>
  <c r="D47" i="15" a="1"/>
  <c r="G65" i="8" a="1"/>
  <c r="G88" i="8" a="1"/>
  <c r="H40" i="15" a="1"/>
  <c r="H44" i="15" a="1"/>
  <c r="G54" i="8" a="1"/>
  <c r="G91" i="8" a="1"/>
  <c r="H46" i="15" a="1"/>
  <c r="F88" i="8" a="1"/>
  <c r="H41" i="15" a="1"/>
  <c r="F47" i="15" a="1"/>
  <c r="G71" i="8" a="1"/>
  <c r="G60" i="8" a="1"/>
  <c r="G55" i="8" a="1"/>
  <c r="G52" i="8" a="1"/>
  <c r="G59" i="8" a="1"/>
  <c r="E47" i="15" a="1"/>
  <c r="G67" i="8" a="1"/>
  <c r="G73" i="8" a="1"/>
  <c r="G89" i="8" a="1"/>
  <c r="G57" i="8" a="1"/>
  <c r="H43" i="15" a="1"/>
  <c r="H45" i="15" a="1"/>
  <c r="C47" i="15" a="1"/>
  <c r="G69" i="8" a="1"/>
  <c r="G64" i="8" a="1"/>
  <c r="I41" i="15" a="1"/>
  <c r="E87" i="8" a="1"/>
  <c r="G70" i="8" a="1"/>
  <c r="F87" i="8" a="1"/>
  <c r="E88" i="8" a="1"/>
  <c r="G51" i="8" a="1"/>
  <c r="G58" i="8" a="1"/>
  <c r="G66" i="8" a="1"/>
  <c r="G53" i="8" a="1"/>
  <c r="G87" i="8" a="1"/>
  <c r="G72" i="8" a="1"/>
  <c r="H47" i="15" a="1"/>
  <c r="G61" i="8" a="1"/>
  <c r="I40" i="15" a="1"/>
  <c r="G90" i="8" a="1"/>
  <c r="H42" i="15" a="1"/>
  <c r="G63" i="8" a="1"/>
  <c r="G47" i="15" a="1"/>
  <c r="G106" i="15" l="1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I41" i="15"/>
  <c r="I40" i="15"/>
  <c r="H41" i="15"/>
  <c r="H40" i="15"/>
  <c r="H42" i="15"/>
  <c r="B48" i="15"/>
  <c r="F85" i="8"/>
  <c r="F79" i="8"/>
  <c r="G91" i="8"/>
  <c r="G73" i="8"/>
  <c r="G67" i="8"/>
  <c r="G61" i="8"/>
  <c r="G55" i="8"/>
  <c r="G54" i="8"/>
  <c r="G52" i="8"/>
  <c r="G53" i="8"/>
  <c r="G60" i="8"/>
  <c r="G58" i="8"/>
  <c r="G59" i="8"/>
  <c r="G66" i="8"/>
  <c r="G65" i="8"/>
  <c r="G64" i="8"/>
  <c r="G71" i="8"/>
  <c r="G72" i="8"/>
  <c r="G70" i="8"/>
  <c r="F78" i="8"/>
  <c r="E76" i="8"/>
  <c r="E78" i="8"/>
  <c r="F77" i="8"/>
  <c r="F76" i="8"/>
  <c r="E77" i="8"/>
  <c r="G89" i="8"/>
  <c r="G51" i="8"/>
  <c r="G75" i="8" s="1"/>
  <c r="G57" i="8"/>
  <c r="G69" i="8"/>
  <c r="G63" i="8"/>
  <c r="G90" i="8"/>
  <c r="H49" i="8"/>
  <c r="E83" i="8"/>
  <c r="E84" i="8"/>
  <c r="F82" i="8"/>
  <c r="F84" i="8"/>
  <c r="F83" i="8"/>
  <c r="E82" i="8"/>
  <c r="F75" i="8"/>
  <c r="F81" i="8"/>
  <c r="E75" i="8"/>
  <c r="G88" i="8"/>
  <c r="F88" i="8"/>
  <c r="E88" i="8"/>
  <c r="F87" i="8"/>
  <c r="G87" i="8"/>
  <c r="E87" i="8"/>
  <c r="D48" i="15" a="1"/>
  <c r="H63" i="8" a="1"/>
  <c r="H48" i="15" a="1"/>
  <c r="I46" i="15" a="1"/>
  <c r="H66" i="8" a="1"/>
  <c r="C48" i="15" a="1"/>
  <c r="H52" i="8" a="1"/>
  <c r="H89" i="8" a="1"/>
  <c r="H60" i="8" a="1"/>
  <c r="H57" i="8" a="1"/>
  <c r="H69" i="8" a="1"/>
  <c r="H54" i="8" a="1"/>
  <c r="H88" i="8" a="1"/>
  <c r="H55" i="8" a="1"/>
  <c r="H65" i="8" a="1"/>
  <c r="H91" i="8" a="1"/>
  <c r="I43" i="15" a="1"/>
  <c r="G48" i="15" a="1"/>
  <c r="H70" i="8" a="1"/>
  <c r="I45" i="15" a="1"/>
  <c r="I42" i="15" a="1"/>
  <c r="H64" i="8" a="1"/>
  <c r="H73" i="8" a="1"/>
  <c r="H61" i="8" a="1"/>
  <c r="F48" i="15" a="1"/>
  <c r="I39" i="15" a="1"/>
  <c r="H71" i="8" a="1"/>
  <c r="I47" i="15" a="1"/>
  <c r="H51" i="8" a="1"/>
  <c r="H90" i="8" a="1"/>
  <c r="H59" i="8" a="1"/>
  <c r="E48" i="15" a="1"/>
  <c r="H58" i="8" a="1"/>
  <c r="I44" i="15" a="1"/>
  <c r="H72" i="8" a="1"/>
  <c r="H87" i="8" a="1"/>
  <c r="I48" i="15" a="1"/>
  <c r="H53" i="8" a="1"/>
  <c r="J42" i="15" a="1"/>
  <c r="H67" i="8" a="1"/>
  <c r="H107" i="15" l="1"/>
  <c r="F107" i="15"/>
  <c r="E107" i="15"/>
  <c r="G107" i="15"/>
  <c r="D48" i="15"/>
  <c r="D108" i="15" s="1"/>
  <c r="B108" i="15"/>
  <c r="I39" i="15"/>
  <c r="I102" i="15" s="1"/>
  <c r="I42" i="15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J42" i="15"/>
  <c r="L38" i="15"/>
  <c r="B49" i="15"/>
  <c r="G79" i="8"/>
  <c r="G85" i="8"/>
  <c r="H91" i="8"/>
  <c r="H73" i="8"/>
  <c r="H67" i="8"/>
  <c r="H61" i="8"/>
  <c r="H55" i="8"/>
  <c r="G76" i="8"/>
  <c r="H54" i="8"/>
  <c r="H52" i="8"/>
  <c r="H53" i="8"/>
  <c r="H59" i="8"/>
  <c r="H58" i="8"/>
  <c r="H60" i="8"/>
  <c r="H64" i="8"/>
  <c r="H66" i="8"/>
  <c r="H65" i="8"/>
  <c r="H72" i="8"/>
  <c r="H70" i="8"/>
  <c r="H71" i="8"/>
  <c r="G77" i="8"/>
  <c r="G78" i="8"/>
  <c r="G81" i="8"/>
  <c r="G82" i="8"/>
  <c r="G84" i="8"/>
  <c r="H89" i="8"/>
  <c r="H51" i="8"/>
  <c r="H57" i="8"/>
  <c r="H69" i="8"/>
  <c r="H63" i="8"/>
  <c r="H90" i="8"/>
  <c r="H88" i="8"/>
  <c r="H87" i="8"/>
  <c r="I49" i="8"/>
  <c r="G83" i="8"/>
  <c r="J40" i="15" a="1"/>
  <c r="J47" i="15" a="1"/>
  <c r="I57" i="8" a="1"/>
  <c r="I66" i="8" a="1"/>
  <c r="I89" i="8" a="1"/>
  <c r="K44" i="15" a="1"/>
  <c r="J46" i="15" a="1"/>
  <c r="E49" i="15" a="1"/>
  <c r="J44" i="15" a="1"/>
  <c r="I51" i="8" a="1"/>
  <c r="K39" i="15" a="1"/>
  <c r="K47" i="15" a="1"/>
  <c r="I63" i="8" a="1"/>
  <c r="I67" i="8" a="1"/>
  <c r="J39" i="15" a="1"/>
  <c r="K48" i="15" a="1"/>
  <c r="I49" i="15" a="1"/>
  <c r="I61" i="8" a="1"/>
  <c r="I71" i="8" a="1"/>
  <c r="I52" i="8" a="1"/>
  <c r="I90" i="8" a="1"/>
  <c r="I58" i="8" a="1"/>
  <c r="I87" i="8" a="1"/>
  <c r="J49" i="15" a="1"/>
  <c r="K42" i="15" a="1"/>
  <c r="H49" i="15" a="1"/>
  <c r="I55" i="8" a="1"/>
  <c r="I59" i="8" a="1"/>
  <c r="K46" i="15" a="1"/>
  <c r="I88" i="8" a="1"/>
  <c r="D49" i="15" a="1"/>
  <c r="K49" i="15" a="1"/>
  <c r="I72" i="8" a="1"/>
  <c r="I73" i="8" a="1"/>
  <c r="C49" i="15" a="1"/>
  <c r="I91" i="8" a="1"/>
  <c r="J48" i="15" a="1"/>
  <c r="I54" i="8" a="1"/>
  <c r="K40" i="15" a="1"/>
  <c r="I70" i="8" a="1"/>
  <c r="K41" i="15" a="1"/>
  <c r="J41" i="15" a="1"/>
  <c r="I60" i="8" a="1"/>
  <c r="I65" i="8" a="1"/>
  <c r="K45" i="15" a="1"/>
  <c r="I69" i="8" a="1"/>
  <c r="F49" i="15" a="1"/>
  <c r="K43" i="15" a="1"/>
  <c r="J45" i="15" a="1"/>
  <c r="G49" i="15" a="1"/>
  <c r="I64" i="8" a="1"/>
  <c r="J43" i="15" a="1"/>
  <c r="I53" i="8" a="1"/>
  <c r="J41" i="15" l="1"/>
  <c r="J39" i="15"/>
  <c r="J102" i="15" s="1"/>
  <c r="J40" i="15"/>
  <c r="H108" i="15"/>
  <c r="F108" i="15"/>
  <c r="G108" i="15"/>
  <c r="I108" i="15"/>
  <c r="E108" i="15"/>
  <c r="D49" i="15"/>
  <c r="D109" i="15" s="1"/>
  <c r="B109" i="15"/>
  <c r="C49" i="15"/>
  <c r="C109" i="15" s="1"/>
  <c r="E49" i="15"/>
  <c r="F49" i="15"/>
  <c r="F109" i="15" s="1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42" i="15"/>
  <c r="K41" i="15"/>
  <c r="K40" i="15"/>
  <c r="K39" i="15"/>
  <c r="K102" i="15" s="1"/>
  <c r="M38" i="15"/>
  <c r="B50" i="15"/>
  <c r="H79" i="8"/>
  <c r="H85" i="8"/>
  <c r="I91" i="8"/>
  <c r="I73" i="8"/>
  <c r="I67" i="8"/>
  <c r="I61" i="8"/>
  <c r="I55" i="8"/>
  <c r="I51" i="8"/>
  <c r="I52" i="8"/>
  <c r="I53" i="8"/>
  <c r="H76" i="8"/>
  <c r="I54" i="8"/>
  <c r="I58" i="8"/>
  <c r="I60" i="8"/>
  <c r="I59" i="8"/>
  <c r="I65" i="8"/>
  <c r="I64" i="8"/>
  <c r="I66" i="8"/>
  <c r="I70" i="8"/>
  <c r="I71" i="8"/>
  <c r="I72" i="8"/>
  <c r="H77" i="8"/>
  <c r="H78" i="8"/>
  <c r="H84" i="8"/>
  <c r="H82" i="8"/>
  <c r="I89" i="8"/>
  <c r="I57" i="8"/>
  <c r="I69" i="8"/>
  <c r="I63" i="8"/>
  <c r="I90" i="8"/>
  <c r="I88" i="8"/>
  <c r="I87" i="8"/>
  <c r="H81" i="8"/>
  <c r="H75" i="8"/>
  <c r="J49" i="8"/>
  <c r="H83" i="8"/>
  <c r="L47" i="15" a="1"/>
  <c r="J71" i="8" a="1"/>
  <c r="L42" i="15" a="1"/>
  <c r="L49" i="15" a="1"/>
  <c r="J87" i="8" a="1"/>
  <c r="J91" i="8" a="1"/>
  <c r="K50" i="15" a="1"/>
  <c r="J50" i="15" a="1"/>
  <c r="J88" i="8" a="1"/>
  <c r="J63" i="8" a="1"/>
  <c r="F50" i="15" a="1"/>
  <c r="L50" i="15" a="1"/>
  <c r="J69" i="8" a="1"/>
  <c r="J57" i="8" a="1"/>
  <c r="L39" i="15" a="1"/>
  <c r="L43" i="15" a="1"/>
  <c r="J54" i="8" a="1"/>
  <c r="J61" i="8" a="1"/>
  <c r="J58" i="8" a="1"/>
  <c r="J59" i="8" a="1"/>
  <c r="L41" i="15" a="1"/>
  <c r="D50" i="15" a="1"/>
  <c r="J89" i="8" a="1"/>
  <c r="J55" i="8" a="1"/>
  <c r="L44" i="15" a="1"/>
  <c r="J60" i="8" a="1"/>
  <c r="J90" i="8" a="1"/>
  <c r="C50" i="15" a="1"/>
  <c r="J53" i="8" a="1"/>
  <c r="J70" i="8" a="1"/>
  <c r="H50" i="15" a="1"/>
  <c r="J66" i="8" a="1"/>
  <c r="J51" i="8" a="1"/>
  <c r="I50" i="15" a="1"/>
  <c r="J72" i="8" a="1"/>
  <c r="L48" i="15" a="1"/>
  <c r="J52" i="8" a="1"/>
  <c r="J64" i="8" a="1"/>
  <c r="G50" i="15" a="1"/>
  <c r="J67" i="8" a="1"/>
  <c r="L45" i="15" a="1"/>
  <c r="L40" i="15" a="1"/>
  <c r="E50" i="15" a="1"/>
  <c r="L46" i="15" a="1"/>
  <c r="J73" i="8" a="1"/>
  <c r="J65" i="8" a="1"/>
  <c r="I109" i="15" l="1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40" i="15"/>
  <c r="L41" i="15"/>
  <c r="L42" i="15"/>
  <c r="L39" i="15"/>
  <c r="L102" i="15" s="1"/>
  <c r="N38" i="15"/>
  <c r="B51" i="15"/>
  <c r="I79" i="8"/>
  <c r="J91" i="8"/>
  <c r="J73" i="8"/>
  <c r="J67" i="8"/>
  <c r="J61" i="8"/>
  <c r="J55" i="8"/>
  <c r="I85" i="8"/>
  <c r="I77" i="8"/>
  <c r="I76" i="8"/>
  <c r="J54" i="8"/>
  <c r="J53" i="8"/>
  <c r="J52" i="8"/>
  <c r="J58" i="8"/>
  <c r="J60" i="8"/>
  <c r="J59" i="8"/>
  <c r="J64" i="8"/>
  <c r="J65" i="8"/>
  <c r="J66" i="8"/>
  <c r="J71" i="8"/>
  <c r="J72" i="8"/>
  <c r="J70" i="8"/>
  <c r="I78" i="8"/>
  <c r="I84" i="8"/>
  <c r="J89" i="8"/>
  <c r="J51" i="8"/>
  <c r="J57" i="8"/>
  <c r="J69" i="8"/>
  <c r="J63" i="8"/>
  <c r="J90" i="8"/>
  <c r="J88" i="8"/>
  <c r="J87" i="8"/>
  <c r="I82" i="8"/>
  <c r="I81" i="8"/>
  <c r="I75" i="8"/>
  <c r="K49" i="8"/>
  <c r="I83" i="8"/>
  <c r="K88" i="8" a="1"/>
  <c r="M45" i="15" a="1"/>
  <c r="M41" i="15" a="1"/>
  <c r="L51" i="15" a="1"/>
  <c r="D51" i="15" a="1"/>
  <c r="K64" i="8" a="1"/>
  <c r="M40" i="15" a="1"/>
  <c r="M39" i="15" a="1"/>
  <c r="K57" i="8" a="1"/>
  <c r="K67" i="8" a="1"/>
  <c r="M48" i="15" a="1"/>
  <c r="K69" i="8" a="1"/>
  <c r="C51" i="15" a="1"/>
  <c r="K71" i="8" a="1"/>
  <c r="M46" i="15" a="1"/>
  <c r="K55" i="8" a="1"/>
  <c r="M43" i="15" a="1"/>
  <c r="K91" i="8" a="1"/>
  <c r="K73" i="8" a="1"/>
  <c r="K53" i="8" a="1"/>
  <c r="J51" i="15" a="1"/>
  <c r="M47" i="15" a="1"/>
  <c r="K59" i="8" a="1"/>
  <c r="K61" i="8" a="1"/>
  <c r="K63" i="8" a="1"/>
  <c r="K90" i="8" a="1"/>
  <c r="K52" i="8" a="1"/>
  <c r="M44" i="15" a="1"/>
  <c r="I51" i="15" a="1"/>
  <c r="K51" i="15" a="1"/>
  <c r="K66" i="8" a="1"/>
  <c r="M51" i="15" a="1"/>
  <c r="K58" i="8" a="1"/>
  <c r="M49" i="15" a="1"/>
  <c r="K51" i="8" a="1"/>
  <c r="K60" i="8" a="1"/>
  <c r="K89" i="8" a="1"/>
  <c r="K54" i="8" a="1"/>
  <c r="G51" i="15" a="1"/>
  <c r="K70" i="8" a="1"/>
  <c r="H51" i="15" a="1"/>
  <c r="K72" i="8" a="1"/>
  <c r="F51" i="15" a="1"/>
  <c r="E51" i="15" a="1"/>
  <c r="M50" i="15" a="1"/>
  <c r="K87" i="8" a="1"/>
  <c r="M42" i="15" a="1"/>
  <c r="K65" i="8" a="1"/>
  <c r="H110" i="15" l="1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41" i="15"/>
  <c r="M40" i="15"/>
  <c r="M42" i="15"/>
  <c r="M39" i="15"/>
  <c r="M102" i="15" s="1"/>
  <c r="O38" i="15"/>
  <c r="B52" i="15"/>
  <c r="K91" i="8"/>
  <c r="K73" i="8"/>
  <c r="K67" i="8"/>
  <c r="K61" i="8"/>
  <c r="K55" i="8"/>
  <c r="J85" i="8"/>
  <c r="J79" i="8"/>
  <c r="J78" i="8"/>
  <c r="J76" i="8"/>
  <c r="K53" i="8"/>
  <c r="K54" i="8"/>
  <c r="K52" i="8"/>
  <c r="K58" i="8"/>
  <c r="K60" i="8"/>
  <c r="K59" i="8"/>
  <c r="K65" i="8"/>
  <c r="K64" i="8"/>
  <c r="K66" i="8"/>
  <c r="K70" i="8"/>
  <c r="K71" i="8"/>
  <c r="K72" i="8"/>
  <c r="J77" i="8"/>
  <c r="J84" i="8"/>
  <c r="K89" i="8"/>
  <c r="K51" i="8"/>
  <c r="K57" i="8"/>
  <c r="K69" i="8"/>
  <c r="K63" i="8"/>
  <c r="K90" i="8"/>
  <c r="K88" i="8"/>
  <c r="K87" i="8"/>
  <c r="J82" i="8"/>
  <c r="J81" i="8"/>
  <c r="J75" i="8"/>
  <c r="L49" i="8"/>
  <c r="J83" i="8"/>
  <c r="L73" i="8" a="1"/>
  <c r="K52" i="15" a="1"/>
  <c r="L52" i="8" a="1"/>
  <c r="M52" i="15" a="1"/>
  <c r="H52" i="15" a="1"/>
  <c r="L53" i="8" a="1"/>
  <c r="L87" i="8" a="1"/>
  <c r="F52" i="15" a="1"/>
  <c r="L63" i="8" a="1"/>
  <c r="N48" i="15" a="1"/>
  <c r="I52" i="15" a="1"/>
  <c r="N44" i="15" a="1"/>
  <c r="J52" i="15" a="1"/>
  <c r="L72" i="8" a="1"/>
  <c r="N46" i="15" a="1"/>
  <c r="L88" i="8" a="1"/>
  <c r="L51" i="8" a="1"/>
  <c r="N41" i="15" a="1"/>
  <c r="L52" i="15" a="1"/>
  <c r="L67" i="8" a="1"/>
  <c r="L90" i="8" a="1"/>
  <c r="C52" i="15" a="1"/>
  <c r="L91" i="8" a="1"/>
  <c r="L66" i="8" a="1"/>
  <c r="N45" i="15" a="1"/>
  <c r="N42" i="15" a="1"/>
  <c r="G52" i="15" a="1"/>
  <c r="N51" i="15" a="1"/>
  <c r="L58" i="8" a="1"/>
  <c r="D52" i="15" a="1"/>
  <c r="N43" i="15" a="1"/>
  <c r="N49" i="15" a="1"/>
  <c r="L69" i="8" a="1"/>
  <c r="N39" i="15" a="1"/>
  <c r="N47" i="15" a="1"/>
  <c r="L57" i="8" a="1"/>
  <c r="L55" i="8" a="1"/>
  <c r="N50" i="15" a="1"/>
  <c r="L60" i="8" a="1"/>
  <c r="L54" i="8" a="1"/>
  <c r="N40" i="15" a="1"/>
  <c r="L71" i="8" a="1"/>
  <c r="L59" i="8" a="1"/>
  <c r="L61" i="8" a="1"/>
  <c r="E52" i="15" a="1"/>
  <c r="L89" i="8" a="1"/>
  <c r="L65" i="8" a="1"/>
  <c r="N52" i="15" a="1"/>
  <c r="L70" i="8" a="1"/>
  <c r="L64" i="8" a="1"/>
  <c r="K111" i="15" l="1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41" i="15"/>
  <c r="N42" i="15"/>
  <c r="N40" i="15"/>
  <c r="N39" i="15"/>
  <c r="N102" i="15" s="1"/>
  <c r="P38" i="15"/>
  <c r="B53" i="15"/>
  <c r="K85" i="8"/>
  <c r="L91" i="8"/>
  <c r="L73" i="8"/>
  <c r="L67" i="8"/>
  <c r="L61" i="8"/>
  <c r="L55" i="8"/>
  <c r="K79" i="8"/>
  <c r="K77" i="8"/>
  <c r="L54" i="8"/>
  <c r="L53" i="8"/>
  <c r="L52" i="8"/>
  <c r="L58" i="8"/>
  <c r="L60" i="8"/>
  <c r="L59" i="8"/>
  <c r="L66" i="8"/>
  <c r="L64" i="8"/>
  <c r="L65" i="8"/>
  <c r="L71" i="8"/>
  <c r="L72" i="8"/>
  <c r="L70" i="8"/>
  <c r="K76" i="8"/>
  <c r="K78" i="8"/>
  <c r="K84" i="8"/>
  <c r="L89" i="8"/>
  <c r="L51" i="8"/>
  <c r="L57" i="8"/>
  <c r="L69" i="8"/>
  <c r="L63" i="8"/>
  <c r="L90" i="8"/>
  <c r="L88" i="8"/>
  <c r="L87" i="8"/>
  <c r="K82" i="8"/>
  <c r="K81" i="8"/>
  <c r="K75" i="8"/>
  <c r="M49" i="8"/>
  <c r="K83" i="8"/>
  <c r="M87" i="8" a="1"/>
  <c r="O51" i="15" a="1"/>
  <c r="O43" i="15" a="1"/>
  <c r="M54" i="8" a="1"/>
  <c r="M59" i="8" a="1"/>
  <c r="O48" i="15" a="1"/>
  <c r="J53" i="15" a="1"/>
  <c r="H53" i="15" a="1"/>
  <c r="G53" i="15" a="1"/>
  <c r="M61" i="8" a="1"/>
  <c r="O50" i="15" a="1"/>
  <c r="M53" i="8" a="1"/>
  <c r="O53" i="15" a="1"/>
  <c r="M66" i="8" a="1"/>
  <c r="O41" i="15" a="1"/>
  <c r="M69" i="8" a="1"/>
  <c r="M71" i="8" a="1"/>
  <c r="M51" i="8" a="1"/>
  <c r="M73" i="8" a="1"/>
  <c r="M52" i="8" a="1"/>
  <c r="M91" i="8" a="1"/>
  <c r="M60" i="8" a="1"/>
  <c r="M63" i="8" a="1"/>
  <c r="L53" i="15" a="1"/>
  <c r="K53" i="15" a="1"/>
  <c r="M57" i="8" a="1"/>
  <c r="O45" i="15" a="1"/>
  <c r="O40" i="15" a="1"/>
  <c r="M72" i="8" a="1"/>
  <c r="M58" i="8" a="1"/>
  <c r="O49" i="15" a="1"/>
  <c r="O52" i="15" a="1"/>
  <c r="M65" i="8" a="1"/>
  <c r="M70" i="8" a="1"/>
  <c r="M64" i="8" a="1"/>
  <c r="O46" i="15" a="1"/>
  <c r="D53" i="15" a="1"/>
  <c r="M88" i="8" a="1"/>
  <c r="M90" i="8" a="1"/>
  <c r="N53" i="15" a="1"/>
  <c r="O42" i="15" a="1"/>
  <c r="I53" i="15" a="1"/>
  <c r="M89" i="8" a="1"/>
  <c r="O39" i="15" a="1"/>
  <c r="M55" i="8" a="1"/>
  <c r="O44" i="15" a="1"/>
  <c r="M67" i="8" a="1"/>
  <c r="C53" i="15" a="1"/>
  <c r="F53" i="15" a="1"/>
  <c r="O47" i="15" a="1"/>
  <c r="M53" i="15" a="1"/>
  <c r="E53" i="15" a="1"/>
  <c r="F112" i="15" l="1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40" i="15"/>
  <c r="O41" i="15"/>
  <c r="O42" i="15"/>
  <c r="O39" i="15"/>
  <c r="O102" i="15" s="1"/>
  <c r="Q38" i="15"/>
  <c r="B54" i="15"/>
  <c r="L85" i="8"/>
  <c r="M91" i="8"/>
  <c r="M73" i="8"/>
  <c r="M67" i="8"/>
  <c r="M61" i="8"/>
  <c r="M55" i="8"/>
  <c r="L79" i="8"/>
  <c r="L76" i="8"/>
  <c r="L78" i="8"/>
  <c r="M53" i="8"/>
  <c r="M52" i="8"/>
  <c r="M54" i="8"/>
  <c r="M59" i="8"/>
  <c r="M58" i="8"/>
  <c r="M60" i="8"/>
  <c r="M64" i="8"/>
  <c r="M65" i="8"/>
  <c r="M66" i="8"/>
  <c r="M70" i="8"/>
  <c r="M72" i="8"/>
  <c r="M71" i="8"/>
  <c r="L77" i="8"/>
  <c r="L84" i="8"/>
  <c r="L82" i="8"/>
  <c r="M89" i="8"/>
  <c r="M51" i="8"/>
  <c r="M57" i="8"/>
  <c r="M69" i="8"/>
  <c r="M63" i="8"/>
  <c r="M90" i="8"/>
  <c r="M88" i="8"/>
  <c r="M87" i="8"/>
  <c r="N49" i="8"/>
  <c r="L75" i="8"/>
  <c r="L81" i="8"/>
  <c r="L83" i="8"/>
  <c r="F54" i="15" a="1"/>
  <c r="N71" i="8" a="1"/>
  <c r="N87" i="8" a="1"/>
  <c r="N90" i="8" a="1"/>
  <c r="N89" i="8" a="1"/>
  <c r="N51" i="8" a="1"/>
  <c r="P39" i="15" a="1"/>
  <c r="C54" i="15" a="1"/>
  <c r="P41" i="15" a="1"/>
  <c r="P44" i="15" a="1"/>
  <c r="P50" i="15" a="1"/>
  <c r="N66" i="8" a="1"/>
  <c r="P45" i="15" a="1"/>
  <c r="N72" i="8" a="1"/>
  <c r="N53" i="8" a="1"/>
  <c r="N61" i="8" a="1"/>
  <c r="E54" i="15" a="1"/>
  <c r="P53" i="15" a="1"/>
  <c r="P43" i="15" a="1"/>
  <c r="N58" i="8" a="1"/>
  <c r="P47" i="15" a="1"/>
  <c r="N63" i="8" a="1"/>
  <c r="N64" i="8" a="1"/>
  <c r="N67" i="8" a="1"/>
  <c r="N88" i="8" a="1"/>
  <c r="N60" i="8" a="1"/>
  <c r="P40" i="15" a="1"/>
  <c r="H54" i="15" a="1"/>
  <c r="K54" i="15" a="1"/>
  <c r="O54" i="15" a="1"/>
  <c r="N52" i="8" a="1"/>
  <c r="P42" i="15" a="1"/>
  <c r="P49" i="15" a="1"/>
  <c r="P48" i="15" a="1"/>
  <c r="L54" i="15" a="1"/>
  <c r="N55" i="8" a="1"/>
  <c r="N54" i="15" a="1"/>
  <c r="P54" i="15" a="1"/>
  <c r="N70" i="8" a="1"/>
  <c r="M54" i="15" a="1"/>
  <c r="N57" i="8" a="1"/>
  <c r="N69" i="8" a="1"/>
  <c r="G54" i="15" a="1"/>
  <c r="D54" i="15" a="1"/>
  <c r="N59" i="8" a="1"/>
  <c r="P51" i="15" a="1"/>
  <c r="P52" i="15" a="1"/>
  <c r="I54" i="15" a="1"/>
  <c r="P46" i="15" a="1"/>
  <c r="N91" i="8" a="1"/>
  <c r="N65" i="8" a="1"/>
  <c r="N54" i="8" a="1"/>
  <c r="N73" i="8" a="1"/>
  <c r="J54" i="15" a="1"/>
  <c r="J113" i="15" l="1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41" i="15"/>
  <c r="P42" i="15"/>
  <c r="P40" i="15"/>
  <c r="P39" i="15"/>
  <c r="P102" i="15" s="1"/>
  <c r="R38" i="15"/>
  <c r="B55" i="15"/>
  <c r="M85" i="8"/>
  <c r="N91" i="8"/>
  <c r="N73" i="8"/>
  <c r="N67" i="8"/>
  <c r="N61" i="8"/>
  <c r="N55" i="8"/>
  <c r="M79" i="8"/>
  <c r="M78" i="8"/>
  <c r="N52" i="8"/>
  <c r="N54" i="8"/>
  <c r="N53" i="8"/>
  <c r="N60" i="8"/>
  <c r="N58" i="8"/>
  <c r="N59" i="8"/>
  <c r="N66" i="8"/>
  <c r="N65" i="8"/>
  <c r="N64" i="8"/>
  <c r="N71" i="8"/>
  <c r="N72" i="8"/>
  <c r="N70" i="8"/>
  <c r="M76" i="8"/>
  <c r="M77" i="8"/>
  <c r="M82" i="8"/>
  <c r="N89" i="8"/>
  <c r="N51" i="8"/>
  <c r="N57" i="8"/>
  <c r="N69" i="8"/>
  <c r="N63" i="8"/>
  <c r="N90" i="8"/>
  <c r="N88" i="8"/>
  <c r="N87" i="8"/>
  <c r="O49" i="8"/>
  <c r="M83" i="8"/>
  <c r="M84" i="8"/>
  <c r="M75" i="8"/>
  <c r="M81" i="8"/>
  <c r="O51" i="8" a="1"/>
  <c r="N55" i="15" a="1"/>
  <c r="Q40" i="15" a="1"/>
  <c r="O69" i="8" a="1"/>
  <c r="D55" i="15" a="1"/>
  <c r="Q45" i="15" a="1"/>
  <c r="I55" i="15" a="1"/>
  <c r="O90" i="8" a="1"/>
  <c r="Q42" i="15" a="1"/>
  <c r="O57" i="8" a="1"/>
  <c r="H55" i="15" a="1"/>
  <c r="O59" i="8" a="1"/>
  <c r="Q55" i="15" a="1"/>
  <c r="Q46" i="15" a="1"/>
  <c r="C55" i="15" a="1"/>
  <c r="O65" i="8" a="1"/>
  <c r="O54" i="8" a="1"/>
  <c r="Q47" i="15" a="1"/>
  <c r="O58" i="8" a="1"/>
  <c r="O73" i="8" a="1"/>
  <c r="Q52" i="15" a="1"/>
  <c r="O63" i="8" a="1"/>
  <c r="Q53" i="15" a="1"/>
  <c r="Q51" i="15" a="1"/>
  <c r="O53" i="8" a="1"/>
  <c r="L55" i="15" a="1"/>
  <c r="O55" i="8" a="1"/>
  <c r="O87" i="8" a="1"/>
  <c r="O72" i="8" a="1"/>
  <c r="Q48" i="15" a="1"/>
  <c r="O70" i="8" a="1"/>
  <c r="Q41" i="15" a="1"/>
  <c r="F55" i="15" a="1"/>
  <c r="O88" i="8" a="1"/>
  <c r="J55" i="15" a="1"/>
  <c r="O55" i="15" a="1"/>
  <c r="Q44" i="15" a="1"/>
  <c r="O60" i="8" a="1"/>
  <c r="O89" i="8" a="1"/>
  <c r="O71" i="8" a="1"/>
  <c r="K55" i="15" a="1"/>
  <c r="Q50" i="15" a="1"/>
  <c r="O64" i="8" a="1"/>
  <c r="Q43" i="15" a="1"/>
  <c r="O61" i="8" a="1"/>
  <c r="O66" i="8" a="1"/>
  <c r="M55" i="15" a="1"/>
  <c r="O91" i="8" a="1"/>
  <c r="O52" i="8" a="1"/>
  <c r="Q49" i="15" a="1"/>
  <c r="P55" i="15" a="1"/>
  <c r="E55" i="15" a="1"/>
  <c r="O67" i="8" a="1"/>
  <c r="G55" i="15" a="1"/>
  <c r="Q39" i="15" a="1"/>
  <c r="Q54" i="15" a="1"/>
  <c r="N114" i="15" l="1"/>
  <c r="F114" i="15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4" i="15" s="1"/>
  <c r="Q55" i="15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40" i="15"/>
  <c r="Q42" i="15"/>
  <c r="Q41" i="15"/>
  <c r="Q39" i="15"/>
  <c r="Q102" i="15" s="1"/>
  <c r="S38" i="15"/>
  <c r="B56" i="15"/>
  <c r="N79" i="8"/>
  <c r="N85" i="8"/>
  <c r="O91" i="8"/>
  <c r="O73" i="8"/>
  <c r="O67" i="8"/>
  <c r="O61" i="8"/>
  <c r="O55" i="8"/>
  <c r="N78" i="8"/>
  <c r="N76" i="8"/>
  <c r="N77" i="8"/>
  <c r="O53" i="8"/>
  <c r="O52" i="8"/>
  <c r="O54" i="8"/>
  <c r="O59" i="8"/>
  <c r="O58" i="8"/>
  <c r="O60" i="8"/>
  <c r="O64" i="8"/>
  <c r="O66" i="8"/>
  <c r="O65" i="8"/>
  <c r="O72" i="8"/>
  <c r="O71" i="8"/>
  <c r="O70" i="8"/>
  <c r="N84" i="8"/>
  <c r="O89" i="8"/>
  <c r="O51" i="8"/>
  <c r="O57" i="8"/>
  <c r="O69" i="8"/>
  <c r="O63" i="8"/>
  <c r="O90" i="8"/>
  <c r="O88" i="8"/>
  <c r="O87" i="8"/>
  <c r="P49" i="8"/>
  <c r="N82" i="8"/>
  <c r="N75" i="8"/>
  <c r="N81" i="8"/>
  <c r="N83" i="8"/>
  <c r="F56" i="15" a="1"/>
  <c r="R49" i="15" a="1"/>
  <c r="R54" i="15" a="1"/>
  <c r="R39" i="15" a="1"/>
  <c r="R48" i="15" a="1"/>
  <c r="P64" i="8" a="1"/>
  <c r="R52" i="15" a="1"/>
  <c r="R50" i="15" a="1"/>
  <c r="P57" i="8" a="1"/>
  <c r="P66" i="8" a="1"/>
  <c r="P89" i="8" a="1"/>
  <c r="R42" i="15" a="1"/>
  <c r="R40" i="15" a="1"/>
  <c r="R51" i="15" a="1"/>
  <c r="P73" i="8" a="1"/>
  <c r="P55" i="8" a="1"/>
  <c r="I56" i="15" a="1"/>
  <c r="R53" i="15" a="1"/>
  <c r="P53" i="8" a="1"/>
  <c r="P51" i="8" a="1"/>
  <c r="N56" i="15" a="1"/>
  <c r="P60" i="8" a="1"/>
  <c r="P87" i="8" a="1"/>
  <c r="R47" i="15" a="1"/>
  <c r="P67" i="8" a="1"/>
  <c r="E56" i="15" a="1"/>
  <c r="P59" i="8" a="1"/>
  <c r="P65" i="8" a="1"/>
  <c r="P58" i="8" a="1"/>
  <c r="O56" i="15" a="1"/>
  <c r="M56" i="15" a="1"/>
  <c r="Q56" i="15" a="1"/>
  <c r="R43" i="15" a="1"/>
  <c r="P61" i="8" a="1"/>
  <c r="P52" i="8" a="1"/>
  <c r="K56" i="15" a="1"/>
  <c r="R55" i="15" a="1"/>
  <c r="P56" i="15" a="1"/>
  <c r="R45" i="15" a="1"/>
  <c r="R41" i="15" a="1"/>
  <c r="H56" i="15" a="1"/>
  <c r="R56" i="15" a="1"/>
  <c r="P54" i="8" a="1"/>
  <c r="P63" i="8" a="1"/>
  <c r="P91" i="8" a="1"/>
  <c r="P69" i="8" a="1"/>
  <c r="R46" i="15" a="1"/>
  <c r="G56" i="15" a="1"/>
  <c r="P71" i="8" a="1"/>
  <c r="C56" i="15" a="1"/>
  <c r="R44" i="15" a="1"/>
  <c r="P72" i="8" a="1"/>
  <c r="P88" i="8" a="1"/>
  <c r="D56" i="15" a="1"/>
  <c r="L56" i="15" a="1"/>
  <c r="P90" i="8" a="1"/>
  <c r="P70" i="8" a="1"/>
  <c r="J56" i="15" a="1"/>
  <c r="N115" i="15" l="1"/>
  <c r="Q115" i="15"/>
  <c r="K115" i="15"/>
  <c r="F115" i="15"/>
  <c r="M115" i="15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F116" i="15" s="1"/>
  <c r="G56" i="15"/>
  <c r="H56" i="15"/>
  <c r="I56" i="15"/>
  <c r="K56" i="15"/>
  <c r="K116" i="15" s="1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41" i="15"/>
  <c r="R42" i="15"/>
  <c r="R40" i="15"/>
  <c r="R39" i="15"/>
  <c r="R102" i="15" s="1"/>
  <c r="T38" i="15"/>
  <c r="B57" i="15"/>
  <c r="O85" i="8"/>
  <c r="P91" i="8"/>
  <c r="P73" i="8"/>
  <c r="P67" i="8"/>
  <c r="P61" i="8"/>
  <c r="P55" i="8"/>
  <c r="O79" i="8"/>
  <c r="O76" i="8"/>
  <c r="P53" i="8"/>
  <c r="P54" i="8"/>
  <c r="P52" i="8"/>
  <c r="P58" i="8"/>
  <c r="P60" i="8"/>
  <c r="P59" i="8"/>
  <c r="P64" i="8"/>
  <c r="P66" i="8"/>
  <c r="P65" i="8"/>
  <c r="P70" i="8"/>
  <c r="P71" i="8"/>
  <c r="P72" i="8"/>
  <c r="O78" i="8"/>
  <c r="O77" i="8"/>
  <c r="O84" i="8"/>
  <c r="P89" i="8"/>
  <c r="P51" i="8"/>
  <c r="P57" i="8"/>
  <c r="P69" i="8"/>
  <c r="P63" i="8"/>
  <c r="P90" i="8"/>
  <c r="P88" i="8"/>
  <c r="P87" i="8"/>
  <c r="O82" i="8"/>
  <c r="O81" i="8"/>
  <c r="O75" i="8"/>
  <c r="Q49" i="8"/>
  <c r="O83" i="8"/>
  <c r="Q71" i="8" a="1"/>
  <c r="P57" i="15" a="1"/>
  <c r="Q61" i="8" a="1"/>
  <c r="Q55" i="8" a="1"/>
  <c r="S52" i="15" a="1"/>
  <c r="J57" i="15" a="1"/>
  <c r="S57" i="15" a="1"/>
  <c r="Q90" i="8" a="1"/>
  <c r="Q69" i="8" a="1"/>
  <c r="S48" i="15" a="1"/>
  <c r="E57" i="15" a="1"/>
  <c r="I57" i="15" a="1"/>
  <c r="Q53" i="8" a="1"/>
  <c r="H57" i="15" a="1"/>
  <c r="S40" i="15" a="1"/>
  <c r="S55" i="15" a="1"/>
  <c r="D57" i="15" a="1"/>
  <c r="F57" i="15" a="1"/>
  <c r="S46" i="15" a="1"/>
  <c r="Q73" i="8" a="1"/>
  <c r="Q67" i="8" a="1"/>
  <c r="C57" i="15" a="1"/>
  <c r="Q64" i="8" a="1"/>
  <c r="Q70" i="8" a="1"/>
  <c r="Q59" i="8" a="1"/>
  <c r="S51" i="15" a="1"/>
  <c r="Q63" i="8" a="1"/>
  <c r="S56" i="15" a="1"/>
  <c r="O57" i="15" a="1"/>
  <c r="Q57" i="15" a="1"/>
  <c r="S39" i="15" a="1"/>
  <c r="Q65" i="8" a="1"/>
  <c r="Q66" i="8" a="1"/>
  <c r="Q87" i="8" a="1"/>
  <c r="N57" i="15" a="1"/>
  <c r="Q52" i="8" a="1"/>
  <c r="Q57" i="8" a="1"/>
  <c r="S49" i="15" a="1"/>
  <c r="S42" i="15" a="1"/>
  <c r="Q54" i="8" a="1"/>
  <c r="Q60" i="8" a="1"/>
  <c r="S41" i="15" a="1"/>
  <c r="S43" i="15" a="1"/>
  <c r="Q91" i="8" a="1"/>
  <c r="S53" i="15" a="1"/>
  <c r="S45" i="15" a="1"/>
  <c r="S54" i="15" a="1"/>
  <c r="Q58" i="8" a="1"/>
  <c r="R57" i="15" a="1"/>
  <c r="S44" i="15" a="1"/>
  <c r="G57" i="15" a="1"/>
  <c r="Q51" i="8" a="1"/>
  <c r="M57" i="15" a="1"/>
  <c r="L57" i="15" a="1"/>
  <c r="Q72" i="8" a="1"/>
  <c r="K57" i="15" a="1"/>
  <c r="Q89" i="8" a="1"/>
  <c r="Q88" i="8" a="1"/>
  <c r="S47" i="15" a="1"/>
  <c r="S50" i="15" a="1"/>
  <c r="R116" i="15" l="1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6" i="15" s="1"/>
  <c r="S44" i="15"/>
  <c r="S104" i="15" s="1"/>
  <c r="S47" i="15"/>
  <c r="S107" i="15" s="1"/>
  <c r="S57" i="15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41" i="15"/>
  <c r="S42" i="15"/>
  <c r="S40" i="15"/>
  <c r="S39" i="15"/>
  <c r="S102" i="15" s="1"/>
  <c r="U38" i="15"/>
  <c r="B58" i="15"/>
  <c r="P85" i="8"/>
  <c r="Q91" i="8"/>
  <c r="Q73" i="8"/>
  <c r="Q67" i="8"/>
  <c r="Q61" i="8"/>
  <c r="Q55" i="8"/>
  <c r="P79" i="8"/>
  <c r="P77" i="8"/>
  <c r="P76" i="8"/>
  <c r="P78" i="8"/>
  <c r="Q53" i="8"/>
  <c r="Q54" i="8"/>
  <c r="Q52" i="8"/>
  <c r="Q58" i="8"/>
  <c r="Q60" i="8"/>
  <c r="Q59" i="8"/>
  <c r="Q65" i="8"/>
  <c r="Q64" i="8"/>
  <c r="Q66" i="8"/>
  <c r="Q72" i="8"/>
  <c r="Q71" i="8"/>
  <c r="Q70" i="8"/>
  <c r="P83" i="8"/>
  <c r="Q89" i="8"/>
  <c r="Q51" i="8"/>
  <c r="Q57" i="8"/>
  <c r="Q69" i="8"/>
  <c r="Q63" i="8"/>
  <c r="Q90" i="8"/>
  <c r="Q88" i="8"/>
  <c r="Q87" i="8"/>
  <c r="P84" i="8"/>
  <c r="P81" i="8"/>
  <c r="P75" i="8"/>
  <c r="R49" i="8"/>
  <c r="P82" i="8"/>
  <c r="R51" i="8" a="1"/>
  <c r="T41" i="15" a="1"/>
  <c r="L58" i="15" a="1"/>
  <c r="T39" i="15" a="1"/>
  <c r="K58" i="15" a="1"/>
  <c r="T56" i="15" a="1"/>
  <c r="S58" i="15" a="1"/>
  <c r="R72" i="8" a="1"/>
  <c r="R88" i="8" a="1"/>
  <c r="R70" i="8" a="1"/>
  <c r="T51" i="15" a="1"/>
  <c r="T48" i="15" a="1"/>
  <c r="D58" i="15" a="1"/>
  <c r="M58" i="15" a="1"/>
  <c r="R58" i="15" a="1"/>
  <c r="R61" i="8" a="1"/>
  <c r="R91" i="8" a="1"/>
  <c r="Q58" i="15" a="1"/>
  <c r="R67" i="8" a="1"/>
  <c r="T40" i="15" a="1"/>
  <c r="T53" i="15" a="1"/>
  <c r="T45" i="15" a="1"/>
  <c r="R63" i="8" a="1"/>
  <c r="T54" i="15" a="1"/>
  <c r="U39" i="15" a="1"/>
  <c r="T44" i="15" a="1"/>
  <c r="R87" i="8" a="1"/>
  <c r="I58" i="15" a="1"/>
  <c r="T46" i="15" a="1"/>
  <c r="T55" i="15" a="1"/>
  <c r="R66" i="8" a="1"/>
  <c r="P58" i="15" a="1"/>
  <c r="R57" i="8" a="1"/>
  <c r="E58" i="15" a="1"/>
  <c r="T52" i="15" a="1"/>
  <c r="R64" i="8" a="1"/>
  <c r="T42" i="15" a="1"/>
  <c r="R73" i="8" a="1"/>
  <c r="T58" i="15" a="1"/>
  <c r="R52" i="8" a="1"/>
  <c r="C58" i="15" a="1"/>
  <c r="N58" i="15" a="1"/>
  <c r="R90" i="8" a="1"/>
  <c r="T43" i="15" a="1"/>
  <c r="R89" i="8" a="1"/>
  <c r="T57" i="15" a="1"/>
  <c r="H58" i="15" a="1"/>
  <c r="O58" i="15" a="1"/>
  <c r="R59" i="8" a="1"/>
  <c r="R53" i="8" a="1"/>
  <c r="R71" i="8" a="1"/>
  <c r="R60" i="8" a="1"/>
  <c r="T49" i="15" a="1"/>
  <c r="R58" i="8" a="1"/>
  <c r="R55" i="8" a="1"/>
  <c r="F58" i="15" a="1"/>
  <c r="R54" i="8" a="1"/>
  <c r="R65" i="8" a="1"/>
  <c r="J58" i="15" a="1"/>
  <c r="T47" i="15" a="1"/>
  <c r="G58" i="15" a="1"/>
  <c r="T50" i="15" a="1"/>
  <c r="R69" i="8" a="1"/>
  <c r="S117" i="15" l="1"/>
  <c r="R117" i="15"/>
  <c r="N117" i="15"/>
  <c r="J117" i="15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T41" i="15"/>
  <c r="T42" i="15"/>
  <c r="T40" i="15"/>
  <c r="V38" i="15"/>
  <c r="U39" i="15"/>
  <c r="U102" i="15" s="1"/>
  <c r="T39" i="15"/>
  <c r="T102" i="15" s="1"/>
  <c r="B59" i="15"/>
  <c r="Q85" i="8"/>
  <c r="R91" i="8"/>
  <c r="R73" i="8"/>
  <c r="R67" i="8"/>
  <c r="R61" i="8"/>
  <c r="R55" i="8"/>
  <c r="Q79" i="8"/>
  <c r="Q77" i="8"/>
  <c r="R54" i="8"/>
  <c r="R52" i="8"/>
  <c r="R53" i="8"/>
  <c r="R58" i="8"/>
  <c r="R59" i="8"/>
  <c r="R60" i="8"/>
  <c r="R64" i="8"/>
  <c r="R65" i="8"/>
  <c r="R66" i="8"/>
  <c r="R70" i="8"/>
  <c r="R71" i="8"/>
  <c r="R72" i="8"/>
  <c r="Q78" i="8"/>
  <c r="Q76" i="8"/>
  <c r="Q83" i="8"/>
  <c r="R89" i="8"/>
  <c r="R51" i="8"/>
  <c r="R57" i="8"/>
  <c r="R69" i="8"/>
  <c r="R63" i="8"/>
  <c r="R90" i="8"/>
  <c r="R88" i="8"/>
  <c r="R87" i="8"/>
  <c r="Q81" i="8"/>
  <c r="Q75" i="8"/>
  <c r="Q84" i="8"/>
  <c r="S49" i="8"/>
  <c r="Q82" i="8"/>
  <c r="M59" i="15" a="1"/>
  <c r="S57" i="8" a="1"/>
  <c r="G59" i="15" a="1"/>
  <c r="S65" i="8" a="1"/>
  <c r="U56" i="15" a="1"/>
  <c r="U46" i="15" a="1"/>
  <c r="U45" i="15" a="1"/>
  <c r="S67" i="8" a="1"/>
  <c r="U59" i="15" a="1"/>
  <c r="U53" i="15" a="1"/>
  <c r="S64" i="8" a="1"/>
  <c r="P59" i="15" a="1"/>
  <c r="U54" i="15" a="1"/>
  <c r="C59" i="15" a="1"/>
  <c r="T59" i="15" a="1"/>
  <c r="S71" i="8" a="1"/>
  <c r="U50" i="15" a="1"/>
  <c r="S61" i="8" a="1"/>
  <c r="R59" i="15" a="1"/>
  <c r="S69" i="8" a="1"/>
  <c r="S73" i="8" a="1"/>
  <c r="V39" i="15" a="1"/>
  <c r="U43" i="15" a="1"/>
  <c r="S63" i="8" a="1"/>
  <c r="Q59" i="15" a="1"/>
  <c r="U51" i="15" a="1"/>
  <c r="S89" i="8" a="1"/>
  <c r="S91" i="8" a="1"/>
  <c r="D59" i="15" a="1"/>
  <c r="S66" i="8" a="1"/>
  <c r="S58" i="8" a="1"/>
  <c r="U55" i="15" a="1"/>
  <c r="S52" i="8" a="1"/>
  <c r="U40" i="15" a="1"/>
  <c r="U52" i="15" a="1"/>
  <c r="S88" i="8" a="1"/>
  <c r="S53" i="8" a="1"/>
  <c r="S87" i="8" a="1"/>
  <c r="I59" i="15" a="1"/>
  <c r="U49" i="15" a="1"/>
  <c r="F59" i="15" a="1"/>
  <c r="U42" i="15" a="1"/>
  <c r="K59" i="15" a="1"/>
  <c r="O59" i="15" a="1"/>
  <c r="H59" i="15" a="1"/>
  <c r="U58" i="15" a="1"/>
  <c r="E59" i="15" a="1"/>
  <c r="S51" i="8" a="1"/>
  <c r="U47" i="15" a="1"/>
  <c r="S59" i="8" a="1"/>
  <c r="S72" i="8" a="1"/>
  <c r="L59" i="15" a="1"/>
  <c r="S90" i="8" a="1"/>
  <c r="S54" i="8" a="1"/>
  <c r="U57" i="15" a="1"/>
  <c r="N59" i="15" a="1"/>
  <c r="U41" i="15" a="1"/>
  <c r="U48" i="15" a="1"/>
  <c r="S59" i="15" a="1"/>
  <c r="S60" i="8" a="1"/>
  <c r="J59" i="15" a="1"/>
  <c r="S70" i="8" a="1"/>
  <c r="U44" i="15" a="1"/>
  <c r="S55" i="8" a="1"/>
  <c r="F118" i="15" l="1"/>
  <c r="T118" i="15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K119" i="15" s="1"/>
  <c r="J59" i="15"/>
  <c r="L59" i="15"/>
  <c r="M59" i="15"/>
  <c r="N59" i="15"/>
  <c r="N119" i="15" s="1"/>
  <c r="O59" i="15"/>
  <c r="P59" i="15"/>
  <c r="Q59" i="15"/>
  <c r="R59" i="15"/>
  <c r="R119" i="15" s="1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U42" i="15"/>
  <c r="U41" i="15"/>
  <c r="U40" i="15"/>
  <c r="W38" i="15"/>
  <c r="V39" i="15"/>
  <c r="V102" i="15" s="1"/>
  <c r="B60" i="15"/>
  <c r="R85" i="8"/>
  <c r="R79" i="8"/>
  <c r="S91" i="8"/>
  <c r="S73" i="8"/>
  <c r="S67" i="8"/>
  <c r="S61" i="8"/>
  <c r="S55" i="8"/>
  <c r="R78" i="8"/>
  <c r="S54" i="8"/>
  <c r="S53" i="8"/>
  <c r="S52" i="8"/>
  <c r="S58" i="8"/>
  <c r="S59" i="8"/>
  <c r="S60" i="8"/>
  <c r="S65" i="8"/>
  <c r="S66" i="8"/>
  <c r="S64" i="8"/>
  <c r="S72" i="8"/>
  <c r="S70" i="8"/>
  <c r="S71" i="8"/>
  <c r="R76" i="8"/>
  <c r="R77" i="8"/>
  <c r="R84" i="8"/>
  <c r="R82" i="8"/>
  <c r="S89" i="8"/>
  <c r="S51" i="8"/>
  <c r="S57" i="8"/>
  <c r="S69" i="8"/>
  <c r="S63" i="8"/>
  <c r="S90" i="8"/>
  <c r="S88" i="8"/>
  <c r="S87" i="8"/>
  <c r="R75" i="8"/>
  <c r="R81" i="8"/>
  <c r="T49" i="8"/>
  <c r="R83" i="8"/>
  <c r="V55" i="15" a="1"/>
  <c r="V52" i="15" a="1"/>
  <c r="Q60" i="15" a="1"/>
  <c r="L60" i="15" a="1"/>
  <c r="C60" i="15" a="1"/>
  <c r="V48" i="15" a="1"/>
  <c r="V43" i="15" a="1"/>
  <c r="V45" i="15" a="1"/>
  <c r="K60" i="15" a="1"/>
  <c r="R60" i="15" a="1"/>
  <c r="F60" i="15" a="1"/>
  <c r="T53" i="8" a="1"/>
  <c r="T71" i="8" a="1"/>
  <c r="T61" i="8" a="1"/>
  <c r="T57" i="8" a="1"/>
  <c r="V59" i="15" a="1"/>
  <c r="V58" i="15" a="1"/>
  <c r="T55" i="8" a="1"/>
  <c r="V40" i="15" a="1"/>
  <c r="V42" i="15" a="1"/>
  <c r="V50" i="15" a="1"/>
  <c r="T72" i="8" a="1"/>
  <c r="T58" i="8" a="1"/>
  <c r="T54" i="8" a="1"/>
  <c r="V54" i="15" a="1"/>
  <c r="T69" i="8" a="1"/>
  <c r="W39" i="15" a="1"/>
  <c r="V41" i="15" a="1"/>
  <c r="G60" i="15" a="1"/>
  <c r="U60" i="15" a="1"/>
  <c r="T51" i="8" a="1"/>
  <c r="T91" i="8" a="1"/>
  <c r="I60" i="15" a="1"/>
  <c r="V57" i="15" a="1"/>
  <c r="T70" i="8" a="1"/>
  <c r="T67" i="8" a="1"/>
  <c r="T59" i="8" a="1"/>
  <c r="D60" i="15" a="1"/>
  <c r="V53" i="15" a="1"/>
  <c r="T90" i="8" a="1"/>
  <c r="V56" i="15" a="1"/>
  <c r="V47" i="15" a="1"/>
  <c r="J60" i="15" a="1"/>
  <c r="T88" i="8" a="1"/>
  <c r="T73" i="8" a="1"/>
  <c r="V49" i="15" a="1"/>
  <c r="T65" i="8" a="1"/>
  <c r="T60" i="15" a="1"/>
  <c r="V60" i="15" a="1"/>
  <c r="T87" i="8" a="1"/>
  <c r="T52" i="8" a="1"/>
  <c r="T89" i="8" a="1"/>
  <c r="E60" i="15" a="1"/>
  <c r="T66" i="8" a="1"/>
  <c r="N60" i="15" a="1"/>
  <c r="P60" i="15" a="1"/>
  <c r="T60" i="8" a="1"/>
  <c r="H60" i="15" a="1"/>
  <c r="O60" i="15" a="1"/>
  <c r="M60" i="15" a="1"/>
  <c r="V44" i="15" a="1"/>
  <c r="T64" i="8" a="1"/>
  <c r="T63" i="8" a="1"/>
  <c r="S60" i="15" a="1"/>
  <c r="V46" i="15" a="1"/>
  <c r="V51" i="15" a="1"/>
  <c r="F119" i="15" l="1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F120" i="15" s="1"/>
  <c r="G60" i="15"/>
  <c r="H60" i="15"/>
  <c r="I60" i="15"/>
  <c r="J60" i="15"/>
  <c r="J120" i="15" s="1"/>
  <c r="K60" i="15"/>
  <c r="L60" i="15"/>
  <c r="M60" i="15"/>
  <c r="N60" i="15"/>
  <c r="N120" i="15" s="1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V40" i="15"/>
  <c r="V41" i="15"/>
  <c r="V42" i="15"/>
  <c r="X38" i="15"/>
  <c r="W39" i="15"/>
  <c r="W102" i="15" s="1"/>
  <c r="B61" i="15"/>
  <c r="S79" i="8"/>
  <c r="S85" i="8"/>
  <c r="T91" i="8"/>
  <c r="T73" i="8"/>
  <c r="T67" i="8"/>
  <c r="T61" i="8"/>
  <c r="T55" i="8"/>
  <c r="S76" i="8"/>
  <c r="S78" i="8"/>
  <c r="T53" i="8"/>
  <c r="T52" i="8"/>
  <c r="T54" i="8"/>
  <c r="T59" i="8"/>
  <c r="T60" i="8"/>
  <c r="T58" i="8"/>
  <c r="T65" i="8"/>
  <c r="T64" i="8"/>
  <c r="T66" i="8"/>
  <c r="T71" i="8"/>
  <c r="T72" i="8"/>
  <c r="T70" i="8"/>
  <c r="S77" i="8"/>
  <c r="S82" i="8"/>
  <c r="T89" i="8"/>
  <c r="T51" i="8"/>
  <c r="T57" i="8"/>
  <c r="T69" i="8"/>
  <c r="T63" i="8"/>
  <c r="T90" i="8"/>
  <c r="T88" i="8"/>
  <c r="T87" i="8"/>
  <c r="U49" i="8"/>
  <c r="S81" i="8"/>
  <c r="S75" i="8"/>
  <c r="S84" i="8"/>
  <c r="S83" i="8"/>
  <c r="U65" i="8" a="1"/>
  <c r="U72" i="8" a="1"/>
  <c r="E61" i="15" a="1"/>
  <c r="W48" i="15" a="1"/>
  <c r="W45" i="15" a="1"/>
  <c r="O61" i="15" a="1"/>
  <c r="U52" i="8" a="1"/>
  <c r="W60" i="15" a="1"/>
  <c r="U64" i="8" a="1"/>
  <c r="J61" i="15" a="1"/>
  <c r="U51" i="8" a="1"/>
  <c r="U90" i="8" a="1"/>
  <c r="U73" i="8" a="1"/>
  <c r="U61" i="8" a="1"/>
  <c r="D61" i="15" a="1"/>
  <c r="U87" i="8" a="1"/>
  <c r="W41" i="15" a="1"/>
  <c r="W56" i="15" a="1"/>
  <c r="P61" i="15" a="1"/>
  <c r="C61" i="15" a="1"/>
  <c r="U59" i="8" a="1"/>
  <c r="W57" i="15" a="1"/>
  <c r="W58" i="15" a="1"/>
  <c r="U55" i="8" a="1"/>
  <c r="R61" i="15" a="1"/>
  <c r="Q61" i="15" a="1"/>
  <c r="W53" i="15" a="1"/>
  <c r="W51" i="15" a="1"/>
  <c r="U91" i="8" a="1"/>
  <c r="U58" i="8" a="1"/>
  <c r="M61" i="15" a="1"/>
  <c r="W59" i="15" a="1"/>
  <c r="X39" i="15" a="1"/>
  <c r="U53" i="8" a="1"/>
  <c r="T61" i="15" a="1"/>
  <c r="S61" i="15" a="1"/>
  <c r="W43" i="15" a="1"/>
  <c r="W52" i="15" a="1"/>
  <c r="U61" i="15" a="1"/>
  <c r="W47" i="15" a="1"/>
  <c r="V61" i="15" a="1"/>
  <c r="W46" i="15" a="1"/>
  <c r="U69" i="8" a="1"/>
  <c r="U57" i="8" a="1"/>
  <c r="U54" i="8" a="1"/>
  <c r="U70" i="8" a="1"/>
  <c r="W49" i="15" a="1"/>
  <c r="N61" i="15" a="1"/>
  <c r="G61" i="15" a="1"/>
  <c r="W44" i="15" a="1"/>
  <c r="U88" i="8" a="1"/>
  <c r="I61" i="15" a="1"/>
  <c r="W42" i="15" a="1"/>
  <c r="W40" i="15" a="1"/>
  <c r="U66" i="8" a="1"/>
  <c r="W55" i="15" a="1"/>
  <c r="W50" i="15" a="1"/>
  <c r="L61" i="15" a="1"/>
  <c r="U67" i="8" a="1"/>
  <c r="U63" i="8" a="1"/>
  <c r="W54" i="15" a="1"/>
  <c r="U71" i="8" a="1"/>
  <c r="U60" i="8" a="1"/>
  <c r="F61" i="15" a="1"/>
  <c r="W61" i="15" a="1"/>
  <c r="K61" i="15" a="1"/>
  <c r="H61" i="15" a="1"/>
  <c r="U89" i="8" a="1"/>
  <c r="V120" i="15" l="1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N121" i="15" s="1"/>
  <c r="O61" i="15"/>
  <c r="P61" i="15"/>
  <c r="Q61" i="15"/>
  <c r="R61" i="15"/>
  <c r="R121" i="15" s="1"/>
  <c r="S61" i="15"/>
  <c r="T61" i="15"/>
  <c r="U61" i="15"/>
  <c r="V61" i="15"/>
  <c r="V121" i="15" s="1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W41" i="15"/>
  <c r="W42" i="15"/>
  <c r="W40" i="15"/>
  <c r="Y38" i="15"/>
  <c r="X39" i="15"/>
  <c r="X102" i="15" s="1"/>
  <c r="B62" i="15"/>
  <c r="U91" i="8"/>
  <c r="U73" i="8"/>
  <c r="U67" i="8"/>
  <c r="U61" i="8"/>
  <c r="U55" i="8"/>
  <c r="T85" i="8"/>
  <c r="T79" i="8"/>
  <c r="T78" i="8"/>
  <c r="T77" i="8"/>
  <c r="T76" i="8"/>
  <c r="U54" i="8"/>
  <c r="U52" i="8"/>
  <c r="U53" i="8"/>
  <c r="U59" i="8"/>
  <c r="U58" i="8"/>
  <c r="U60" i="8"/>
  <c r="U64" i="8"/>
  <c r="U65" i="8"/>
  <c r="U66" i="8"/>
  <c r="U72" i="8"/>
  <c r="U70" i="8"/>
  <c r="U71" i="8"/>
  <c r="T83" i="8"/>
  <c r="T84" i="8"/>
  <c r="U89" i="8"/>
  <c r="U51" i="8"/>
  <c r="U57" i="8"/>
  <c r="U69" i="8"/>
  <c r="U63" i="8"/>
  <c r="U90" i="8"/>
  <c r="U88" i="8"/>
  <c r="U87" i="8"/>
  <c r="T75" i="8"/>
  <c r="T81" i="8"/>
  <c r="V49" i="8"/>
  <c r="T82" i="8"/>
  <c r="L62" i="15" a="1"/>
  <c r="V67" i="8" a="1"/>
  <c r="I62" i="15" a="1"/>
  <c r="V58" i="8" a="1"/>
  <c r="E62" i="15" a="1"/>
  <c r="F62" i="15" a="1"/>
  <c r="X57" i="15" a="1"/>
  <c r="X51" i="15" a="1"/>
  <c r="X40" i="15" a="1"/>
  <c r="V55" i="8" a="1"/>
  <c r="V51" i="8" a="1"/>
  <c r="S62" i="15" a="1"/>
  <c r="X61" i="15" a="1"/>
  <c r="O62" i="15" a="1"/>
  <c r="V59" i="8" a="1"/>
  <c r="Q62" i="15" a="1"/>
  <c r="X42" i="15" a="1"/>
  <c r="X45" i="15" a="1"/>
  <c r="V71" i="8" a="1"/>
  <c r="V65" i="8" a="1"/>
  <c r="W62" i="15" a="1"/>
  <c r="X59" i="15" a="1"/>
  <c r="J62" i="15" a="1"/>
  <c r="V70" i="8" a="1"/>
  <c r="V91" i="8" a="1"/>
  <c r="X47" i="15" a="1"/>
  <c r="T62" i="15" a="1"/>
  <c r="V52" i="8" a="1"/>
  <c r="X48" i="15" a="1"/>
  <c r="V87" i="8" a="1"/>
  <c r="X41" i="15" a="1"/>
  <c r="G62" i="15" a="1"/>
  <c r="X43" i="15" a="1"/>
  <c r="X58" i="15" a="1"/>
  <c r="H62" i="15" a="1"/>
  <c r="Y39" i="15" a="1"/>
  <c r="V69" i="8" a="1"/>
  <c r="V90" i="8" a="1"/>
  <c r="V88" i="8" a="1"/>
  <c r="V73" i="8" a="1"/>
  <c r="X62" i="15" a="1"/>
  <c r="V62" i="15" a="1"/>
  <c r="D62" i="15" a="1"/>
  <c r="X50" i="15" a="1"/>
  <c r="U62" i="15" a="1"/>
  <c r="V61" i="8" a="1"/>
  <c r="X44" i="15" a="1"/>
  <c r="X56" i="15" a="1"/>
  <c r="X52" i="15" a="1"/>
  <c r="K62" i="15" a="1"/>
  <c r="V60" i="8" a="1"/>
  <c r="V66" i="8" a="1"/>
  <c r="M62" i="15" a="1"/>
  <c r="V89" i="8" a="1"/>
  <c r="V72" i="8" a="1"/>
  <c r="X53" i="15" a="1"/>
  <c r="C62" i="15" a="1"/>
  <c r="X55" i="15" a="1"/>
  <c r="X46" i="15" a="1"/>
  <c r="V54" i="8" a="1"/>
  <c r="R62" i="15" a="1"/>
  <c r="X49" i="15" a="1"/>
  <c r="V53" i="8" a="1"/>
  <c r="N62" i="15" a="1"/>
  <c r="X54" i="15" a="1"/>
  <c r="V57" i="8" a="1"/>
  <c r="V64" i="8" a="1"/>
  <c r="X60" i="15" a="1"/>
  <c r="V63" i="8" a="1"/>
  <c r="P62" i="15" a="1"/>
  <c r="J121" i="15" l="1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J122" i="15" s="1"/>
  <c r="K62" i="15"/>
  <c r="L62" i="15"/>
  <c r="M62" i="15"/>
  <c r="N62" i="15"/>
  <c r="N122" i="15" s="1"/>
  <c r="O62" i="15"/>
  <c r="P62" i="15"/>
  <c r="Q62" i="15"/>
  <c r="R62" i="15"/>
  <c r="R122" i="15" s="1"/>
  <c r="S62" i="15"/>
  <c r="T62" i="15"/>
  <c r="U62" i="15"/>
  <c r="V62" i="15"/>
  <c r="V122" i="15" s="1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X42" i="15"/>
  <c r="X40" i="15"/>
  <c r="X41" i="15"/>
  <c r="Z38" i="15"/>
  <c r="Y39" i="15"/>
  <c r="Y102" i="15" s="1"/>
  <c r="B63" i="15"/>
  <c r="V91" i="8"/>
  <c r="V73" i="8"/>
  <c r="V67" i="8"/>
  <c r="V61" i="8"/>
  <c r="V55" i="8"/>
  <c r="U85" i="8"/>
  <c r="U79" i="8"/>
  <c r="U78" i="8"/>
  <c r="U76" i="8"/>
  <c r="V52" i="8"/>
  <c r="V54" i="8"/>
  <c r="V53" i="8"/>
  <c r="V59" i="8"/>
  <c r="V58" i="8"/>
  <c r="V60" i="8"/>
  <c r="V65" i="8"/>
  <c r="V64" i="8"/>
  <c r="V66" i="8"/>
  <c r="V72" i="8"/>
  <c r="V71" i="8"/>
  <c r="V70" i="8"/>
  <c r="U77" i="8"/>
  <c r="U83" i="8"/>
  <c r="V89" i="8"/>
  <c r="V51" i="8"/>
  <c r="V57" i="8"/>
  <c r="V69" i="8"/>
  <c r="V63" i="8"/>
  <c r="V90" i="8"/>
  <c r="V88" i="8"/>
  <c r="V87" i="8"/>
  <c r="U84" i="8"/>
  <c r="U75" i="8"/>
  <c r="U81" i="8"/>
  <c r="W49" i="8"/>
  <c r="U82" i="8"/>
  <c r="D63" i="15" a="1"/>
  <c r="Y47" i="15" a="1"/>
  <c r="Y40" i="15" a="1"/>
  <c r="W58" i="8" a="1"/>
  <c r="Y53" i="15" a="1"/>
  <c r="W88" i="8" a="1"/>
  <c r="Y55" i="15" a="1"/>
  <c r="Y52" i="15" a="1"/>
  <c r="I63" i="15" a="1"/>
  <c r="Y61" i="15" a="1"/>
  <c r="O63" i="15" a="1"/>
  <c r="W61" i="8" a="1"/>
  <c r="W54" i="8" a="1"/>
  <c r="Y45" i="15" a="1"/>
  <c r="C63" i="15" a="1"/>
  <c r="W63" i="8" a="1"/>
  <c r="Y41" i="15" a="1"/>
  <c r="K63" i="15" a="1"/>
  <c r="U63" i="15" a="1"/>
  <c r="Y57" i="15" a="1"/>
  <c r="Y63" i="15" a="1"/>
  <c r="W66" i="8" a="1"/>
  <c r="N63" i="15" a="1"/>
  <c r="W72" i="8" a="1"/>
  <c r="L63" i="15" a="1"/>
  <c r="Y56" i="15" a="1"/>
  <c r="W57" i="8" a="1"/>
  <c r="Y50" i="15" a="1"/>
  <c r="W67" i="8" a="1"/>
  <c r="Y43" i="15" a="1"/>
  <c r="Y54" i="15" a="1"/>
  <c r="V63" i="15" a="1"/>
  <c r="F63" i="15" a="1"/>
  <c r="W52" i="8" a="1"/>
  <c r="W64" i="8" a="1"/>
  <c r="W53" i="8" a="1"/>
  <c r="W51" i="8" a="1"/>
  <c r="G63" i="15" a="1"/>
  <c r="Y60" i="15" a="1"/>
  <c r="W65" i="8" a="1"/>
  <c r="P63" i="15" a="1"/>
  <c r="E63" i="15" a="1"/>
  <c r="W91" i="8" a="1"/>
  <c r="Y48" i="15" a="1"/>
  <c r="H63" i="15" a="1"/>
  <c r="Y51" i="15" a="1"/>
  <c r="W89" i="8" a="1"/>
  <c r="X63" i="15" a="1"/>
  <c r="W60" i="8" a="1"/>
  <c r="Z39" i="15" a="1"/>
  <c r="W90" i="8" a="1"/>
  <c r="Q63" i="15" a="1"/>
  <c r="T63" i="15" a="1"/>
  <c r="Y59" i="15" a="1"/>
  <c r="W63" i="15" a="1"/>
  <c r="W87" i="8" a="1"/>
  <c r="J63" i="15" a="1"/>
  <c r="Y42" i="15" a="1"/>
  <c r="R63" i="15" a="1"/>
  <c r="Y58" i="15" a="1"/>
  <c r="W71" i="8" a="1"/>
  <c r="Y44" i="15" a="1"/>
  <c r="W69" i="8" a="1"/>
  <c r="Y46" i="15" a="1"/>
  <c r="W70" i="8" a="1"/>
  <c r="W55" i="8" a="1"/>
  <c r="Y49" i="15" a="1"/>
  <c r="M63" i="15" a="1"/>
  <c r="Y62" i="15" a="1"/>
  <c r="W59" i="8" a="1"/>
  <c r="S63" i="15" a="1"/>
  <c r="W73" i="8" a="1"/>
  <c r="F122" i="15" l="1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Y41" i="15"/>
  <c r="Y40" i="15"/>
  <c r="Y42" i="15"/>
  <c r="Z39" i="15"/>
  <c r="Z102" i="15" s="1"/>
  <c r="B64" i="15"/>
  <c r="V85" i="8"/>
  <c r="W91" i="8"/>
  <c r="W73" i="8"/>
  <c r="W67" i="8"/>
  <c r="W61" i="8"/>
  <c r="W55" i="8"/>
  <c r="V79" i="8"/>
  <c r="V76" i="8"/>
  <c r="W54" i="8"/>
  <c r="W52" i="8"/>
  <c r="W53" i="8"/>
  <c r="W58" i="8"/>
  <c r="W60" i="8"/>
  <c r="W59" i="8"/>
  <c r="W66" i="8"/>
  <c r="W64" i="8"/>
  <c r="W65" i="8"/>
  <c r="W70" i="8"/>
  <c r="W71" i="8"/>
  <c r="W72" i="8"/>
  <c r="V78" i="8"/>
  <c r="V77" i="8"/>
  <c r="V83" i="8"/>
  <c r="W89" i="8"/>
  <c r="W51" i="8"/>
  <c r="W57" i="8"/>
  <c r="W69" i="8"/>
  <c r="W63" i="8"/>
  <c r="W90" i="8"/>
  <c r="W88" i="8"/>
  <c r="W87" i="8"/>
  <c r="V75" i="8"/>
  <c r="V81" i="8"/>
  <c r="X49" i="8"/>
  <c r="V84" i="8"/>
  <c r="V82" i="8"/>
  <c r="X59" i="8" a="1"/>
  <c r="Z56" i="15" a="1"/>
  <c r="X89" i="8" a="1"/>
  <c r="U64" i="15" a="1"/>
  <c r="J64" i="15" a="1"/>
  <c r="Z57" i="15" a="1"/>
  <c r="G64" i="15" a="1"/>
  <c r="D64" i="15" a="1"/>
  <c r="X69" i="8" a="1"/>
  <c r="X57" i="8" a="1"/>
  <c r="O64" i="15" a="1"/>
  <c r="L64" i="15" a="1"/>
  <c r="Z44" i="15" a="1"/>
  <c r="Z55" i="15" a="1"/>
  <c r="Z64" i="15" a="1"/>
  <c r="X60" i="8" a="1"/>
  <c r="Z45" i="15" a="1"/>
  <c r="E64" i="15" a="1"/>
  <c r="Z52" i="15" a="1"/>
  <c r="X58" i="8" a="1"/>
  <c r="Z61" i="15" a="1"/>
  <c r="Z46" i="15" a="1"/>
  <c r="S64" i="15" a="1"/>
  <c r="Z63" i="15" a="1"/>
  <c r="Y64" i="15" a="1"/>
  <c r="X66" i="8" a="1"/>
  <c r="Z54" i="15" a="1"/>
  <c r="V64" i="15" a="1"/>
  <c r="X87" i="8" a="1"/>
  <c r="F64" i="15" a="1"/>
  <c r="X73" i="8" a="1"/>
  <c r="X90" i="8" a="1"/>
  <c r="Z43" i="15" a="1"/>
  <c r="X54" i="8" a="1"/>
  <c r="Z60" i="15" a="1"/>
  <c r="AA39" i="15" a="1"/>
  <c r="N64" i="15" a="1"/>
  <c r="Z51" i="15" a="1"/>
  <c r="Z58" i="15" a="1"/>
  <c r="AA40" i="15" a="1"/>
  <c r="X72" i="8" a="1"/>
  <c r="P64" i="15" a="1"/>
  <c r="X88" i="8" a="1"/>
  <c r="R64" i="15" a="1"/>
  <c r="I64" i="15" a="1"/>
  <c r="T64" i="15" a="1"/>
  <c r="Z48" i="15" a="1"/>
  <c r="Z40" i="15" a="1"/>
  <c r="C64" i="15" a="1"/>
  <c r="X64" i="8" a="1"/>
  <c r="AA41" i="15" a="1"/>
  <c r="Z50" i="15" a="1"/>
  <c r="X67" i="8" a="1"/>
  <c r="Z47" i="15" a="1"/>
  <c r="Q64" i="15" a="1"/>
  <c r="Z49" i="15" a="1"/>
  <c r="X51" i="8" a="1"/>
  <c r="X91" i="8" a="1"/>
  <c r="X65" i="8" a="1"/>
  <c r="Z41" i="15" a="1"/>
  <c r="X64" i="15" a="1"/>
  <c r="Z42" i="15" a="1"/>
  <c r="X53" i="8" a="1"/>
  <c r="X63" i="8" a="1"/>
  <c r="Z62" i="15" a="1"/>
  <c r="W64" i="15" a="1"/>
  <c r="X61" i="8" a="1"/>
  <c r="AA42" i="15" a="1"/>
  <c r="X55" i="8" a="1"/>
  <c r="X70" i="8" a="1"/>
  <c r="K64" i="15" a="1"/>
  <c r="X52" i="8" a="1"/>
  <c r="M64" i="15" a="1"/>
  <c r="Z59" i="15" a="1"/>
  <c r="H64" i="15" a="1"/>
  <c r="X71" i="8" a="1"/>
  <c r="Z53" i="15" a="1"/>
  <c r="R123" i="15" l="1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Z41" i="15"/>
  <c r="AA40" i="15"/>
  <c r="Z42" i="15"/>
  <c r="Z40" i="15"/>
  <c r="AA42" i="15"/>
  <c r="AA41" i="15"/>
  <c r="AA39" i="15"/>
  <c r="AA102" i="15" s="1"/>
  <c r="B65" i="15"/>
  <c r="W85" i="8"/>
  <c r="X91" i="8"/>
  <c r="X73" i="8"/>
  <c r="X67" i="8"/>
  <c r="X61" i="8"/>
  <c r="X55" i="8"/>
  <c r="W79" i="8"/>
  <c r="W77" i="8"/>
  <c r="X54" i="8"/>
  <c r="X52" i="8"/>
  <c r="X53" i="8"/>
  <c r="X58" i="8"/>
  <c r="X59" i="8"/>
  <c r="X60" i="8"/>
  <c r="X64" i="8"/>
  <c r="X65" i="8"/>
  <c r="X66" i="8"/>
  <c r="X72" i="8"/>
  <c r="X70" i="8"/>
  <c r="X71" i="8"/>
  <c r="W76" i="8"/>
  <c r="W78" i="8"/>
  <c r="W82" i="8"/>
  <c r="W84" i="8"/>
  <c r="X89" i="8"/>
  <c r="X51" i="8"/>
  <c r="X57" i="8"/>
  <c r="X69" i="8"/>
  <c r="X63" i="8"/>
  <c r="X90" i="8"/>
  <c r="X88" i="8"/>
  <c r="X87" i="8"/>
  <c r="W81" i="8"/>
  <c r="W75" i="8"/>
  <c r="Y49" i="8"/>
  <c r="W83" i="8"/>
  <c r="K65" i="15" a="1"/>
  <c r="AA53" i="15" a="1"/>
  <c r="H65" i="15" a="1"/>
  <c r="V65" i="15" a="1"/>
  <c r="AA60" i="15" a="1"/>
  <c r="AA63" i="15" a="1"/>
  <c r="Y64" i="8" a="1"/>
  <c r="AA47" i="15" a="1"/>
  <c r="AA50" i="15" a="1"/>
  <c r="AA65" i="15" a="1"/>
  <c r="AA54" i="15" a="1"/>
  <c r="AA52" i="15" a="1"/>
  <c r="Z65" i="15" a="1"/>
  <c r="AA44" i="15" a="1"/>
  <c r="Y66" i="8" a="1"/>
  <c r="AA51" i="15" a="1"/>
  <c r="Y88" i="8" a="1"/>
  <c r="S65" i="15" a="1"/>
  <c r="AA48" i="15" a="1"/>
  <c r="AA55" i="15" a="1"/>
  <c r="Y65" i="15" a="1"/>
  <c r="Y51" i="8" a="1"/>
  <c r="J65" i="15" a="1"/>
  <c r="Y52" i="8" a="1"/>
  <c r="Q65" i="15" a="1"/>
  <c r="Y58" i="8" a="1"/>
  <c r="Y90" i="8" a="1"/>
  <c r="T65" i="15" a="1"/>
  <c r="Y91" i="8" a="1"/>
  <c r="U65" i="15" a="1"/>
  <c r="AA59" i="15" a="1"/>
  <c r="Y65" i="8" a="1"/>
  <c r="Y89" i="8" a="1"/>
  <c r="AA62" i="15" a="1"/>
  <c r="AA46" i="15" a="1"/>
  <c r="F65" i="15" a="1"/>
  <c r="M65" i="15" a="1"/>
  <c r="AA56" i="15" a="1"/>
  <c r="Y60" i="8" a="1"/>
  <c r="Y70" i="8" a="1"/>
  <c r="Y57" i="8" a="1"/>
  <c r="E65" i="15" a="1"/>
  <c r="AA61" i="15" a="1"/>
  <c r="P65" i="15" a="1"/>
  <c r="X65" i="15" a="1"/>
  <c r="I65" i="15" a="1"/>
  <c r="N65" i="15" a="1"/>
  <c r="AA43" i="15" a="1"/>
  <c r="W65" i="15" a="1"/>
  <c r="Y61" i="8" a="1"/>
  <c r="Y87" i="8" a="1"/>
  <c r="Y63" i="8" a="1"/>
  <c r="AA49" i="15" a="1"/>
  <c r="Y72" i="8" a="1"/>
  <c r="Y69" i="8" a="1"/>
  <c r="O65" i="15" a="1"/>
  <c r="AA64" i="15" a="1"/>
  <c r="C65" i="15" a="1"/>
  <c r="Y67" i="8" a="1"/>
  <c r="D65" i="15" a="1"/>
  <c r="Y54" i="8" a="1"/>
  <c r="AA45" i="15" a="1"/>
  <c r="R65" i="15" a="1"/>
  <c r="AA57" i="15" a="1"/>
  <c r="Y73" i="8" a="1"/>
  <c r="AA58" i="15" a="1"/>
  <c r="Y53" i="8" a="1"/>
  <c r="Y55" i="8" a="1"/>
  <c r="G65" i="15" a="1"/>
  <c r="Y59" i="8" a="1"/>
  <c r="L65" i="15" a="1"/>
  <c r="Y71" i="8" a="1"/>
  <c r="V124" i="15" l="1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J65" i="15"/>
  <c r="L65" i="15"/>
  <c r="M65" i="15"/>
  <c r="N65" i="15"/>
  <c r="N125" i="15" s="1"/>
  <c r="O65" i="15"/>
  <c r="P65" i="15"/>
  <c r="Q65" i="15"/>
  <c r="R65" i="15"/>
  <c r="R125" i="15" s="1"/>
  <c r="S65" i="15"/>
  <c r="T65" i="15"/>
  <c r="U65" i="15"/>
  <c r="V65" i="15"/>
  <c r="V125" i="15" s="1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D38" i="15"/>
  <c r="B66" i="15"/>
  <c r="X85" i="8"/>
  <c r="Y91" i="8"/>
  <c r="Y73" i="8"/>
  <c r="Y67" i="8"/>
  <c r="Y61" i="8"/>
  <c r="Y55" i="8"/>
  <c r="X79" i="8"/>
  <c r="X76" i="8"/>
  <c r="X78" i="8"/>
  <c r="Y53" i="8"/>
  <c r="Y52" i="8"/>
  <c r="Y54" i="8"/>
  <c r="Y58" i="8"/>
  <c r="Y60" i="8"/>
  <c r="Y59" i="8"/>
  <c r="Y66" i="8"/>
  <c r="Y64" i="8"/>
  <c r="Y65" i="8"/>
  <c r="Y71" i="8"/>
  <c r="Y70" i="8"/>
  <c r="Y72" i="8"/>
  <c r="X77" i="8"/>
  <c r="X83" i="8"/>
  <c r="Y89" i="8"/>
  <c r="Y51" i="8"/>
  <c r="Y57" i="8"/>
  <c r="Y69" i="8"/>
  <c r="Y63" i="8"/>
  <c r="Y90" i="8"/>
  <c r="Y88" i="8"/>
  <c r="Y87" i="8"/>
  <c r="X82" i="8"/>
  <c r="X75" i="8"/>
  <c r="X81" i="8"/>
  <c r="Z49" i="8"/>
  <c r="X84" i="8"/>
  <c r="AB39" i="15" a="1"/>
  <c r="AB61" i="15" a="1"/>
  <c r="P66" i="15" a="1"/>
  <c r="F66" i="15" a="1"/>
  <c r="AC61" i="15" a="1"/>
  <c r="Z67" i="8" a="1"/>
  <c r="J66" i="15" a="1"/>
  <c r="H66" i="15" a="1"/>
  <c r="N66" i="15" a="1"/>
  <c r="AC51" i="15" a="1"/>
  <c r="AC50" i="15" a="1"/>
  <c r="Z55" i="8" a="1"/>
  <c r="AC52" i="15" a="1"/>
  <c r="Z70" i="8" a="1"/>
  <c r="I66" i="15" a="1"/>
  <c r="AA66" i="15" a="1"/>
  <c r="AB42" i="15" a="1"/>
  <c r="AB64" i="15" a="1"/>
  <c r="M66" i="15" a="1"/>
  <c r="AC47" i="15" a="1"/>
  <c r="L66" i="15" a="1"/>
  <c r="D66" i="15" a="1"/>
  <c r="Z60" i="8" a="1"/>
  <c r="C66" i="15" a="1"/>
  <c r="AC58" i="15" a="1"/>
  <c r="AC56" i="15" a="1"/>
  <c r="Z54" i="8" a="1"/>
  <c r="AB66" i="15" a="1"/>
  <c r="Z65" i="8" a="1"/>
  <c r="G66" i="15" a="1"/>
  <c r="Z87" i="8" a="1"/>
  <c r="AB45" i="15" a="1"/>
  <c r="AC45" i="15" a="1"/>
  <c r="O66" i="15" a="1"/>
  <c r="Q66" i="15" a="1"/>
  <c r="AC62" i="15" a="1"/>
  <c r="Z57" i="8" a="1"/>
  <c r="AC63" i="15" a="1"/>
  <c r="AB52" i="15" a="1"/>
  <c r="Z66" i="8" a="1"/>
  <c r="Z58" i="8" a="1"/>
  <c r="AB47" i="15" a="1"/>
  <c r="Z69" i="8" a="1"/>
  <c r="AB51" i="15" a="1"/>
  <c r="AB62" i="15" a="1"/>
  <c r="AC57" i="15" a="1"/>
  <c r="Z72" i="8" a="1"/>
  <c r="AB60" i="15" a="1"/>
  <c r="Z71" i="8" a="1"/>
  <c r="Y66" i="15" a="1"/>
  <c r="AC65" i="15" a="1"/>
  <c r="T66" i="15" a="1"/>
  <c r="AB65" i="15" a="1"/>
  <c r="Z61" i="8" a="1"/>
  <c r="Z73" i="8" a="1"/>
  <c r="R66" i="15" a="1"/>
  <c r="AC42" i="15" a="1"/>
  <c r="Z66" i="15" a="1"/>
  <c r="AB53" i="15" a="1"/>
  <c r="AC39" i="15" a="1"/>
  <c r="Z91" i="8" a="1"/>
  <c r="AC43" i="15" a="1"/>
  <c r="AB41" i="15" a="1"/>
  <c r="AB58" i="15" a="1"/>
  <c r="Z53" i="8" a="1"/>
  <c r="Z64" i="8" a="1"/>
  <c r="AC53" i="15" a="1"/>
  <c r="AC48" i="15" a="1"/>
  <c r="AB56" i="15" a="1"/>
  <c r="AB46" i="15" a="1"/>
  <c r="AB63" i="15" a="1"/>
  <c r="AB54" i="15" a="1"/>
  <c r="AC55" i="15" a="1"/>
  <c r="AB43" i="15" a="1"/>
  <c r="AB40" i="15" a="1"/>
  <c r="Z90" i="8" a="1"/>
  <c r="AB49" i="15" a="1"/>
  <c r="AC41" i="15" a="1"/>
  <c r="W66" i="15" a="1"/>
  <c r="V66" i="15" a="1"/>
  <c r="E66" i="15" a="1"/>
  <c r="K66" i="15" a="1"/>
  <c r="Z52" i="8" a="1"/>
  <c r="AC44" i="15" a="1"/>
  <c r="AC60" i="15" a="1"/>
  <c r="AC46" i="15" a="1"/>
  <c r="U66" i="15" a="1"/>
  <c r="AC59" i="15" a="1"/>
  <c r="Z59" i="8" a="1"/>
  <c r="AC49" i="15" a="1"/>
  <c r="AC40" i="15" a="1"/>
  <c r="Z51" i="8" a="1"/>
  <c r="AC54" i="15" a="1"/>
  <c r="Z88" i="8" a="1"/>
  <c r="X66" i="15" a="1"/>
  <c r="AB55" i="15" a="1"/>
  <c r="AB44" i="15" a="1"/>
  <c r="S66" i="15" a="1"/>
  <c r="Z89" i="8" a="1"/>
  <c r="Z63" i="8" a="1"/>
  <c r="AB57" i="15" a="1"/>
  <c r="AC66" i="15" a="1"/>
  <c r="AB50" i="15" a="1"/>
  <c r="AB48" i="15" a="1"/>
  <c r="AB59" i="15" a="1"/>
  <c r="AC64" i="15" a="1"/>
  <c r="AB39" i="15" l="1"/>
  <c r="AB102" i="15" s="1"/>
  <c r="K125" i="15"/>
  <c r="AB41" i="15"/>
  <c r="F125" i="15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AB40" i="15"/>
  <c r="AB42" i="15"/>
  <c r="C66" i="15"/>
  <c r="C126" i="15" s="1"/>
  <c r="E66" i="15"/>
  <c r="F66" i="15"/>
  <c r="G66" i="15"/>
  <c r="H66" i="15"/>
  <c r="I66" i="15"/>
  <c r="K66" i="15"/>
  <c r="J66" i="15"/>
  <c r="L66" i="15"/>
  <c r="L126" i="15" s="1"/>
  <c r="M66" i="15"/>
  <c r="N66" i="15"/>
  <c r="O66" i="15"/>
  <c r="P66" i="15"/>
  <c r="P126" i="15" s="1"/>
  <c r="Q66" i="15"/>
  <c r="R66" i="15"/>
  <c r="S66" i="15"/>
  <c r="T66" i="15"/>
  <c r="T126" i="15" s="1"/>
  <c r="U66" i="15"/>
  <c r="V66" i="15"/>
  <c r="W66" i="15"/>
  <c r="X66" i="15"/>
  <c r="X126" i="15" s="1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40" i="15"/>
  <c r="AC42" i="15"/>
  <c r="AC41" i="15"/>
  <c r="AC39" i="15"/>
  <c r="AC102" i="15" s="1"/>
  <c r="AE38" i="15"/>
  <c r="B67" i="15"/>
  <c r="Z91" i="8"/>
  <c r="Z73" i="8"/>
  <c r="Z67" i="8"/>
  <c r="Z61" i="8"/>
  <c r="Z55" i="8"/>
  <c r="Y85" i="8"/>
  <c r="Y79" i="8"/>
  <c r="Y77" i="8"/>
  <c r="Y76" i="8"/>
  <c r="Z54" i="8"/>
  <c r="Z53" i="8"/>
  <c r="Z52" i="8"/>
  <c r="Z60" i="8"/>
  <c r="Z59" i="8"/>
  <c r="Z58" i="8"/>
  <c r="Z64" i="8"/>
  <c r="Z66" i="8"/>
  <c r="Z65" i="8"/>
  <c r="Z71" i="8"/>
  <c r="Z72" i="8"/>
  <c r="Z70" i="8"/>
  <c r="Y78" i="8"/>
  <c r="Y82" i="8"/>
  <c r="Y83" i="8"/>
  <c r="Z89" i="8"/>
  <c r="Z51" i="8"/>
  <c r="Z57" i="8"/>
  <c r="Z69" i="8"/>
  <c r="Z63" i="8"/>
  <c r="Z90" i="8"/>
  <c r="Z88" i="8"/>
  <c r="Z87" i="8"/>
  <c r="Y84" i="8"/>
  <c r="Y81" i="8"/>
  <c r="Y75" i="8"/>
  <c r="AA49" i="8"/>
  <c r="AD62" i="15" a="1"/>
  <c r="AD45" i="15" a="1"/>
  <c r="AA87" i="8" a="1"/>
  <c r="AD57" i="15" a="1"/>
  <c r="AA72" i="8" a="1"/>
  <c r="D67" i="15" a="1"/>
  <c r="AD49" i="15" a="1"/>
  <c r="AD53" i="15" a="1"/>
  <c r="AA52" i="8" a="1"/>
  <c r="AD59" i="15" a="1"/>
  <c r="AD46" i="15" a="1"/>
  <c r="AC67" i="15" a="1"/>
  <c r="AA89" i="8" a="1"/>
  <c r="AD42" i="15" a="1"/>
  <c r="AA63" i="8" a="1"/>
  <c r="AD41" i="15" a="1"/>
  <c r="C67" i="15" a="1"/>
  <c r="AD50" i="15" a="1"/>
  <c r="E67" i="15" a="1"/>
  <c r="AA67" i="15" a="1"/>
  <c r="AD55" i="15" a="1"/>
  <c r="AD64" i="15" a="1"/>
  <c r="P67" i="15" a="1"/>
  <c r="AD63" i="15" a="1"/>
  <c r="AD47" i="15" a="1"/>
  <c r="AA54" i="8" a="1"/>
  <c r="AA64" i="8" a="1"/>
  <c r="AD48" i="15" a="1"/>
  <c r="AD66" i="15" a="1"/>
  <c r="AD39" i="15" a="1"/>
  <c r="AA73" i="8" a="1"/>
  <c r="T67" i="15" a="1"/>
  <c r="AA70" i="8" a="1"/>
  <c r="Q67" i="15" a="1"/>
  <c r="AA57" i="8" a="1"/>
  <c r="N67" i="15" a="1"/>
  <c r="K67" i="15" a="1"/>
  <c r="AA55" i="8" a="1"/>
  <c r="AA53" i="8" a="1"/>
  <c r="W67" i="15" a="1"/>
  <c r="AD56" i="15" a="1"/>
  <c r="H67" i="15" a="1"/>
  <c r="AD58" i="15" a="1"/>
  <c r="L67" i="15" a="1"/>
  <c r="AD44" i="15" a="1"/>
  <c r="V67" i="15" a="1"/>
  <c r="J67" i="15" a="1"/>
  <c r="AA90" i="8" a="1"/>
  <c r="I67" i="15" a="1"/>
  <c r="R67" i="15" a="1"/>
  <c r="M67" i="15" a="1"/>
  <c r="Z67" i="15" a="1"/>
  <c r="AA58" i="8" a="1"/>
  <c r="AA59" i="8" a="1"/>
  <c r="AD40" i="15" a="1"/>
  <c r="AA60" i="8" a="1"/>
  <c r="AD60" i="15" a="1"/>
  <c r="AB67" i="15" a="1"/>
  <c r="AA66" i="8" a="1"/>
  <c r="AA61" i="8" a="1"/>
  <c r="AD43" i="15" a="1"/>
  <c r="AD51" i="15" a="1"/>
  <c r="AA71" i="8" a="1"/>
  <c r="AD61" i="15" a="1"/>
  <c r="AA65" i="8" a="1"/>
  <c r="AD54" i="15" a="1"/>
  <c r="O67" i="15" a="1"/>
  <c r="AA67" i="8" a="1"/>
  <c r="AA88" i="8" a="1"/>
  <c r="AD65" i="15" a="1"/>
  <c r="U67" i="15" a="1"/>
  <c r="AA91" i="8" a="1"/>
  <c r="X67" i="15" a="1"/>
  <c r="Y67" i="15" a="1"/>
  <c r="AD67" i="15" a="1"/>
  <c r="AA51" i="8" a="1"/>
  <c r="AA69" i="8" a="1"/>
  <c r="AD52" i="15" a="1"/>
  <c r="F67" i="15" a="1"/>
  <c r="G67" i="15" a="1"/>
  <c r="S67" i="15" a="1"/>
  <c r="H126" i="15" l="1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N127" i="15" s="1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41" i="15"/>
  <c r="AD42" i="15"/>
  <c r="AD40" i="15"/>
  <c r="AD39" i="15"/>
  <c r="AD102" i="15" s="1"/>
  <c r="AF38" i="15"/>
  <c r="B68" i="15"/>
  <c r="AA91" i="8"/>
  <c r="AA73" i="8"/>
  <c r="AA67" i="8"/>
  <c r="AA61" i="8"/>
  <c r="AA55" i="8"/>
  <c r="Z85" i="8"/>
  <c r="Z79" i="8"/>
  <c r="Z78" i="8"/>
  <c r="AA53" i="8"/>
  <c r="AA54" i="8"/>
  <c r="AA52" i="8"/>
  <c r="AA58" i="8"/>
  <c r="AA59" i="8"/>
  <c r="AA60" i="8"/>
  <c r="AA66" i="8"/>
  <c r="AA64" i="8"/>
  <c r="AA65" i="8"/>
  <c r="AA70" i="8"/>
  <c r="AA71" i="8"/>
  <c r="AA72" i="8"/>
  <c r="Z76" i="8"/>
  <c r="Z77" i="8"/>
  <c r="Z84" i="8"/>
  <c r="Z82" i="8"/>
  <c r="AA89" i="8"/>
  <c r="AA51" i="8"/>
  <c r="AA57" i="8"/>
  <c r="AA69" i="8"/>
  <c r="AA63" i="8"/>
  <c r="AA90" i="8"/>
  <c r="AA88" i="8"/>
  <c r="AA87" i="8"/>
  <c r="Z75" i="8"/>
  <c r="Z81" i="8"/>
  <c r="AB49" i="8"/>
  <c r="Z83" i="8"/>
  <c r="D68" i="15" a="1"/>
  <c r="N68" i="15" a="1"/>
  <c r="AE51" i="15" a="1"/>
  <c r="G68" i="15" a="1"/>
  <c r="AE39" i="15" a="1"/>
  <c r="AE57" i="15" a="1"/>
  <c r="F68" i="15" a="1"/>
  <c r="AB89" i="8" a="1"/>
  <c r="AB59" i="8" a="1"/>
  <c r="AD68" i="15" a="1"/>
  <c r="T68" i="15" a="1"/>
  <c r="AE60" i="15" a="1"/>
  <c r="AE40" i="15" a="1"/>
  <c r="Q68" i="15" a="1"/>
  <c r="AB64" i="8" a="1"/>
  <c r="W68" i="15" a="1"/>
  <c r="AB70" i="8" a="1"/>
  <c r="AE56" i="15" a="1"/>
  <c r="AB51" i="8" a="1"/>
  <c r="AB90" i="8" a="1"/>
  <c r="AE44" i="15" a="1"/>
  <c r="AE64" i="15" a="1"/>
  <c r="M68" i="15" a="1"/>
  <c r="AB54" i="8" a="1"/>
  <c r="AB61" i="8" a="1"/>
  <c r="AE67" i="15" a="1"/>
  <c r="AE41" i="15" a="1"/>
  <c r="AE48" i="15" a="1"/>
  <c r="R68" i="15" a="1"/>
  <c r="AE61" i="15" a="1"/>
  <c r="P68" i="15" a="1"/>
  <c r="U68" i="15" a="1"/>
  <c r="AB72" i="8" a="1"/>
  <c r="AC68" i="15" a="1"/>
  <c r="AE45" i="15" a="1"/>
  <c r="AB65" i="8" a="1"/>
  <c r="AB60" i="8" a="1"/>
  <c r="S68" i="15" a="1"/>
  <c r="AB73" i="8" a="1"/>
  <c r="AB57" i="8" a="1"/>
  <c r="AB87" i="8" a="1"/>
  <c r="K68" i="15" a="1"/>
  <c r="AE43" i="15" a="1"/>
  <c r="V68" i="15" a="1"/>
  <c r="AB58" i="8" a="1"/>
  <c r="X68" i="15" a="1"/>
  <c r="AE63" i="15" a="1"/>
  <c r="AE65" i="15" a="1"/>
  <c r="AB66" i="8" a="1"/>
  <c r="AE59" i="15" a="1"/>
  <c r="AE53" i="15" a="1"/>
  <c r="J68" i="15" a="1"/>
  <c r="AE54" i="15" a="1"/>
  <c r="Y68" i="15" a="1"/>
  <c r="AE55" i="15" a="1"/>
  <c r="AE52" i="15" a="1"/>
  <c r="O68" i="15" a="1"/>
  <c r="AB63" i="8" a="1"/>
  <c r="AE46" i="15" a="1"/>
  <c r="AE62" i="15" a="1"/>
  <c r="AB91" i="8" a="1"/>
  <c r="AB69" i="8" a="1"/>
  <c r="C68" i="15" a="1"/>
  <c r="AB88" i="8" a="1"/>
  <c r="AE58" i="15" a="1"/>
  <c r="Z68" i="15" a="1"/>
  <c r="H68" i="15" a="1"/>
  <c r="AE50" i="15" a="1"/>
  <c r="AE66" i="15" a="1"/>
  <c r="AE42" i="15" a="1"/>
  <c r="L68" i="15" a="1"/>
  <c r="AE49" i="15" a="1"/>
  <c r="AB68" i="15" a="1"/>
  <c r="AE47" i="15" a="1"/>
  <c r="AB53" i="8" a="1"/>
  <c r="AE68" i="15" a="1"/>
  <c r="AB55" i="8" a="1"/>
  <c r="E68" i="15" a="1"/>
  <c r="AB52" i="8" a="1"/>
  <c r="I68" i="15" a="1"/>
  <c r="AB71" i="8" a="1"/>
  <c r="AA68" i="15" a="1"/>
  <c r="AB67" i="8" a="1"/>
  <c r="AB127" i="15" l="1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F128" i="15" s="1"/>
  <c r="G68" i="15"/>
  <c r="H68" i="15"/>
  <c r="I68" i="15"/>
  <c r="J68" i="15"/>
  <c r="J128" i="15" s="1"/>
  <c r="K68" i="15"/>
  <c r="L68" i="15"/>
  <c r="M68" i="15"/>
  <c r="N68" i="15"/>
  <c r="N128" i="15" s="1"/>
  <c r="O68" i="15"/>
  <c r="P68" i="15"/>
  <c r="Q68" i="15"/>
  <c r="R68" i="15"/>
  <c r="R128" i="15" s="1"/>
  <c r="S68" i="15"/>
  <c r="T68" i="15"/>
  <c r="U68" i="15"/>
  <c r="V68" i="15"/>
  <c r="V128" i="15" s="1"/>
  <c r="W68" i="15"/>
  <c r="X68" i="15"/>
  <c r="Y68" i="15"/>
  <c r="Z68" i="15"/>
  <c r="Z128" i="15" s="1"/>
  <c r="AA68" i="15"/>
  <c r="AC68" i="15"/>
  <c r="AB68" i="15"/>
  <c r="AD68" i="15"/>
  <c r="AD128" i="15" s="1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40" i="15"/>
  <c r="AE41" i="15"/>
  <c r="AE42" i="15"/>
  <c r="AE39" i="15"/>
  <c r="AE102" i="15" s="1"/>
  <c r="AG38" i="15"/>
  <c r="B69" i="15"/>
  <c r="AB91" i="8"/>
  <c r="AB73" i="8"/>
  <c r="AB67" i="8"/>
  <c r="AB61" i="8"/>
  <c r="AB55" i="8"/>
  <c r="AA85" i="8"/>
  <c r="AA79" i="8"/>
  <c r="AA76" i="8"/>
  <c r="AA78" i="8"/>
  <c r="AB52" i="8"/>
  <c r="AB54" i="8"/>
  <c r="AB53" i="8"/>
  <c r="AB58" i="8"/>
  <c r="AB60" i="8"/>
  <c r="AB59" i="8"/>
  <c r="AB66" i="8"/>
  <c r="AB65" i="8"/>
  <c r="AB64" i="8"/>
  <c r="AB71" i="8"/>
  <c r="AB72" i="8"/>
  <c r="AB70" i="8"/>
  <c r="AA77" i="8"/>
  <c r="AA84" i="8"/>
  <c r="AB89" i="8"/>
  <c r="AB51" i="8"/>
  <c r="AB57" i="8"/>
  <c r="AB69" i="8"/>
  <c r="AB63" i="8"/>
  <c r="AB90" i="8"/>
  <c r="AB88" i="8"/>
  <c r="AB87" i="8"/>
  <c r="AA81" i="8"/>
  <c r="AA75" i="8"/>
  <c r="AC49" i="8"/>
  <c r="AA83" i="8"/>
  <c r="AA82" i="8"/>
  <c r="AF43" i="15" a="1"/>
  <c r="AF54" i="15" a="1"/>
  <c r="AC59" i="8" a="1"/>
  <c r="AC52" i="8" a="1"/>
  <c r="AC66" i="8" a="1"/>
  <c r="U69" i="15" a="1"/>
  <c r="AF62" i="15" a="1"/>
  <c r="AF64" i="15" a="1"/>
  <c r="AF51" i="15" a="1"/>
  <c r="AF59" i="15" a="1"/>
  <c r="AF44" i="15" a="1"/>
  <c r="O69" i="15" a="1"/>
  <c r="AF65" i="15" a="1"/>
  <c r="AC87" i="8" a="1"/>
  <c r="AC58" i="8" a="1"/>
  <c r="AC72" i="8" a="1"/>
  <c r="AC63" i="8" a="1"/>
  <c r="AF60" i="15" a="1"/>
  <c r="AC61" i="8" a="1"/>
  <c r="X69" i="15" a="1"/>
  <c r="AC71" i="8" a="1"/>
  <c r="N69" i="15" a="1"/>
  <c r="T69" i="15" a="1"/>
  <c r="AC90" i="8" a="1"/>
  <c r="AC69" i="8" a="1"/>
  <c r="AC65" i="8" a="1"/>
  <c r="AA69" i="15" a="1"/>
  <c r="M69" i="15" a="1"/>
  <c r="D69" i="15" a="1"/>
  <c r="E69" i="15" a="1"/>
  <c r="W69" i="15" a="1"/>
  <c r="AF57" i="15" a="1"/>
  <c r="G69" i="15" a="1"/>
  <c r="AC89" i="8" a="1"/>
  <c r="AB69" i="15" a="1"/>
  <c r="P69" i="15" a="1"/>
  <c r="AC67" i="8" a="1"/>
  <c r="AC64" i="8" a="1"/>
  <c r="AF68" i="15" a="1"/>
  <c r="L69" i="15" a="1"/>
  <c r="AC51" i="8" a="1"/>
  <c r="Z69" i="15" a="1"/>
  <c r="AF53" i="15" a="1"/>
  <c r="V69" i="15" a="1"/>
  <c r="AF63" i="15" a="1"/>
  <c r="AF41" i="15" a="1"/>
  <c r="AF49" i="15" a="1"/>
  <c r="K69" i="15" a="1"/>
  <c r="AF42" i="15" a="1"/>
  <c r="F69" i="15" a="1"/>
  <c r="AC88" i="8" a="1"/>
  <c r="AC55" i="8" a="1"/>
  <c r="AF48" i="15" a="1"/>
  <c r="AF66" i="15" a="1"/>
  <c r="AF39" i="15" a="1"/>
  <c r="AC54" i="8" a="1"/>
  <c r="AC70" i="8" a="1"/>
  <c r="AC91" i="8" a="1"/>
  <c r="AF50" i="15" a="1"/>
  <c r="AC53" i="8" a="1"/>
  <c r="AC69" i="15" a="1"/>
  <c r="I69" i="15" a="1"/>
  <c r="AF56" i="15" a="1"/>
  <c r="AF52" i="15" a="1"/>
  <c r="AF67" i="15" a="1"/>
  <c r="S69" i="15" a="1"/>
  <c r="AF46" i="15" a="1"/>
  <c r="AD69" i="15" a="1"/>
  <c r="AF55" i="15" a="1"/>
  <c r="AF47" i="15" a="1"/>
  <c r="R69" i="15" a="1"/>
  <c r="J69" i="15" a="1"/>
  <c r="H69" i="15" a="1"/>
  <c r="Q69" i="15" a="1"/>
  <c r="AF40" i="15" a="1"/>
  <c r="AF61" i="15" a="1"/>
  <c r="AE69" i="15" a="1"/>
  <c r="AF69" i="15" a="1"/>
  <c r="AC57" i="8" a="1"/>
  <c r="Y69" i="15" a="1"/>
  <c r="C69" i="15" a="1"/>
  <c r="AC73" i="8" a="1"/>
  <c r="AC60" i="8" a="1"/>
  <c r="AF58" i="15" a="1"/>
  <c r="AF45" i="15" a="1"/>
  <c r="AA128" i="15" l="1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N129" i="15" s="1"/>
  <c r="O69" i="15"/>
  <c r="P69" i="15"/>
  <c r="Q69" i="15"/>
  <c r="R69" i="15"/>
  <c r="R129" i="15" s="1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41" i="15"/>
  <c r="AF42" i="15"/>
  <c r="AF40" i="15"/>
  <c r="AF39" i="15"/>
  <c r="AF102" i="15" s="1"/>
  <c r="AH38" i="15"/>
  <c r="B70" i="15"/>
  <c r="AC91" i="8"/>
  <c r="AC73" i="8"/>
  <c r="AC67" i="8"/>
  <c r="AC61" i="8"/>
  <c r="AC55" i="8"/>
  <c r="AB85" i="8"/>
  <c r="AB79" i="8"/>
  <c r="AB77" i="8"/>
  <c r="AB78" i="8"/>
  <c r="AC53" i="8"/>
  <c r="AC52" i="8"/>
  <c r="AC54" i="8"/>
  <c r="AC60" i="8"/>
  <c r="AC58" i="8"/>
  <c r="AC59" i="8"/>
  <c r="AC66" i="8"/>
  <c r="AC64" i="8"/>
  <c r="AC65" i="8"/>
  <c r="AC71" i="8"/>
  <c r="AC72" i="8"/>
  <c r="AC70" i="8"/>
  <c r="AB76" i="8"/>
  <c r="AB83" i="8"/>
  <c r="AC89" i="8"/>
  <c r="AC51" i="8"/>
  <c r="AC57" i="8"/>
  <c r="AC69" i="8"/>
  <c r="AC63" i="8"/>
  <c r="AC90" i="8"/>
  <c r="AC88" i="8"/>
  <c r="AC87" i="8"/>
  <c r="AB82" i="8"/>
  <c r="AB81" i="8"/>
  <c r="AB75" i="8"/>
  <c r="AD49" i="8"/>
  <c r="AB84" i="8"/>
  <c r="V70" i="15" a="1"/>
  <c r="K70" i="15" a="1"/>
  <c r="AG43" i="15" a="1"/>
  <c r="AG49" i="15" a="1"/>
  <c r="AG58" i="15" a="1"/>
  <c r="AD53" i="8" a="1"/>
  <c r="AG61" i="15" a="1"/>
  <c r="R70" i="15" a="1"/>
  <c r="AG65" i="15" a="1"/>
  <c r="AD67" i="8" a="1"/>
  <c r="AG50" i="15" a="1"/>
  <c r="AG67" i="15" a="1"/>
  <c r="AD88" i="8" a="1"/>
  <c r="AG60" i="15" a="1"/>
  <c r="AD65" i="8" a="1"/>
  <c r="T70" i="15" a="1"/>
  <c r="AG54" i="15" a="1"/>
  <c r="C70" i="15" a="1"/>
  <c r="AG44" i="15" a="1"/>
  <c r="M70" i="15" a="1"/>
  <c r="E70" i="15" a="1"/>
  <c r="AD57" i="8" a="1"/>
  <c r="AD54" i="8" a="1"/>
  <c r="AD64" i="8" a="1"/>
  <c r="AG55" i="15" a="1"/>
  <c r="AG41" i="15" a="1"/>
  <c r="AD70" i="15" a="1"/>
  <c r="AG64" i="15" a="1"/>
  <c r="AF70" i="15" a="1"/>
  <c r="AD60" i="8" a="1"/>
  <c r="Y70" i="15" a="1"/>
  <c r="AG42" i="15" a="1"/>
  <c r="AG68" i="15" a="1"/>
  <c r="AG56" i="15" a="1"/>
  <c r="AD63" i="8" a="1"/>
  <c r="AD61" i="8" a="1"/>
  <c r="AG46" i="15" a="1"/>
  <c r="Q70" i="15" a="1"/>
  <c r="AG53" i="15" a="1"/>
  <c r="AD66" i="8" a="1"/>
  <c r="U70" i="15" a="1"/>
  <c r="Z70" i="15" a="1"/>
  <c r="D70" i="15" a="1"/>
  <c r="P70" i="15" a="1"/>
  <c r="N70" i="15" a="1"/>
  <c r="AD70" i="8" a="1"/>
  <c r="AG59" i="15" a="1"/>
  <c r="AG39" i="15" a="1"/>
  <c r="W70" i="15" a="1"/>
  <c r="AD71" i="8" a="1"/>
  <c r="AD73" i="8" a="1"/>
  <c r="AG70" i="15" a="1"/>
  <c r="AG51" i="15" a="1"/>
  <c r="AD89" i="8" a="1"/>
  <c r="AG52" i="15" a="1"/>
  <c r="AD59" i="8" a="1"/>
  <c r="AG40" i="15" a="1"/>
  <c r="G70" i="15" a="1"/>
  <c r="AC70" i="15" a="1"/>
  <c r="AG45" i="15" a="1"/>
  <c r="AG57" i="15" a="1"/>
  <c r="H70" i="15" a="1"/>
  <c r="O70" i="15" a="1"/>
  <c r="X70" i="15" a="1"/>
  <c r="AE70" i="15" a="1"/>
  <c r="AG63" i="15" a="1"/>
  <c r="AG47" i="15" a="1"/>
  <c r="AD69" i="8" a="1"/>
  <c r="AD51" i="8" a="1"/>
  <c r="J70" i="15" a="1"/>
  <c r="S70" i="15" a="1"/>
  <c r="L70" i="15" a="1"/>
  <c r="AG48" i="15" a="1"/>
  <c r="AB70" i="15" a="1"/>
  <c r="AA70" i="15" a="1"/>
  <c r="I70" i="15" a="1"/>
  <c r="AD55" i="8" a="1"/>
  <c r="AG69" i="15" a="1"/>
  <c r="AG66" i="15" a="1"/>
  <c r="AD72" i="8" a="1"/>
  <c r="AD52" i="8" a="1"/>
  <c r="AG62" i="15" a="1"/>
  <c r="AD58" i="8" a="1"/>
  <c r="AD90" i="8" a="1"/>
  <c r="F70" i="15" a="1"/>
  <c r="AD91" i="8" a="1"/>
  <c r="AD87" i="8" a="1"/>
  <c r="F129" i="15" l="1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G70" i="15"/>
  <c r="H70" i="15"/>
  <c r="I70" i="15"/>
  <c r="K70" i="15"/>
  <c r="K130" i="15" s="1"/>
  <c r="J70" i="15"/>
  <c r="L70" i="15"/>
  <c r="M70" i="15"/>
  <c r="N70" i="15"/>
  <c r="N130" i="15" s="1"/>
  <c r="O70" i="15"/>
  <c r="P70" i="15"/>
  <c r="Q70" i="15"/>
  <c r="R70" i="15"/>
  <c r="R130" i="15" s="1"/>
  <c r="S70" i="15"/>
  <c r="T70" i="15"/>
  <c r="U70" i="15"/>
  <c r="V70" i="15"/>
  <c r="V130" i="15" s="1"/>
  <c r="W70" i="15"/>
  <c r="X70" i="15"/>
  <c r="Y70" i="15"/>
  <c r="Z70" i="15"/>
  <c r="Z130" i="15" s="1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40" i="15"/>
  <c r="AG42" i="15"/>
  <c r="AG41" i="15"/>
  <c r="AG39" i="15"/>
  <c r="AG102" i="15" s="1"/>
  <c r="AI38" i="15"/>
  <c r="B71" i="15"/>
  <c r="AD91" i="8"/>
  <c r="AD73" i="8"/>
  <c r="AD67" i="8"/>
  <c r="AD61" i="8"/>
  <c r="AD55" i="8"/>
  <c r="AC85" i="8"/>
  <c r="AC79" i="8"/>
  <c r="AC76" i="8"/>
  <c r="AC78" i="8"/>
  <c r="AC77" i="8"/>
  <c r="AD53" i="8"/>
  <c r="AD52" i="8"/>
  <c r="AD54" i="8"/>
  <c r="AD58" i="8"/>
  <c r="AD60" i="8"/>
  <c r="AD59" i="8"/>
  <c r="AD64" i="8"/>
  <c r="AD65" i="8"/>
  <c r="AD66" i="8"/>
  <c r="AD72" i="8"/>
  <c r="AD71" i="8"/>
  <c r="AD70" i="8"/>
  <c r="AC83" i="8"/>
  <c r="AD89" i="8"/>
  <c r="AD51" i="8"/>
  <c r="AD57" i="8"/>
  <c r="AD69" i="8"/>
  <c r="AD63" i="8"/>
  <c r="AD90" i="8"/>
  <c r="AD88" i="8"/>
  <c r="AD87" i="8"/>
  <c r="AC84" i="8"/>
  <c r="AC81" i="8"/>
  <c r="AC75" i="8"/>
  <c r="AE49" i="8"/>
  <c r="AC82" i="8"/>
  <c r="D71" i="15" a="1"/>
  <c r="K71" i="15" a="1"/>
  <c r="AE60" i="8" a="1"/>
  <c r="AE71" i="8" a="1"/>
  <c r="AH67" i="15" a="1"/>
  <c r="AC71" i="15" a="1"/>
  <c r="M71" i="15" a="1"/>
  <c r="AE58" i="8" a="1"/>
  <c r="AH59" i="15" a="1"/>
  <c r="S71" i="15" a="1"/>
  <c r="AH47" i="15" a="1"/>
  <c r="AE54" i="8" a="1"/>
  <c r="AH70" i="15" a="1"/>
  <c r="AH56" i="15" a="1"/>
  <c r="AH51" i="15" a="1"/>
  <c r="I71" i="15" a="1"/>
  <c r="AH69" i="15" a="1"/>
  <c r="W71" i="15" a="1"/>
  <c r="AH44" i="15" a="1"/>
  <c r="AE89" i="8" a="1"/>
  <c r="AA71" i="15" a="1"/>
  <c r="AE71" i="15" a="1"/>
  <c r="AH68" i="15" a="1"/>
  <c r="AE53" i="8" a="1"/>
  <c r="AE52" i="8" a="1"/>
  <c r="O71" i="15" a="1"/>
  <c r="AH61" i="15" a="1"/>
  <c r="AH54" i="15" a="1"/>
  <c r="AH55" i="15" a="1"/>
  <c r="F71" i="15" a="1"/>
  <c r="V71" i="15" a="1"/>
  <c r="AE90" i="8" a="1"/>
  <c r="AH63" i="15" a="1"/>
  <c r="AH71" i="15" a="1"/>
  <c r="X71" i="15" a="1"/>
  <c r="AH52" i="15" a="1"/>
  <c r="AH45" i="15" a="1"/>
  <c r="AH53" i="15" a="1"/>
  <c r="AH62" i="15" a="1"/>
  <c r="T71" i="15" a="1"/>
  <c r="U71" i="15" a="1"/>
  <c r="AG71" i="15" a="1"/>
  <c r="AE66" i="8" a="1"/>
  <c r="AE69" i="8" a="1"/>
  <c r="AH40" i="15" a="1"/>
  <c r="AE87" i="8" a="1"/>
  <c r="AH43" i="15" a="1"/>
  <c r="AE51" i="8" a="1"/>
  <c r="AE67" i="8" a="1"/>
  <c r="AE73" i="8" a="1"/>
  <c r="AH64" i="15" a="1"/>
  <c r="AH58" i="15" a="1"/>
  <c r="Y71" i="15" a="1"/>
  <c r="AH65" i="15" a="1"/>
  <c r="C71" i="15" a="1"/>
  <c r="J71" i="15" a="1"/>
  <c r="AE64" i="8" a="1"/>
  <c r="AE61" i="8" a="1"/>
  <c r="AE91" i="8" a="1"/>
  <c r="AE65" i="8" a="1"/>
  <c r="AH41" i="15" a="1"/>
  <c r="Q71" i="15" a="1"/>
  <c r="N71" i="15" a="1"/>
  <c r="AH66" i="15" a="1"/>
  <c r="AH48" i="15" a="1"/>
  <c r="AE70" i="8" a="1"/>
  <c r="AE88" i="8" a="1"/>
  <c r="AF71" i="15" a="1"/>
  <c r="H71" i="15" a="1"/>
  <c r="E71" i="15" a="1"/>
  <c r="P71" i="15" a="1"/>
  <c r="Z71" i="15" a="1"/>
  <c r="G71" i="15" a="1"/>
  <c r="L71" i="15" a="1"/>
  <c r="AE57" i="8" a="1"/>
  <c r="AD71" i="15" a="1"/>
  <c r="AH42" i="15" a="1"/>
  <c r="R71" i="15" a="1"/>
  <c r="AH39" i="15" a="1"/>
  <c r="AH57" i="15" a="1"/>
  <c r="AH49" i="15" a="1"/>
  <c r="AE55" i="8" a="1"/>
  <c r="AB71" i="15" a="1"/>
  <c r="AE72" i="8" a="1"/>
  <c r="AE63" i="8" a="1"/>
  <c r="AH60" i="15" a="1"/>
  <c r="AH46" i="15" a="1"/>
  <c r="AE59" i="8" a="1"/>
  <c r="AH50" i="15" a="1"/>
  <c r="F130" i="15" l="1"/>
  <c r="AC130" i="15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G71" i="15"/>
  <c r="H71" i="15"/>
  <c r="I71" i="15"/>
  <c r="J71" i="15"/>
  <c r="J131" i="15" s="1"/>
  <c r="K71" i="15"/>
  <c r="L71" i="15"/>
  <c r="M71" i="15"/>
  <c r="N71" i="15"/>
  <c r="N131" i="15" s="1"/>
  <c r="O71" i="15"/>
  <c r="P71" i="15"/>
  <c r="Q71" i="15"/>
  <c r="R71" i="15"/>
  <c r="R131" i="15" s="1"/>
  <c r="S71" i="15"/>
  <c r="T71" i="15"/>
  <c r="U71" i="15"/>
  <c r="V71" i="15"/>
  <c r="V131" i="15" s="1"/>
  <c r="W71" i="15"/>
  <c r="X71" i="15"/>
  <c r="Y71" i="15"/>
  <c r="Z71" i="15"/>
  <c r="Z131" i="15" s="1"/>
  <c r="AA71" i="15"/>
  <c r="AC71" i="15"/>
  <c r="AB71" i="15"/>
  <c r="AD71" i="15"/>
  <c r="AD131" i="15" s="1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41" i="15"/>
  <c r="AH42" i="15"/>
  <c r="AH40" i="15"/>
  <c r="AH39" i="15"/>
  <c r="AH102" i="15" s="1"/>
  <c r="AJ38" i="15"/>
  <c r="B72" i="15"/>
  <c r="AE91" i="8"/>
  <c r="AE73" i="8"/>
  <c r="AE67" i="8"/>
  <c r="AE61" i="8"/>
  <c r="AE55" i="8"/>
  <c r="AD79" i="8"/>
  <c r="AD85" i="8"/>
  <c r="AD78" i="8"/>
  <c r="AD77" i="8"/>
  <c r="AE53" i="8"/>
  <c r="AE52" i="8"/>
  <c r="AE54" i="8"/>
  <c r="AE60" i="8"/>
  <c r="AE59" i="8"/>
  <c r="AE58" i="8"/>
  <c r="AE64" i="8"/>
  <c r="AE65" i="8"/>
  <c r="AE66" i="8"/>
  <c r="AE70" i="8"/>
  <c r="AE72" i="8"/>
  <c r="AE71" i="8"/>
  <c r="AD76" i="8"/>
  <c r="AD82" i="8"/>
  <c r="AE89" i="8"/>
  <c r="AE51" i="8"/>
  <c r="AE57" i="8"/>
  <c r="AE69" i="8"/>
  <c r="AE63" i="8"/>
  <c r="AE90" i="8"/>
  <c r="AE88" i="8"/>
  <c r="AE87" i="8"/>
  <c r="AF49" i="8"/>
  <c r="AD84" i="8"/>
  <c r="AD81" i="8"/>
  <c r="AD75" i="8"/>
  <c r="AD83" i="8"/>
  <c r="AD72" i="15" a="1"/>
  <c r="AF59" i="8" a="1"/>
  <c r="AI71" i="15" a="1"/>
  <c r="V72" i="15" a="1"/>
  <c r="K72" i="15" a="1"/>
  <c r="I72" i="15" a="1"/>
  <c r="AF60" i="8" a="1"/>
  <c r="AI56" i="15" a="1"/>
  <c r="F72" i="15" a="1"/>
  <c r="AI41" i="15" a="1"/>
  <c r="D72" i="15" a="1"/>
  <c r="AF72" i="15" a="1"/>
  <c r="AF53" i="8" a="1"/>
  <c r="W72" i="15" a="1"/>
  <c r="AF64" i="8" a="1"/>
  <c r="AI60" i="15" a="1"/>
  <c r="N72" i="15" a="1"/>
  <c r="AI62" i="15" a="1"/>
  <c r="AI72" i="15" a="1"/>
  <c r="R72" i="15" a="1"/>
  <c r="AH72" i="15" a="1"/>
  <c r="S72" i="15" a="1"/>
  <c r="AI45" i="15" a="1"/>
  <c r="AA72" i="15" a="1"/>
  <c r="AF65" i="8" a="1"/>
  <c r="AI53" i="15" a="1"/>
  <c r="C72" i="15" a="1"/>
  <c r="AF67" i="8" a="1"/>
  <c r="AI61" i="15" a="1"/>
  <c r="AI49" i="15" a="1"/>
  <c r="AF89" i="8" a="1"/>
  <c r="AF54" i="8" a="1"/>
  <c r="AF58" i="8" a="1"/>
  <c r="AI50" i="15" a="1"/>
  <c r="Z72" i="15" a="1"/>
  <c r="AI52" i="15" a="1"/>
  <c r="AF63" i="8" a="1"/>
  <c r="H72" i="15" a="1"/>
  <c r="L72" i="15" a="1"/>
  <c r="AF72" i="8" a="1"/>
  <c r="O72" i="15" a="1"/>
  <c r="AF55" i="8" a="1"/>
  <c r="AI43" i="15" a="1"/>
  <c r="AI65" i="15" a="1"/>
  <c r="AI39" i="15" a="1"/>
  <c r="AI63" i="15" a="1"/>
  <c r="AI59" i="15" a="1"/>
  <c r="G72" i="15" a="1"/>
  <c r="AF57" i="8" a="1"/>
  <c r="AI47" i="15" a="1"/>
  <c r="AI54" i="15" a="1"/>
  <c r="AI68" i="15" a="1"/>
  <c r="E72" i="15" a="1"/>
  <c r="AF61" i="8" a="1"/>
  <c r="AI70" i="15" a="1"/>
  <c r="AF90" i="8" a="1"/>
  <c r="AI51" i="15" a="1"/>
  <c r="AI44" i="15" a="1"/>
  <c r="AI64" i="15" a="1"/>
  <c r="AI57" i="15" a="1"/>
  <c r="AC72" i="15" a="1"/>
  <c r="AF88" i="8" a="1"/>
  <c r="AF91" i="8" a="1"/>
  <c r="AG72" i="15" a="1"/>
  <c r="AI67" i="15" a="1"/>
  <c r="U72" i="15" a="1"/>
  <c r="AI58" i="15" a="1"/>
  <c r="AI42" i="15" a="1"/>
  <c r="AF73" i="8" a="1"/>
  <c r="AE72" i="15" a="1"/>
  <c r="AF52" i="8" a="1"/>
  <c r="AB72" i="15" a="1"/>
  <c r="AF87" i="8" a="1"/>
  <c r="AI55" i="15" a="1"/>
  <c r="AF71" i="8" a="1"/>
  <c r="AI40" i="15" a="1"/>
  <c r="P72" i="15" a="1"/>
  <c r="AI66" i="15" a="1"/>
  <c r="Y72" i="15" a="1"/>
  <c r="M72" i="15" a="1"/>
  <c r="T72" i="15" a="1"/>
  <c r="AF70" i="8" a="1"/>
  <c r="AF66" i="8" a="1"/>
  <c r="X72" i="15" a="1"/>
  <c r="AF69" i="8" a="1"/>
  <c r="AI48" i="15" a="1"/>
  <c r="AI46" i="15" a="1"/>
  <c r="J72" i="15" a="1"/>
  <c r="Q72" i="15" a="1"/>
  <c r="AI69" i="15" a="1"/>
  <c r="AF51" i="8" a="1"/>
  <c r="F131" i="15" l="1"/>
  <c r="AF131" i="15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40" i="15"/>
  <c r="AI41" i="15"/>
  <c r="AI42" i="15"/>
  <c r="AI39" i="15"/>
  <c r="AI102" i="15" s="1"/>
  <c r="AK38" i="15"/>
  <c r="B73" i="15"/>
  <c r="AF91" i="8"/>
  <c r="AF73" i="8"/>
  <c r="AF67" i="8"/>
  <c r="AF61" i="8"/>
  <c r="AF55" i="8"/>
  <c r="AE79" i="8"/>
  <c r="AE85" i="8"/>
  <c r="AE78" i="8"/>
  <c r="AE77" i="8"/>
  <c r="AE76" i="8"/>
  <c r="AF53" i="8"/>
  <c r="AF54" i="8"/>
  <c r="AF52" i="8"/>
  <c r="AF59" i="8"/>
  <c r="AF58" i="8"/>
  <c r="AF60" i="8"/>
  <c r="AF64" i="8"/>
  <c r="AF66" i="8"/>
  <c r="AF65" i="8"/>
  <c r="AF70" i="8"/>
  <c r="AF71" i="8"/>
  <c r="AF72" i="8"/>
  <c r="AE84" i="8"/>
  <c r="AF89" i="8"/>
  <c r="AF51" i="8"/>
  <c r="AF57" i="8"/>
  <c r="AF69" i="8"/>
  <c r="AF63" i="8"/>
  <c r="AF90" i="8"/>
  <c r="AF88" i="8"/>
  <c r="AF87" i="8"/>
  <c r="AE83" i="8"/>
  <c r="AG49" i="8"/>
  <c r="AE82" i="8"/>
  <c r="AE81" i="8"/>
  <c r="AE75" i="8"/>
  <c r="AJ46" i="15" a="1"/>
  <c r="AJ64" i="15" a="1"/>
  <c r="AC73" i="15" a="1"/>
  <c r="AJ39" i="15" a="1"/>
  <c r="AJ42" i="15" a="1"/>
  <c r="E73" i="15" a="1"/>
  <c r="P73" i="15" a="1"/>
  <c r="AJ59" i="15" a="1"/>
  <c r="AJ62" i="15" a="1"/>
  <c r="AG65" i="8" a="1"/>
  <c r="AG51" i="8" a="1"/>
  <c r="AG71" i="8" a="1"/>
  <c r="U73" i="15" a="1"/>
  <c r="AJ69" i="15" a="1"/>
  <c r="F73" i="15" a="1"/>
  <c r="S73" i="15" a="1"/>
  <c r="AJ63" i="15" a="1"/>
  <c r="AG72" i="8" a="1"/>
  <c r="AJ56" i="15" a="1"/>
  <c r="AJ58" i="15" a="1"/>
  <c r="AG88" i="8" a="1"/>
  <c r="AJ52" i="15" a="1"/>
  <c r="AJ50" i="15" a="1"/>
  <c r="AB73" i="15" a="1"/>
  <c r="O73" i="15" a="1"/>
  <c r="AJ70" i="15" a="1"/>
  <c r="M73" i="15" a="1"/>
  <c r="AA73" i="15" a="1"/>
  <c r="AJ44" i="15" a="1"/>
  <c r="AJ43" i="15" a="1"/>
  <c r="N73" i="15" a="1"/>
  <c r="AG58" i="8" a="1"/>
  <c r="AG90" i="8" a="1"/>
  <c r="AJ61" i="15" a="1"/>
  <c r="AJ66" i="15" a="1"/>
  <c r="AJ57" i="15" a="1"/>
  <c r="T73" i="15" a="1"/>
  <c r="G73" i="15" a="1"/>
  <c r="AJ45" i="15" a="1"/>
  <c r="AG89" i="8" a="1"/>
  <c r="AJ71" i="15" a="1"/>
  <c r="AG53" i="8" a="1"/>
  <c r="AJ67" i="15" a="1"/>
  <c r="AE73" i="15" a="1"/>
  <c r="D73" i="15" a="1"/>
  <c r="AJ65" i="15" a="1"/>
  <c r="AJ54" i="15" a="1"/>
  <c r="K73" i="15" a="1"/>
  <c r="AG57" i="8" a="1"/>
  <c r="AJ60" i="15" a="1"/>
  <c r="AJ53" i="15" a="1"/>
  <c r="X73" i="15" a="1"/>
  <c r="AG91" i="8" a="1"/>
  <c r="Y73" i="15" a="1"/>
  <c r="Q73" i="15" a="1"/>
  <c r="AG87" i="8" a="1"/>
  <c r="AG52" i="8" a="1"/>
  <c r="I73" i="15" a="1"/>
  <c r="AJ55" i="15" a="1"/>
  <c r="AG66" i="8" a="1"/>
  <c r="AJ48" i="15" a="1"/>
  <c r="AG61" i="8" a="1"/>
  <c r="L73" i="15" a="1"/>
  <c r="Z73" i="15" a="1"/>
  <c r="AJ51" i="15" a="1"/>
  <c r="AH73" i="15" a="1"/>
  <c r="AG59" i="8" a="1"/>
  <c r="AJ49" i="15" a="1"/>
  <c r="C73" i="15" a="1"/>
  <c r="AG54" i="8" a="1"/>
  <c r="AJ73" i="15" a="1"/>
  <c r="AG70" i="8" a="1"/>
  <c r="H73" i="15" a="1"/>
  <c r="W73" i="15" a="1"/>
  <c r="AG73" i="15" a="1"/>
  <c r="AJ47" i="15" a="1"/>
  <c r="AG64" i="8" a="1"/>
  <c r="AG69" i="8" a="1"/>
  <c r="V73" i="15" a="1"/>
  <c r="AG55" i="8" a="1"/>
  <c r="AJ41" i="15" a="1"/>
  <c r="AJ72" i="15" a="1"/>
  <c r="R73" i="15" a="1"/>
  <c r="AG63" i="8" a="1"/>
  <c r="AF73" i="15" a="1"/>
  <c r="AG73" i="8" a="1"/>
  <c r="AD73" i="15" a="1"/>
  <c r="AJ68" i="15" a="1"/>
  <c r="AJ40" i="15" a="1"/>
  <c r="AG60" i="8" a="1"/>
  <c r="J73" i="15" a="1"/>
  <c r="AG67" i="8" a="1"/>
  <c r="AI73" i="15" a="1"/>
  <c r="F132" i="15" l="1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R133" i="15" s="1"/>
  <c r="S73" i="15"/>
  <c r="T73" i="15"/>
  <c r="U73" i="15"/>
  <c r="V73" i="15"/>
  <c r="V133" i="15" s="1"/>
  <c r="W73" i="15"/>
  <c r="X73" i="15"/>
  <c r="Y73" i="15"/>
  <c r="Z73" i="15"/>
  <c r="Z133" i="15" s="1"/>
  <c r="AA73" i="15"/>
  <c r="AC73" i="15"/>
  <c r="AB73" i="15"/>
  <c r="AD73" i="15"/>
  <c r="AD133" i="15" s="1"/>
  <c r="AE73" i="15"/>
  <c r="AF73" i="15"/>
  <c r="AG73" i="15"/>
  <c r="AH73" i="15"/>
  <c r="AH133" i="15" s="1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40" i="15"/>
  <c r="AJ41" i="15"/>
  <c r="AJ42" i="15"/>
  <c r="AJ39" i="15"/>
  <c r="AJ102" i="15" s="1"/>
  <c r="AL38" i="15"/>
  <c r="B74" i="15"/>
  <c r="AF85" i="8"/>
  <c r="AG91" i="8"/>
  <c r="AG73" i="8"/>
  <c r="AG67" i="8"/>
  <c r="AG61" i="8"/>
  <c r="AG55" i="8"/>
  <c r="AF79" i="8"/>
  <c r="AF76" i="8"/>
  <c r="AF78" i="8"/>
  <c r="AG53" i="8"/>
  <c r="AG54" i="8"/>
  <c r="AG52" i="8"/>
  <c r="AG58" i="8"/>
  <c r="AG59" i="8"/>
  <c r="AG60" i="8"/>
  <c r="AG64" i="8"/>
  <c r="AG65" i="8"/>
  <c r="AG66" i="8"/>
  <c r="AG71" i="8"/>
  <c r="AG70" i="8"/>
  <c r="AG72" i="8"/>
  <c r="AF77" i="8"/>
  <c r="AF83" i="8"/>
  <c r="AG89" i="8"/>
  <c r="AG51" i="8"/>
  <c r="AG57" i="8"/>
  <c r="AG69" i="8"/>
  <c r="AG63" i="8"/>
  <c r="AG90" i="8"/>
  <c r="AG88" i="8"/>
  <c r="AG87" i="8"/>
  <c r="AH49" i="8"/>
  <c r="AF84" i="8"/>
  <c r="AF82" i="8"/>
  <c r="AF81" i="8"/>
  <c r="AF75" i="8"/>
  <c r="AH59" i="8" a="1"/>
  <c r="AK57" i="15" a="1"/>
  <c r="AK44" i="15" a="1"/>
  <c r="AH70" i="8" a="1"/>
  <c r="AK69" i="15" a="1"/>
  <c r="AK66" i="15" a="1"/>
  <c r="AK48" i="15" a="1"/>
  <c r="Z74" i="15" a="1"/>
  <c r="AH90" i="8" a="1"/>
  <c r="AK40" i="15" a="1"/>
  <c r="I74" i="15" a="1"/>
  <c r="AK52" i="15" a="1"/>
  <c r="AK41" i="15" a="1"/>
  <c r="G74" i="15" a="1"/>
  <c r="AK60" i="15" a="1"/>
  <c r="AH57" i="8" a="1"/>
  <c r="F74" i="15" a="1"/>
  <c r="T74" i="15" a="1"/>
  <c r="AK70" i="15" a="1"/>
  <c r="AH54" i="8" a="1"/>
  <c r="AH52" i="8" a="1"/>
  <c r="AK64" i="15" a="1"/>
  <c r="AK71" i="15" a="1"/>
  <c r="AH66" i="8" a="1"/>
  <c r="AH63" i="8" a="1"/>
  <c r="X74" i="15" a="1"/>
  <c r="AH64" i="8" a="1"/>
  <c r="AH60" i="8" a="1"/>
  <c r="AH53" i="8" a="1"/>
  <c r="AH72" i="8" a="1"/>
  <c r="Y74" i="15" a="1"/>
  <c r="AH58" i="8" a="1"/>
  <c r="AC74" i="15" a="1"/>
  <c r="AH65" i="8" a="1"/>
  <c r="AG74" i="15" a="1"/>
  <c r="AH55" i="8" a="1"/>
  <c r="AH87" i="8" a="1"/>
  <c r="AA74" i="15" a="1"/>
  <c r="AH61" i="8" a="1"/>
  <c r="AK50" i="15" a="1"/>
  <c r="AK42" i="15" a="1"/>
  <c r="AK59" i="15" a="1"/>
  <c r="AJ74" i="15" a="1"/>
  <c r="AK58" i="15" a="1"/>
  <c r="AH74" i="15" a="1"/>
  <c r="AK63" i="15" a="1"/>
  <c r="AK72" i="15" a="1"/>
  <c r="AH51" i="8" a="1"/>
  <c r="AK62" i="15" a="1"/>
  <c r="AK68" i="15" a="1"/>
  <c r="L74" i="15" a="1"/>
  <c r="P74" i="15" a="1"/>
  <c r="Q74" i="15" a="1"/>
  <c r="AH88" i="8" a="1"/>
  <c r="D74" i="15" a="1"/>
  <c r="J74" i="15" a="1"/>
  <c r="E74" i="15" a="1"/>
  <c r="AE74" i="15" a="1"/>
  <c r="AD74" i="15" a="1"/>
  <c r="AK55" i="15" a="1"/>
  <c r="AH67" i="8" a="1"/>
  <c r="AK51" i="15" a="1"/>
  <c r="U74" i="15" a="1"/>
  <c r="O74" i="15" a="1"/>
  <c r="N74" i="15" a="1"/>
  <c r="AK47" i="15" a="1"/>
  <c r="AK74" i="15" a="1"/>
  <c r="AK73" i="15" a="1"/>
  <c r="AK54" i="15" a="1"/>
  <c r="AF74" i="15" a="1"/>
  <c r="AH91" i="8" a="1"/>
  <c r="AH73" i="8" a="1"/>
  <c r="AK67" i="15" a="1"/>
  <c r="AH89" i="8" a="1"/>
  <c r="AK39" i="15" a="1"/>
  <c r="AK61" i="15" a="1"/>
  <c r="C74" i="15" a="1"/>
  <c r="AK46" i="15" a="1"/>
  <c r="R74" i="15" a="1"/>
  <c r="AH71" i="8" a="1"/>
  <c r="AB74" i="15" a="1"/>
  <c r="AK56" i="15" a="1"/>
  <c r="M74" i="15" a="1"/>
  <c r="W74" i="15" a="1"/>
  <c r="AH69" i="8" a="1"/>
  <c r="AK45" i="15" a="1"/>
  <c r="V74" i="15" a="1"/>
  <c r="AK43" i="15" a="1"/>
  <c r="K74" i="15" a="1"/>
  <c r="AI74" i="15" a="1"/>
  <c r="S74" i="15" a="1"/>
  <c r="AK65" i="15" a="1"/>
  <c r="AK53" i="15" a="1"/>
  <c r="AK49" i="15" a="1"/>
  <c r="H74" i="15" a="1"/>
  <c r="N133" i="15" l="1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F134" i="15" s="1"/>
  <c r="G74" i="15"/>
  <c r="H74" i="15"/>
  <c r="I74" i="15"/>
  <c r="K74" i="15"/>
  <c r="K134" i="15" s="1"/>
  <c r="J74" i="15"/>
  <c r="L74" i="15"/>
  <c r="M74" i="15"/>
  <c r="N74" i="15"/>
  <c r="N134" i="15" s="1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40" i="15"/>
  <c r="AK42" i="15"/>
  <c r="AK41" i="15"/>
  <c r="AK39" i="15"/>
  <c r="AK102" i="15" s="1"/>
  <c r="AM38" i="15"/>
  <c r="B75" i="15"/>
  <c r="AH91" i="8"/>
  <c r="AH73" i="8"/>
  <c r="AH67" i="8"/>
  <c r="AH61" i="8"/>
  <c r="AH55" i="8"/>
  <c r="AG79" i="8"/>
  <c r="AG85" i="8"/>
  <c r="AG78" i="8"/>
  <c r="AG76" i="8"/>
  <c r="AG77" i="8"/>
  <c r="AH54" i="8"/>
  <c r="AH53" i="8"/>
  <c r="AH52" i="8"/>
  <c r="AH59" i="8"/>
  <c r="AH60" i="8"/>
  <c r="AH58" i="8"/>
  <c r="AH64" i="8"/>
  <c r="AH65" i="8"/>
  <c r="AH66" i="8"/>
  <c r="AH71" i="8"/>
  <c r="AH72" i="8"/>
  <c r="AH70" i="8"/>
  <c r="AG84" i="8"/>
  <c r="AG82" i="8"/>
  <c r="AH89" i="8"/>
  <c r="AH51" i="8"/>
  <c r="AH57" i="8"/>
  <c r="AH69" i="8"/>
  <c r="AH63" i="8"/>
  <c r="AH90" i="8"/>
  <c r="AH88" i="8"/>
  <c r="AH87" i="8"/>
  <c r="AI49" i="8"/>
  <c r="AG83" i="8"/>
  <c r="AG81" i="8"/>
  <c r="AG75" i="8"/>
  <c r="AL47" i="15" a="1"/>
  <c r="AI52" i="8" a="1"/>
  <c r="AL42" i="15" a="1"/>
  <c r="V75" i="15" a="1"/>
  <c r="F75" i="15" a="1"/>
  <c r="T75" i="15" a="1"/>
  <c r="L75" i="15" a="1"/>
  <c r="I75" i="15" a="1"/>
  <c r="M75" i="15" a="1"/>
  <c r="D75" i="15" a="1"/>
  <c r="P75" i="15" a="1"/>
  <c r="AI89" i="8" a="1"/>
  <c r="AI71" i="8" a="1"/>
  <c r="AL53" i="15" a="1"/>
  <c r="AI60" i="8" a="1"/>
  <c r="AD75" i="15" a="1"/>
  <c r="AL56" i="15" a="1"/>
  <c r="AI69" i="8" a="1"/>
  <c r="X75" i="15" a="1"/>
  <c r="AI73" i="8" a="1"/>
  <c r="AI51" i="8" a="1"/>
  <c r="AL59" i="15" a="1"/>
  <c r="S75" i="15" a="1"/>
  <c r="U75" i="15" a="1"/>
  <c r="AI57" i="8" a="1"/>
  <c r="O75" i="15" a="1"/>
  <c r="H75" i="15" a="1"/>
  <c r="AL41" i="15" a="1"/>
  <c r="Q75" i="15" a="1"/>
  <c r="AH75" i="15" a="1"/>
  <c r="AI53" i="8" a="1"/>
  <c r="AL72" i="15" a="1"/>
  <c r="AL62" i="15" a="1"/>
  <c r="AI65" i="8" a="1"/>
  <c r="AI91" i="8" a="1"/>
  <c r="AB75" i="15" a="1"/>
  <c r="AL57" i="15" a="1"/>
  <c r="AA75" i="15" a="1"/>
  <c r="AL44" i="15" a="1"/>
  <c r="AL66" i="15" a="1"/>
  <c r="AL54" i="15" a="1"/>
  <c r="AL50" i="15" a="1"/>
  <c r="AI63" i="8" a="1"/>
  <c r="W75" i="15" a="1"/>
  <c r="AI66" i="8" a="1"/>
  <c r="G75" i="15" a="1"/>
  <c r="AI64" i="8" a="1"/>
  <c r="AL39" i="15" a="1"/>
  <c r="Z75" i="15" a="1"/>
  <c r="AL45" i="15" a="1"/>
  <c r="AI67" i="8" a="1"/>
  <c r="AL70" i="15" a="1"/>
  <c r="AI58" i="8" a="1"/>
  <c r="R75" i="15" a="1"/>
  <c r="AI55" i="8" a="1"/>
  <c r="AL52" i="15" a="1"/>
  <c r="AI75" i="15" a="1"/>
  <c r="AJ75" i="15" a="1"/>
  <c r="AI59" i="8" a="1"/>
  <c r="AL65" i="15" a="1"/>
  <c r="N75" i="15" a="1"/>
  <c r="AL68" i="15" a="1"/>
  <c r="AL43" i="15" a="1"/>
  <c r="AC75" i="15" a="1"/>
  <c r="AL69" i="15" a="1"/>
  <c r="AI90" i="8" a="1"/>
  <c r="AL61" i="15" a="1"/>
  <c r="AF75" i="15" a="1"/>
  <c r="AL74" i="15" a="1"/>
  <c r="AI87" i="8" a="1"/>
  <c r="AL63" i="15" a="1"/>
  <c r="K75" i="15" a="1"/>
  <c r="AL40" i="15" a="1"/>
  <c r="AL67" i="15" a="1"/>
  <c r="C75" i="15" a="1"/>
  <c r="J75" i="15" a="1"/>
  <c r="AG75" i="15" a="1"/>
  <c r="AL64" i="15" a="1"/>
  <c r="AL71" i="15" a="1"/>
  <c r="AI61" i="8" a="1"/>
  <c r="AI54" i="8" a="1"/>
  <c r="AL75" i="15" a="1"/>
  <c r="E75" i="15" a="1"/>
  <c r="AK75" i="15" a="1"/>
  <c r="AE75" i="15" a="1"/>
  <c r="AI72" i="8" a="1"/>
  <c r="AL51" i="15" a="1"/>
  <c r="AL46" i="15" a="1"/>
  <c r="AL60" i="15" a="1"/>
  <c r="Y75" i="15" a="1"/>
  <c r="AL55" i="15" a="1"/>
  <c r="AL48" i="15" a="1"/>
  <c r="AL49" i="15" a="1"/>
  <c r="AI88" i="8" a="1"/>
  <c r="AI70" i="8" a="1"/>
  <c r="AL58" i="15" a="1"/>
  <c r="AL73" i="15" a="1"/>
  <c r="AG134" i="15" l="1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G75" i="15"/>
  <c r="H75" i="15"/>
  <c r="I75" i="15"/>
  <c r="J75" i="15"/>
  <c r="J135" i="15" s="1"/>
  <c r="K75" i="15"/>
  <c r="L75" i="15"/>
  <c r="M75" i="15"/>
  <c r="N75" i="15"/>
  <c r="N135" i="15" s="1"/>
  <c r="O75" i="15"/>
  <c r="P75" i="15"/>
  <c r="Q75" i="15"/>
  <c r="R75" i="15"/>
  <c r="R135" i="15" s="1"/>
  <c r="S75" i="15"/>
  <c r="T75" i="15"/>
  <c r="U75" i="15"/>
  <c r="V75" i="15"/>
  <c r="V135" i="15" s="1"/>
  <c r="W75" i="15"/>
  <c r="X75" i="15"/>
  <c r="Y75" i="15"/>
  <c r="Z75" i="15"/>
  <c r="Z135" i="15" s="1"/>
  <c r="AA75" i="15"/>
  <c r="AC75" i="15"/>
  <c r="AB75" i="15"/>
  <c r="AD75" i="15"/>
  <c r="AD135" i="15" s="1"/>
  <c r="AE75" i="15"/>
  <c r="AF75" i="15"/>
  <c r="AG75" i="15"/>
  <c r="AH75" i="15"/>
  <c r="AH135" i="15" s="1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41" i="15"/>
  <c r="AL42" i="15"/>
  <c r="AL40" i="15"/>
  <c r="AL39" i="15"/>
  <c r="AL102" i="15" s="1"/>
  <c r="AN38" i="15"/>
  <c r="B76" i="15"/>
  <c r="AH85" i="8"/>
  <c r="AI91" i="8"/>
  <c r="AI73" i="8"/>
  <c r="AI67" i="8"/>
  <c r="AI61" i="8"/>
  <c r="AI55" i="8"/>
  <c r="AH79" i="8"/>
  <c r="AH78" i="8"/>
  <c r="AI54" i="8"/>
  <c r="AI53" i="8"/>
  <c r="AI52" i="8"/>
  <c r="AI58" i="8"/>
  <c r="AI60" i="8"/>
  <c r="AI59" i="8"/>
  <c r="AI64" i="8"/>
  <c r="AI65" i="8"/>
  <c r="AI66" i="8"/>
  <c r="AI72" i="8"/>
  <c r="AI70" i="8"/>
  <c r="AI71" i="8"/>
  <c r="AH77" i="8"/>
  <c r="AH76" i="8"/>
  <c r="AI89" i="8"/>
  <c r="AI51" i="8"/>
  <c r="AI57" i="8"/>
  <c r="AI69" i="8"/>
  <c r="AI63" i="8"/>
  <c r="AI90" i="8"/>
  <c r="AI88" i="8"/>
  <c r="AI87" i="8"/>
  <c r="AJ49" i="8"/>
  <c r="AH82" i="8"/>
  <c r="AH83" i="8"/>
  <c r="AH84" i="8"/>
  <c r="AH75" i="8"/>
  <c r="AH81" i="8"/>
  <c r="D76" i="15" a="1"/>
  <c r="T76" i="15" a="1"/>
  <c r="L76" i="15" a="1"/>
  <c r="AM68" i="15" a="1"/>
  <c r="AJ91" i="8" a="1"/>
  <c r="E76" i="15" a="1"/>
  <c r="AJ71" i="8" a="1"/>
  <c r="AM70" i="15" a="1"/>
  <c r="AJ64" i="8" a="1"/>
  <c r="AJ87" i="8" a="1"/>
  <c r="AM66" i="15" a="1"/>
  <c r="Z76" i="15" a="1"/>
  <c r="AJ89" i="8" a="1"/>
  <c r="AJ88" i="8" a="1"/>
  <c r="AI76" i="15" a="1"/>
  <c r="AM42" i="15" a="1"/>
  <c r="AJ55" i="8" a="1"/>
  <c r="AJ69" i="8" a="1"/>
  <c r="AJ76" i="15" a="1"/>
  <c r="V76" i="15" a="1"/>
  <c r="AM76" i="15" a="1"/>
  <c r="AM60" i="15" a="1"/>
  <c r="P76" i="15" a="1"/>
  <c r="Y76" i="15" a="1"/>
  <c r="AM48" i="15" a="1"/>
  <c r="AJ59" i="8" a="1"/>
  <c r="AM53" i="15" a="1"/>
  <c r="AH76" i="15" a="1"/>
  <c r="AM39" i="15" a="1"/>
  <c r="AJ66" i="8" a="1"/>
  <c r="AM65" i="15" a="1"/>
  <c r="AM41" i="15" a="1"/>
  <c r="O76" i="15" a="1"/>
  <c r="AE76" i="15" a="1"/>
  <c r="AM54" i="15" a="1"/>
  <c r="AJ90" i="8" a="1"/>
  <c r="H76" i="15" a="1"/>
  <c r="AM43" i="15" a="1"/>
  <c r="AM56" i="15" a="1"/>
  <c r="AG76" i="15" a="1"/>
  <c r="AJ54" i="8" a="1"/>
  <c r="AM55" i="15" a="1"/>
  <c r="G76" i="15" a="1"/>
  <c r="AM58" i="15" a="1"/>
  <c r="AM75" i="15" a="1"/>
  <c r="AA76" i="15" a="1"/>
  <c r="AK76" i="15" a="1"/>
  <c r="AM69" i="15" a="1"/>
  <c r="AM74" i="15" a="1"/>
  <c r="J76" i="15" a="1"/>
  <c r="AM72" i="15" a="1"/>
  <c r="X76" i="15" a="1"/>
  <c r="Q76" i="15" a="1"/>
  <c r="AJ73" i="8" a="1"/>
  <c r="AM64" i="15" a="1"/>
  <c r="AD76" i="15" a="1"/>
  <c r="AM63" i="15" a="1"/>
  <c r="AJ61" i="8" a="1"/>
  <c r="AJ52" i="8" a="1"/>
  <c r="AJ53" i="8" a="1"/>
  <c r="AC76" i="15" a="1"/>
  <c r="AM62" i="15" a="1"/>
  <c r="K76" i="15" a="1"/>
  <c r="AM49" i="15" a="1"/>
  <c r="AJ70" i="8" a="1"/>
  <c r="C76" i="15" a="1"/>
  <c r="AJ67" i="8" a="1"/>
  <c r="AB76" i="15" a="1"/>
  <c r="AL76" i="15" a="1"/>
  <c r="AM46" i="15" a="1"/>
  <c r="AM44" i="15" a="1"/>
  <c r="AM51" i="15" a="1"/>
  <c r="AM59" i="15" a="1"/>
  <c r="AJ63" i="8" a="1"/>
  <c r="W76" i="15" a="1"/>
  <c r="AM57" i="15" a="1"/>
  <c r="AM40" i="15" a="1"/>
  <c r="AJ65" i="8" a="1"/>
  <c r="AF76" i="15" a="1"/>
  <c r="AJ72" i="8" a="1"/>
  <c r="AJ51" i="8" a="1"/>
  <c r="S76" i="15" a="1"/>
  <c r="M76" i="15" a="1"/>
  <c r="I76" i="15" a="1"/>
  <c r="AM47" i="15" a="1"/>
  <c r="AM45" i="15" a="1"/>
  <c r="F76" i="15" a="1"/>
  <c r="N76" i="15" a="1"/>
  <c r="AM50" i="15" a="1"/>
  <c r="AM52" i="15" a="1"/>
  <c r="AM61" i="15" a="1"/>
  <c r="AJ57" i="8" a="1"/>
  <c r="U76" i="15" a="1"/>
  <c r="AJ58" i="8" a="1"/>
  <c r="R76" i="15" a="1"/>
  <c r="AJ60" i="8" a="1"/>
  <c r="AM73" i="15" a="1"/>
  <c r="AM67" i="15" a="1"/>
  <c r="AM71" i="15" a="1"/>
  <c r="F135" i="15" l="1"/>
  <c r="AJ135" i="15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F136" i="15" s="1"/>
  <c r="G76" i="15"/>
  <c r="H76" i="15"/>
  <c r="I76" i="15"/>
  <c r="K76" i="15"/>
  <c r="K136" i="15" s="1"/>
  <c r="J76" i="15"/>
  <c r="L76" i="15"/>
  <c r="M76" i="15"/>
  <c r="N76" i="15"/>
  <c r="N136" i="15" s="1"/>
  <c r="O76" i="15"/>
  <c r="P76" i="15"/>
  <c r="Q76" i="15"/>
  <c r="R76" i="15"/>
  <c r="R136" i="15" s="1"/>
  <c r="S76" i="15"/>
  <c r="T76" i="15"/>
  <c r="U76" i="15"/>
  <c r="V76" i="15"/>
  <c r="V136" i="15" s="1"/>
  <c r="W76" i="15"/>
  <c r="X76" i="15"/>
  <c r="Y76" i="15"/>
  <c r="Z76" i="15"/>
  <c r="Z136" i="15" s="1"/>
  <c r="AA76" i="15"/>
  <c r="AC76" i="15"/>
  <c r="AB76" i="15"/>
  <c r="AD76" i="15"/>
  <c r="AD136" i="15" s="1"/>
  <c r="AE76" i="15"/>
  <c r="AF76" i="15"/>
  <c r="AG76" i="15"/>
  <c r="AH76" i="15"/>
  <c r="AH136" i="15" s="1"/>
  <c r="AI76" i="15"/>
  <c r="AJ76" i="15"/>
  <c r="AK76" i="15"/>
  <c r="AL76" i="15"/>
  <c r="AL136" i="15" s="1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40" i="15"/>
  <c r="AM41" i="15"/>
  <c r="AM42" i="15"/>
  <c r="AM39" i="15"/>
  <c r="AM102" i="15" s="1"/>
  <c r="AO38" i="15"/>
  <c r="B77" i="15"/>
  <c r="AI85" i="8"/>
  <c r="AJ91" i="8"/>
  <c r="AJ73" i="8"/>
  <c r="AJ67" i="8"/>
  <c r="AJ61" i="8"/>
  <c r="AJ55" i="8"/>
  <c r="AI79" i="8"/>
  <c r="AI78" i="8"/>
  <c r="AI77" i="8"/>
  <c r="AJ52" i="8"/>
  <c r="AJ54" i="8"/>
  <c r="AJ53" i="8"/>
  <c r="AJ58" i="8"/>
  <c r="AJ60" i="8"/>
  <c r="AJ59" i="8"/>
  <c r="AJ66" i="8"/>
  <c r="AJ65" i="8"/>
  <c r="AJ64" i="8"/>
  <c r="AJ71" i="8"/>
  <c r="AJ72" i="8"/>
  <c r="AJ70" i="8"/>
  <c r="AI76" i="8"/>
  <c r="AJ89" i="8"/>
  <c r="AJ51" i="8"/>
  <c r="AJ57" i="8"/>
  <c r="AJ69" i="8"/>
  <c r="AJ63" i="8"/>
  <c r="AJ90" i="8"/>
  <c r="AJ88" i="8"/>
  <c r="AJ87" i="8"/>
  <c r="AK49" i="8"/>
  <c r="AI84" i="8"/>
  <c r="AI82" i="8"/>
  <c r="AI83" i="8"/>
  <c r="AI81" i="8"/>
  <c r="AI75" i="8"/>
  <c r="AK65" i="8" a="1"/>
  <c r="AC77" i="15" a="1"/>
  <c r="AI77" i="15" a="1"/>
  <c r="AN56" i="15" a="1"/>
  <c r="AN50" i="15" a="1"/>
  <c r="Q77" i="15" a="1"/>
  <c r="E77" i="15" a="1"/>
  <c r="AE77" i="15" a="1"/>
  <c r="AN74" i="15" a="1"/>
  <c r="AN49" i="15" a="1"/>
  <c r="AL77" i="15" a="1"/>
  <c r="AN72" i="15" a="1"/>
  <c r="AF77" i="15" a="1"/>
  <c r="I77" i="15" a="1"/>
  <c r="AK52" i="8" a="1"/>
  <c r="AN39" i="15" a="1"/>
  <c r="AN53" i="15" a="1"/>
  <c r="AD77" i="15" a="1"/>
  <c r="AN57" i="15" a="1"/>
  <c r="AN61" i="15" a="1"/>
  <c r="AN64" i="15" a="1"/>
  <c r="AN65" i="15" a="1"/>
  <c r="AK55" i="8" a="1"/>
  <c r="AN41" i="15" a="1"/>
  <c r="AN59" i="15" a="1"/>
  <c r="AN69" i="15" a="1"/>
  <c r="AK60" i="8" a="1"/>
  <c r="T77" i="15" a="1"/>
  <c r="AN68" i="15" a="1"/>
  <c r="Y77" i="15" a="1"/>
  <c r="AK69" i="8" a="1"/>
  <c r="AN46" i="15" a="1"/>
  <c r="AK66" i="8" a="1"/>
  <c r="AK59" i="8" a="1"/>
  <c r="AB77" i="15" a="1"/>
  <c r="V77" i="15" a="1"/>
  <c r="AN60" i="15" a="1"/>
  <c r="AN77" i="15" a="1"/>
  <c r="AN75" i="15" a="1"/>
  <c r="K77" i="15" a="1"/>
  <c r="AK58" i="8" a="1"/>
  <c r="AA77" i="15" a="1"/>
  <c r="D77" i="15" a="1"/>
  <c r="C77" i="15" a="1"/>
  <c r="AJ77" i="15" a="1"/>
  <c r="AN47" i="15" a="1"/>
  <c r="Z77" i="15" a="1"/>
  <c r="AN44" i="15" a="1"/>
  <c r="AK57" i="8" a="1"/>
  <c r="AN73" i="15" a="1"/>
  <c r="R77" i="15" a="1"/>
  <c r="AN71" i="15" a="1"/>
  <c r="S77" i="15" a="1"/>
  <c r="AK88" i="8" a="1"/>
  <c r="X77" i="15" a="1"/>
  <c r="AN66" i="15" a="1"/>
  <c r="H77" i="15" a="1"/>
  <c r="AN42" i="15" a="1"/>
  <c r="G77" i="15" a="1"/>
  <c r="AG77" i="15" a="1"/>
  <c r="AK72" i="8" a="1"/>
  <c r="AK77" i="15" a="1"/>
  <c r="AN51" i="15" a="1"/>
  <c r="N77" i="15" a="1"/>
  <c r="AK53" i="8" a="1"/>
  <c r="AN43" i="15" a="1"/>
  <c r="AK90" i="8" a="1"/>
  <c r="AK54" i="8" a="1"/>
  <c r="AN62" i="15" a="1"/>
  <c r="AK73" i="8" a="1"/>
  <c r="AN52" i="15" a="1"/>
  <c r="AN55" i="15" a="1"/>
  <c r="AK51" i="8" a="1"/>
  <c r="AK63" i="8" a="1"/>
  <c r="AK89" i="8" a="1"/>
  <c r="AK61" i="8" a="1"/>
  <c r="AN67" i="15" a="1"/>
  <c r="O77" i="15" a="1"/>
  <c r="AN63" i="15" a="1"/>
  <c r="AN54" i="15" a="1"/>
  <c r="AN48" i="15" a="1"/>
  <c r="F77" i="15" a="1"/>
  <c r="P77" i="15" a="1"/>
  <c r="AK70" i="8" a="1"/>
  <c r="AH77" i="15" a="1"/>
  <c r="L77" i="15" a="1"/>
  <c r="AN58" i="15" a="1"/>
  <c r="AN40" i="15" a="1"/>
  <c r="AK64" i="8" a="1"/>
  <c r="AN70" i="15" a="1"/>
  <c r="W77" i="15" a="1"/>
  <c r="AN45" i="15" a="1"/>
  <c r="AN76" i="15" a="1"/>
  <c r="AM77" i="15" a="1"/>
  <c r="AK71" i="8" a="1"/>
  <c r="AK67" i="8" a="1"/>
  <c r="AK91" i="8" a="1"/>
  <c r="U77" i="15" a="1"/>
  <c r="J77" i="15" a="1"/>
  <c r="M77" i="15" a="1"/>
  <c r="AK87" i="8" a="1"/>
  <c r="AK136" i="15" l="1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F137" i="15" s="1"/>
  <c r="G77" i="15"/>
  <c r="H77" i="15"/>
  <c r="I77" i="15"/>
  <c r="J77" i="15"/>
  <c r="J137" i="15" s="1"/>
  <c r="K77" i="15"/>
  <c r="L77" i="15"/>
  <c r="M77" i="15"/>
  <c r="N77" i="15"/>
  <c r="N137" i="15" s="1"/>
  <c r="O77" i="15"/>
  <c r="P77" i="15"/>
  <c r="Q77" i="15"/>
  <c r="R77" i="15"/>
  <c r="R137" i="15" s="1"/>
  <c r="S77" i="15"/>
  <c r="T77" i="15"/>
  <c r="U77" i="15"/>
  <c r="V77" i="15"/>
  <c r="V137" i="15" s="1"/>
  <c r="W77" i="15"/>
  <c r="X77" i="15"/>
  <c r="Y77" i="15"/>
  <c r="Z77" i="15"/>
  <c r="Z137" i="15" s="1"/>
  <c r="AA77" i="15"/>
  <c r="AB77" i="15"/>
  <c r="AC77" i="15"/>
  <c r="AD77" i="15"/>
  <c r="AD137" i="15" s="1"/>
  <c r="AE77" i="15"/>
  <c r="AF77" i="15"/>
  <c r="AG77" i="15"/>
  <c r="AH77" i="15"/>
  <c r="AH137" i="15" s="1"/>
  <c r="AI77" i="15"/>
  <c r="AJ77" i="15"/>
  <c r="AK77" i="15"/>
  <c r="AL77" i="15"/>
  <c r="AL137" i="15" s="1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41" i="15"/>
  <c r="AN42" i="15"/>
  <c r="AN40" i="15"/>
  <c r="AN39" i="15"/>
  <c r="AN102" i="15" s="1"/>
  <c r="AP38" i="15"/>
  <c r="B78" i="15"/>
  <c r="AK91" i="8"/>
  <c r="AK73" i="8"/>
  <c r="AK67" i="8"/>
  <c r="AK61" i="8"/>
  <c r="AK55" i="8"/>
  <c r="AJ79" i="8"/>
  <c r="AJ85" i="8"/>
  <c r="AJ78" i="8"/>
  <c r="AJ77" i="8"/>
  <c r="AK54" i="8"/>
  <c r="AK52" i="8"/>
  <c r="AK53" i="8"/>
  <c r="AK60" i="8"/>
  <c r="AK59" i="8"/>
  <c r="AK58" i="8"/>
  <c r="AK64" i="8"/>
  <c r="AK65" i="8"/>
  <c r="AK66" i="8"/>
  <c r="AK71" i="8"/>
  <c r="AK72" i="8"/>
  <c r="AK70" i="8"/>
  <c r="AJ76" i="8"/>
  <c r="AJ82" i="8"/>
  <c r="AK89" i="8"/>
  <c r="AK51" i="8"/>
  <c r="AK57" i="8"/>
  <c r="AK69" i="8"/>
  <c r="AK63" i="8"/>
  <c r="AK90" i="8"/>
  <c r="AK88" i="8"/>
  <c r="AK87" i="8"/>
  <c r="AL49" i="8"/>
  <c r="AJ83" i="8"/>
  <c r="AJ84" i="8"/>
  <c r="AJ81" i="8"/>
  <c r="AJ75" i="8"/>
  <c r="AO48" i="15" a="1"/>
  <c r="AO43" i="15" a="1"/>
  <c r="S78" i="15" a="1"/>
  <c r="C78" i="15" a="1"/>
  <c r="AL72" i="8" a="1"/>
  <c r="AO51" i="15" a="1"/>
  <c r="H78" i="15" a="1"/>
  <c r="AL54" i="8" a="1"/>
  <c r="AN78" i="15" a="1"/>
  <c r="AO72" i="15" a="1"/>
  <c r="F78" i="15" a="1"/>
  <c r="AL69" i="8" a="1"/>
  <c r="AH78" i="15" a="1"/>
  <c r="AK78" i="15" a="1"/>
  <c r="AO41" i="15" a="1"/>
  <c r="E78" i="15" a="1"/>
  <c r="AL63" i="8" a="1"/>
  <c r="AO47" i="15" a="1"/>
  <c r="AI78" i="15" a="1"/>
  <c r="AL52" i="8" a="1"/>
  <c r="AO50" i="15" a="1"/>
  <c r="AO53" i="15" a="1"/>
  <c r="AO46" i="15" a="1"/>
  <c r="AO63" i="15" a="1"/>
  <c r="AL89" i="8" a="1"/>
  <c r="AC78" i="15" a="1"/>
  <c r="AO57" i="15" a="1"/>
  <c r="Y78" i="15" a="1"/>
  <c r="K78" i="15" a="1"/>
  <c r="AL66" i="8" a="1"/>
  <c r="X78" i="15" a="1"/>
  <c r="W78" i="15" a="1"/>
  <c r="V78" i="15" a="1"/>
  <c r="O78" i="15" a="1"/>
  <c r="AL64" i="8" a="1"/>
  <c r="AO68" i="15" a="1"/>
  <c r="AL57" i="8" a="1"/>
  <c r="AL90" i="8" a="1"/>
  <c r="AL59" i="8" a="1"/>
  <c r="AO77" i="15" a="1"/>
  <c r="Z78" i="15" a="1"/>
  <c r="AG78" i="15" a="1"/>
  <c r="AO71" i="15" a="1"/>
  <c r="R78" i="15" a="1"/>
  <c r="AL61" i="8" a="1"/>
  <c r="AO40" i="15" a="1"/>
  <c r="L78" i="15" a="1"/>
  <c r="I78" i="15" a="1"/>
  <c r="AO39" i="15" a="1"/>
  <c r="AL67" i="8" a="1"/>
  <c r="AO60" i="15" a="1"/>
  <c r="AO73" i="15" a="1"/>
  <c r="AO62" i="15" a="1"/>
  <c r="AO69" i="15" a="1"/>
  <c r="AF78" i="15" a="1"/>
  <c r="D78" i="15" a="1"/>
  <c r="AL60" i="8" a="1"/>
  <c r="AO67" i="15" a="1"/>
  <c r="P78" i="15" a="1"/>
  <c r="AO70" i="15" a="1"/>
  <c r="AO49" i="15" a="1"/>
  <c r="AL73" i="8" a="1"/>
  <c r="AO76" i="15" a="1"/>
  <c r="AJ78" i="15" a="1"/>
  <c r="AO59" i="15" a="1"/>
  <c r="Q78" i="15" a="1"/>
  <c r="AL58" i="8" a="1"/>
  <c r="AM78" i="15" a="1"/>
  <c r="AA78" i="15" a="1"/>
  <c r="AO42" i="15" a="1"/>
  <c r="U78" i="15" a="1"/>
  <c r="AO45" i="15" a="1"/>
  <c r="G78" i="15" a="1"/>
  <c r="N78" i="15" a="1"/>
  <c r="AL87" i="8" a="1"/>
  <c r="AB78" i="15" a="1"/>
  <c r="J78" i="15" a="1"/>
  <c r="AO75" i="15" a="1"/>
  <c r="AO61" i="15" a="1"/>
  <c r="AL65" i="8" a="1"/>
  <c r="AO56" i="15" a="1"/>
  <c r="AL71" i="8" a="1"/>
  <c r="AL70" i="8" a="1"/>
  <c r="AO55" i="15" a="1"/>
  <c r="AL51" i="8" a="1"/>
  <c r="AO64" i="15" a="1"/>
  <c r="AL53" i="8" a="1"/>
  <c r="AO54" i="15" a="1"/>
  <c r="AO52" i="15" a="1"/>
  <c r="AO66" i="15" a="1"/>
  <c r="AL78" i="15" a="1"/>
  <c r="M78" i="15" a="1"/>
  <c r="AL91" i="8" a="1"/>
  <c r="AL55" i="8" a="1"/>
  <c r="AO74" i="15" a="1"/>
  <c r="AE78" i="15" a="1"/>
  <c r="AD78" i="15" a="1"/>
  <c r="AO65" i="15" a="1"/>
  <c r="AO78" i="15" a="1"/>
  <c r="AO58" i="15" a="1"/>
  <c r="AO44" i="15" a="1"/>
  <c r="T78" i="15" a="1"/>
  <c r="AL88" i="8" a="1"/>
  <c r="AM137" i="15" l="1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F138" i="15" s="1"/>
  <c r="G78" i="15"/>
  <c r="H78" i="15"/>
  <c r="I78" i="15"/>
  <c r="K78" i="15"/>
  <c r="K138" i="15" s="1"/>
  <c r="J78" i="15"/>
  <c r="L78" i="15"/>
  <c r="M78" i="15"/>
  <c r="N78" i="15"/>
  <c r="N138" i="15" s="1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40" i="15"/>
  <c r="AO42" i="15"/>
  <c r="AO41" i="15"/>
  <c r="AO39" i="15"/>
  <c r="AO102" i="15" s="1"/>
  <c r="AQ38" i="15"/>
  <c r="B79" i="15"/>
  <c r="AL91" i="8"/>
  <c r="AL73" i="8"/>
  <c r="AL67" i="8"/>
  <c r="AL61" i="8"/>
  <c r="AL55" i="8"/>
  <c r="AK79" i="8"/>
  <c r="AK85" i="8"/>
  <c r="AK78" i="8"/>
  <c r="AK77" i="8"/>
  <c r="AL52" i="8"/>
  <c r="AL53" i="8"/>
  <c r="AL54" i="8"/>
  <c r="AL58" i="8"/>
  <c r="AL60" i="8"/>
  <c r="AL59" i="8"/>
  <c r="AL66" i="8"/>
  <c r="AL64" i="8"/>
  <c r="AL65" i="8"/>
  <c r="AL72" i="8"/>
  <c r="AL70" i="8"/>
  <c r="AL71" i="8"/>
  <c r="AK76" i="8"/>
  <c r="AK82" i="8"/>
  <c r="AL89" i="8"/>
  <c r="AL51" i="8"/>
  <c r="AL57" i="8"/>
  <c r="AL69" i="8"/>
  <c r="AL63" i="8"/>
  <c r="AL90" i="8"/>
  <c r="AL88" i="8"/>
  <c r="AL87" i="8"/>
  <c r="AM49" i="8"/>
  <c r="AK83" i="8"/>
  <c r="AK84" i="8"/>
  <c r="AK81" i="8"/>
  <c r="AK75" i="8"/>
  <c r="D79" i="15" a="1"/>
  <c r="AM79" i="15" a="1"/>
  <c r="C79" i="15" a="1"/>
  <c r="AP48" i="15" a="1"/>
  <c r="AP55" i="15" a="1"/>
  <c r="AM60" i="8" a="1"/>
  <c r="AP73" i="15" a="1"/>
  <c r="AP65" i="15" a="1"/>
  <c r="AP51" i="15" a="1"/>
  <c r="AM59" i="8" a="1"/>
  <c r="AP39" i="15" a="1"/>
  <c r="AP63" i="15" a="1"/>
  <c r="I79" i="15" a="1"/>
  <c r="AL79" i="15" a="1"/>
  <c r="AP54" i="15" a="1"/>
  <c r="AH79" i="15" a="1"/>
  <c r="AP62" i="15" a="1"/>
  <c r="AM72" i="8" a="1"/>
  <c r="AM69" i="8" a="1"/>
  <c r="AP78" i="15" a="1"/>
  <c r="AM64" i="8" a="1"/>
  <c r="AM87" i="8" a="1"/>
  <c r="AP79" i="15" a="1"/>
  <c r="W79" i="15" a="1"/>
  <c r="AP50" i="15" a="1"/>
  <c r="AG79" i="15" a="1"/>
  <c r="AM90" i="8" a="1"/>
  <c r="G79" i="15" a="1"/>
  <c r="AM66" i="8" a="1"/>
  <c r="AM70" i="8" a="1"/>
  <c r="AM88" i="8" a="1"/>
  <c r="AP67" i="15" a="1"/>
  <c r="AE79" i="15" a="1"/>
  <c r="AA79" i="15" a="1"/>
  <c r="X79" i="15" a="1"/>
  <c r="AP72" i="15" a="1"/>
  <c r="AI79" i="15" a="1"/>
  <c r="AP44" i="15" a="1"/>
  <c r="AC79" i="15" a="1"/>
  <c r="AP56" i="15" a="1"/>
  <c r="AM51" i="8" a="1"/>
  <c r="AM73" i="8" a="1"/>
  <c r="AP47" i="15" a="1"/>
  <c r="E79" i="15" a="1"/>
  <c r="AM61" i="8" a="1"/>
  <c r="AP66" i="15" a="1"/>
  <c r="AP46" i="15" a="1"/>
  <c r="AP45" i="15" a="1"/>
  <c r="V79" i="15" a="1"/>
  <c r="J79" i="15" a="1"/>
  <c r="AP76" i="15" a="1"/>
  <c r="AP43" i="15" a="1"/>
  <c r="AP70" i="15" a="1"/>
  <c r="AB79" i="15" a="1"/>
  <c r="AM89" i="8" a="1"/>
  <c r="AP59" i="15" a="1"/>
  <c r="AP68" i="15" a="1"/>
  <c r="S79" i="15" a="1"/>
  <c r="AM52" i="8" a="1"/>
  <c r="AP41" i="15" a="1"/>
  <c r="O79" i="15" a="1"/>
  <c r="AP77" i="15" a="1"/>
  <c r="AP42" i="15" a="1"/>
  <c r="AP74" i="15" a="1"/>
  <c r="N79" i="15" a="1"/>
  <c r="P79" i="15" a="1"/>
  <c r="AD79" i="15" a="1"/>
  <c r="AP57" i="15" a="1"/>
  <c r="AP53" i="15" a="1"/>
  <c r="Z79" i="15" a="1"/>
  <c r="AP60" i="15" a="1"/>
  <c r="AM71" i="8" a="1"/>
  <c r="AJ79" i="15" a="1"/>
  <c r="F79" i="15" a="1"/>
  <c r="Q79" i="15" a="1"/>
  <c r="AP64" i="15" a="1"/>
  <c r="AN79" i="15" a="1"/>
  <c r="AM67" i="8" a="1"/>
  <c r="AP69" i="15" a="1"/>
  <c r="AM91" i="8" a="1"/>
  <c r="M79" i="15" a="1"/>
  <c r="AF79" i="15" a="1"/>
  <c r="AP52" i="15" a="1"/>
  <c r="AP61" i="15" a="1"/>
  <c r="U79" i="15" a="1"/>
  <c r="H79" i="15" a="1"/>
  <c r="AK79" i="15" a="1"/>
  <c r="AM53" i="8" a="1"/>
  <c r="AP71" i="15" a="1"/>
  <c r="K79" i="15" a="1"/>
  <c r="AM57" i="8" a="1"/>
  <c r="Y79" i="15" a="1"/>
  <c r="AP58" i="15" a="1"/>
  <c r="AM58" i="8" a="1"/>
  <c r="AO79" i="15" a="1"/>
  <c r="L79" i="15" a="1"/>
  <c r="AP75" i="15" a="1"/>
  <c r="AP40" i="15" a="1"/>
  <c r="T79" i="15" a="1"/>
  <c r="AM54" i="8" a="1"/>
  <c r="AM65" i="8" a="1"/>
  <c r="AP49" i="15" a="1"/>
  <c r="AM63" i="8" a="1"/>
  <c r="AM55" i="8" a="1"/>
  <c r="R79" i="15" a="1"/>
  <c r="AO138" i="15" l="1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G79" i="15"/>
  <c r="H79" i="15"/>
  <c r="I79" i="15"/>
  <c r="K79" i="15"/>
  <c r="K139" i="15" s="1"/>
  <c r="J79" i="15"/>
  <c r="L79" i="15"/>
  <c r="M79" i="15"/>
  <c r="N79" i="15"/>
  <c r="N139" i="15" s="1"/>
  <c r="O79" i="15"/>
  <c r="P79" i="15"/>
  <c r="Q79" i="15"/>
  <c r="R79" i="15"/>
  <c r="R139" i="15" s="1"/>
  <c r="S79" i="15"/>
  <c r="T79" i="15"/>
  <c r="U79" i="15"/>
  <c r="V79" i="15"/>
  <c r="V139" i="15" s="1"/>
  <c r="W79" i="15"/>
  <c r="X79" i="15"/>
  <c r="Y79" i="15"/>
  <c r="Z79" i="15"/>
  <c r="Z139" i="15" s="1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41" i="15"/>
  <c r="AP42" i="15"/>
  <c r="AP40" i="15"/>
  <c r="AP39" i="15"/>
  <c r="AP102" i="15" s="1"/>
  <c r="AR38" i="15"/>
  <c r="B80" i="15"/>
  <c r="AL85" i="8"/>
  <c r="AM91" i="8"/>
  <c r="AM73" i="8"/>
  <c r="AM67" i="8"/>
  <c r="AM61" i="8"/>
  <c r="AM55" i="8"/>
  <c r="AL79" i="8"/>
  <c r="AL77" i="8"/>
  <c r="AL76" i="8"/>
  <c r="AM54" i="8"/>
  <c r="AM52" i="8"/>
  <c r="AM53" i="8"/>
  <c r="AM60" i="8"/>
  <c r="AM58" i="8"/>
  <c r="AM59" i="8"/>
  <c r="AM65" i="8"/>
  <c r="AM64" i="8"/>
  <c r="AM66" i="8"/>
  <c r="AM70" i="8"/>
  <c r="AM72" i="8"/>
  <c r="AM71" i="8"/>
  <c r="AL78" i="8"/>
  <c r="AL82" i="8"/>
  <c r="AL83" i="8"/>
  <c r="AM89" i="8"/>
  <c r="AM51" i="8"/>
  <c r="AM57" i="8"/>
  <c r="AM69" i="8"/>
  <c r="AM63" i="8"/>
  <c r="AM90" i="8"/>
  <c r="AM88" i="8"/>
  <c r="AM87" i="8"/>
  <c r="AL75" i="8"/>
  <c r="AL81" i="8"/>
  <c r="AN49" i="8"/>
  <c r="AL84" i="8"/>
  <c r="AQ50" i="15" a="1"/>
  <c r="AN53" i="8" a="1"/>
  <c r="AQ79" i="15" a="1"/>
  <c r="AP80" i="15" a="1"/>
  <c r="AQ46" i="15" a="1"/>
  <c r="AQ65" i="15" a="1"/>
  <c r="AN60" i="8" a="1"/>
  <c r="F80" i="15" a="1"/>
  <c r="AH80" i="15" a="1"/>
  <c r="M80" i="15" a="1"/>
  <c r="U80" i="15" a="1"/>
  <c r="AQ45" i="15" a="1"/>
  <c r="AN87" i="8" a="1"/>
  <c r="AN73" i="8" a="1"/>
  <c r="AI80" i="15" a="1"/>
  <c r="AN64" i="8" a="1"/>
  <c r="AQ59" i="15" a="1"/>
  <c r="H80" i="15" a="1"/>
  <c r="AN70" i="8" a="1"/>
  <c r="AC80" i="15" a="1"/>
  <c r="AQ53" i="15" a="1"/>
  <c r="J80" i="15" a="1"/>
  <c r="K80" i="15" a="1"/>
  <c r="R80" i="15" a="1"/>
  <c r="AG80" i="15" a="1"/>
  <c r="AQ42" i="15" a="1"/>
  <c r="AQ78" i="15" a="1"/>
  <c r="Y80" i="15" a="1"/>
  <c r="AK80" i="15" a="1"/>
  <c r="AQ55" i="15" a="1"/>
  <c r="AQ66" i="15" a="1"/>
  <c r="AN58" i="8" a="1"/>
  <c r="AQ75" i="15" a="1"/>
  <c r="AN71" i="8" a="1"/>
  <c r="AN65" i="8" a="1"/>
  <c r="L80" i="15" a="1"/>
  <c r="AN69" i="8" a="1"/>
  <c r="AQ56" i="15" a="1"/>
  <c r="AQ61" i="15" a="1"/>
  <c r="AN59" i="8" a="1"/>
  <c r="AQ60" i="15" a="1"/>
  <c r="AQ67" i="15" a="1"/>
  <c r="AQ48" i="15" a="1"/>
  <c r="AN55" i="8" a="1"/>
  <c r="AQ39" i="15" a="1"/>
  <c r="AN57" i="8" a="1"/>
  <c r="Z80" i="15" a="1"/>
  <c r="AQ70" i="15" a="1"/>
  <c r="AQ73" i="15" a="1"/>
  <c r="AQ41" i="15" a="1"/>
  <c r="AQ72" i="15" a="1"/>
  <c r="O80" i="15" a="1"/>
  <c r="AQ51" i="15" a="1"/>
  <c r="AN80" i="15" a="1"/>
  <c r="AO80" i="15" a="1"/>
  <c r="AQ62" i="15" a="1"/>
  <c r="AN54" i="8" a="1"/>
  <c r="AQ63" i="15" a="1"/>
  <c r="AQ43" i="15" a="1"/>
  <c r="G80" i="15" a="1"/>
  <c r="AQ47" i="15" a="1"/>
  <c r="AQ54" i="15" a="1"/>
  <c r="AD80" i="15" a="1"/>
  <c r="AQ64" i="15" a="1"/>
  <c r="AN61" i="8" a="1"/>
  <c r="AQ49" i="15" a="1"/>
  <c r="AN67" i="8" a="1"/>
  <c r="AN66" i="8" a="1"/>
  <c r="N80" i="15" a="1"/>
  <c r="AQ52" i="15" a="1"/>
  <c r="E80" i="15" a="1"/>
  <c r="AQ77" i="15" a="1"/>
  <c r="C80" i="15" a="1"/>
  <c r="AJ80" i="15" a="1"/>
  <c r="AN52" i="8" a="1"/>
  <c r="AQ57" i="15" a="1"/>
  <c r="AQ71" i="15" a="1"/>
  <c r="AQ69" i="15" a="1"/>
  <c r="X80" i="15" a="1"/>
  <c r="Q80" i="15" a="1"/>
  <c r="AE80" i="15" a="1"/>
  <c r="AN51" i="8" a="1"/>
  <c r="AN91" i="8" a="1"/>
  <c r="AB80" i="15" a="1"/>
  <c r="AQ80" i="15" a="1"/>
  <c r="AM80" i="15" a="1"/>
  <c r="AQ74" i="15" a="1"/>
  <c r="AQ44" i="15" a="1"/>
  <c r="AQ40" i="15" a="1"/>
  <c r="AQ68" i="15" a="1"/>
  <c r="AQ58" i="15" a="1"/>
  <c r="AN88" i="8" a="1"/>
  <c r="S80" i="15" a="1"/>
  <c r="W80" i="15" a="1"/>
  <c r="AL80" i="15" a="1"/>
  <c r="AN63" i="8" a="1"/>
  <c r="T80" i="15" a="1"/>
  <c r="AQ76" i="15" a="1"/>
  <c r="P80" i="15" a="1"/>
  <c r="D80" i="15" a="1"/>
  <c r="AN72" i="8" a="1"/>
  <c r="AN89" i="8" a="1"/>
  <c r="AF80" i="15" a="1"/>
  <c r="AN90" i="8" a="1"/>
  <c r="V80" i="15" a="1"/>
  <c r="I80" i="15" a="1"/>
  <c r="AA80" i="15" a="1"/>
  <c r="F139" i="15" l="1"/>
  <c r="AM139" i="15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R140" i="15" s="1"/>
  <c r="S80" i="15"/>
  <c r="T80" i="15"/>
  <c r="U80" i="15"/>
  <c r="V80" i="15"/>
  <c r="V140" i="15" s="1"/>
  <c r="W80" i="15"/>
  <c r="X80" i="15"/>
  <c r="Y80" i="15"/>
  <c r="Z80" i="15"/>
  <c r="Z140" i="15" s="1"/>
  <c r="AA80" i="15"/>
  <c r="AC80" i="15"/>
  <c r="AB80" i="15"/>
  <c r="AD80" i="15"/>
  <c r="AD140" i="15" s="1"/>
  <c r="AE80" i="15"/>
  <c r="AF80" i="15"/>
  <c r="AG80" i="15"/>
  <c r="AH80" i="15"/>
  <c r="AH140" i="15" s="1"/>
  <c r="AI80" i="15"/>
  <c r="AJ80" i="15"/>
  <c r="AK80" i="15"/>
  <c r="AL80" i="15"/>
  <c r="AL140" i="15" s="1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40" i="15"/>
  <c r="AQ41" i="15"/>
  <c r="AQ42" i="15"/>
  <c r="AQ39" i="15"/>
  <c r="AQ102" i="15" s="1"/>
  <c r="AS38" i="15"/>
  <c r="B81" i="15"/>
  <c r="AM85" i="8"/>
  <c r="AN91" i="8"/>
  <c r="AN73" i="8"/>
  <c r="AN67" i="8"/>
  <c r="AN61" i="8"/>
  <c r="AN55" i="8"/>
  <c r="AM79" i="8"/>
  <c r="AM76" i="8"/>
  <c r="AN52" i="8"/>
  <c r="AN54" i="8"/>
  <c r="AN53" i="8"/>
  <c r="AN58" i="8"/>
  <c r="AN60" i="8"/>
  <c r="AN59" i="8"/>
  <c r="AN65" i="8"/>
  <c r="AN64" i="8"/>
  <c r="AN66" i="8"/>
  <c r="AN72" i="8"/>
  <c r="AN70" i="8"/>
  <c r="AN71" i="8"/>
  <c r="AM77" i="8"/>
  <c r="AM78" i="8"/>
  <c r="AM84" i="8"/>
  <c r="AN89" i="8"/>
  <c r="AN51" i="8"/>
  <c r="AN57" i="8"/>
  <c r="AN69" i="8"/>
  <c r="AN63" i="8"/>
  <c r="AN90" i="8"/>
  <c r="AN88" i="8"/>
  <c r="AN87" i="8"/>
  <c r="AM82" i="8"/>
  <c r="AM75" i="8"/>
  <c r="AM81" i="8"/>
  <c r="AO49" i="8"/>
  <c r="AM83" i="8"/>
  <c r="X81" i="15" a="1"/>
  <c r="S81" i="15" a="1"/>
  <c r="AR67" i="15" a="1"/>
  <c r="AO81" i="15" a="1"/>
  <c r="T81" i="15" a="1"/>
  <c r="AA81" i="15" a="1"/>
  <c r="AO72" i="8" a="1"/>
  <c r="AO71" i="8" a="1"/>
  <c r="AR74" i="15" a="1"/>
  <c r="L81" i="15" a="1"/>
  <c r="AR78" i="15" a="1"/>
  <c r="AG81" i="15" a="1"/>
  <c r="AR49" i="15" a="1"/>
  <c r="AR73" i="15" a="1"/>
  <c r="AL81" i="15" a="1"/>
  <c r="AD81" i="15" a="1"/>
  <c r="AO52" i="8" a="1"/>
  <c r="AO73" i="8" a="1"/>
  <c r="AR46" i="15" a="1"/>
  <c r="AO61" i="8" a="1"/>
  <c r="AR64" i="15" a="1"/>
  <c r="AO88" i="8" a="1"/>
  <c r="U81" i="15" a="1"/>
  <c r="AR77" i="15" a="1"/>
  <c r="C81" i="15" a="1"/>
  <c r="AO69" i="8" a="1"/>
  <c r="AR44" i="15" a="1"/>
  <c r="N81" i="15" a="1"/>
  <c r="AR76" i="15" a="1"/>
  <c r="AR39" i="15" a="1"/>
  <c r="AO66" i="8" a="1"/>
  <c r="AO60" i="8" a="1"/>
  <c r="AR72" i="15" a="1"/>
  <c r="G81" i="15" a="1"/>
  <c r="AR63" i="15" a="1"/>
  <c r="AR75" i="15" a="1"/>
  <c r="AR59" i="15" a="1"/>
  <c r="AR40" i="15" a="1"/>
  <c r="AO64" i="8" a="1"/>
  <c r="AR51" i="15" a="1"/>
  <c r="AR53" i="15" a="1"/>
  <c r="J81" i="15" a="1"/>
  <c r="AR58" i="15" a="1"/>
  <c r="AP81" i="15" a="1"/>
  <c r="Y81" i="15" a="1"/>
  <c r="AR55" i="15" a="1"/>
  <c r="AR57" i="15" a="1"/>
  <c r="AR41" i="15" a="1"/>
  <c r="AQ81" i="15" a="1"/>
  <c r="AO59" i="8" a="1"/>
  <c r="AO91" i="8" a="1"/>
  <c r="I81" i="15" a="1"/>
  <c r="AR43" i="15" a="1"/>
  <c r="E81" i="15" a="1"/>
  <c r="V81" i="15" a="1"/>
  <c r="AR62" i="15" a="1"/>
  <c r="AJ81" i="15" a="1"/>
  <c r="K81" i="15" a="1"/>
  <c r="AO55" i="8" a="1"/>
  <c r="AC81" i="15" a="1"/>
  <c r="AR56" i="15" a="1"/>
  <c r="D81" i="15" a="1"/>
  <c r="H81" i="15" a="1"/>
  <c r="AR54" i="15" a="1"/>
  <c r="AM81" i="15" a="1"/>
  <c r="F81" i="15" a="1"/>
  <c r="AK81" i="15" a="1"/>
  <c r="AR65" i="15" a="1"/>
  <c r="AR71" i="15" a="1"/>
  <c r="AO58" i="8" a="1"/>
  <c r="W81" i="15" a="1"/>
  <c r="P81" i="15" a="1"/>
  <c r="AE81" i="15" a="1"/>
  <c r="AR52" i="15" a="1"/>
  <c r="AO54" i="8" a="1"/>
  <c r="AF81" i="15" a="1"/>
  <c r="AO70" i="8" a="1"/>
  <c r="AO67" i="8" a="1"/>
  <c r="AO63" i="8" a="1"/>
  <c r="AR47" i="15" a="1"/>
  <c r="AO51" i="8" a="1"/>
  <c r="AB81" i="15" a="1"/>
  <c r="AR80" i="15" a="1"/>
  <c r="AR61" i="15" a="1"/>
  <c r="AI81" i="15" a="1"/>
  <c r="AR68" i="15" a="1"/>
  <c r="Q81" i="15" a="1"/>
  <c r="AR45" i="15" a="1"/>
  <c r="AR42" i="15" a="1"/>
  <c r="AN81" i="15" a="1"/>
  <c r="AO53" i="8" a="1"/>
  <c r="AR79" i="15" a="1"/>
  <c r="M81" i="15" a="1"/>
  <c r="AR81" i="15" a="1"/>
  <c r="AR50" i="15" a="1"/>
  <c r="AH81" i="15" a="1"/>
  <c r="AR66" i="15" a="1"/>
  <c r="AR69" i="15" a="1"/>
  <c r="O81" i="15" a="1"/>
  <c r="AO65" i="8" a="1"/>
  <c r="Z81" i="15" a="1"/>
  <c r="AO87" i="8" a="1"/>
  <c r="AR70" i="15" a="1"/>
  <c r="AR48" i="15" a="1"/>
  <c r="AO57" i="8" a="1"/>
  <c r="R81" i="15" a="1"/>
  <c r="AO89" i="8" a="1"/>
  <c r="AR60" i="15" a="1"/>
  <c r="AO90" i="8" a="1"/>
  <c r="N140" i="15" l="1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L141" i="15" s="1"/>
  <c r="AM81" i="15"/>
  <c r="AN81" i="15"/>
  <c r="AO81" i="15"/>
  <c r="AP81" i="15"/>
  <c r="AP141" i="15" s="1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42" i="15"/>
  <c r="AR40" i="15"/>
  <c r="AR41" i="15"/>
  <c r="AR39" i="15"/>
  <c r="AR102" i="15" s="1"/>
  <c r="AT38" i="15"/>
  <c r="B82" i="15"/>
  <c r="AO91" i="8"/>
  <c r="AO73" i="8"/>
  <c r="AO67" i="8"/>
  <c r="AO61" i="8"/>
  <c r="AO55" i="8"/>
  <c r="AN79" i="8"/>
  <c r="AN85" i="8"/>
  <c r="AN76" i="8"/>
  <c r="AN77" i="8"/>
  <c r="AO54" i="8"/>
  <c r="AO53" i="8"/>
  <c r="AO52" i="8"/>
  <c r="AO60" i="8"/>
  <c r="AO59" i="8"/>
  <c r="AO58" i="8"/>
  <c r="AO64" i="8"/>
  <c r="AO65" i="8"/>
  <c r="AO66" i="8"/>
  <c r="AO70" i="8"/>
  <c r="AO71" i="8"/>
  <c r="AO72" i="8"/>
  <c r="AN78" i="8"/>
  <c r="AN82" i="8"/>
  <c r="AO89" i="8"/>
  <c r="AO51" i="8"/>
  <c r="AO57" i="8"/>
  <c r="AO69" i="8"/>
  <c r="AO63" i="8"/>
  <c r="AO90" i="8"/>
  <c r="AO88" i="8"/>
  <c r="AO87" i="8"/>
  <c r="AN84" i="8"/>
  <c r="AN81" i="8"/>
  <c r="AN75" i="8"/>
  <c r="AP49" i="8"/>
  <c r="AN83" i="8"/>
  <c r="H82" i="15" a="1"/>
  <c r="AS48" i="15" a="1"/>
  <c r="AS77" i="15" a="1"/>
  <c r="X82" i="15" a="1"/>
  <c r="E82" i="15" a="1"/>
  <c r="O82" i="15" a="1"/>
  <c r="AS49" i="15" a="1"/>
  <c r="AS46" i="15" a="1"/>
  <c r="AP71" i="8" a="1"/>
  <c r="AP87" i="8" a="1"/>
  <c r="AS69" i="15" a="1"/>
  <c r="AS78" i="15" a="1"/>
  <c r="AS41" i="15" a="1"/>
  <c r="P82" i="15" a="1"/>
  <c r="AK82" i="15" a="1"/>
  <c r="AS60" i="15" a="1"/>
  <c r="AS40" i="15" a="1"/>
  <c r="N82" i="15" a="1"/>
  <c r="D82" i="15" a="1"/>
  <c r="AS70" i="15" a="1"/>
  <c r="AP64" i="8" a="1"/>
  <c r="AP88" i="8" a="1"/>
  <c r="AS59" i="15" a="1"/>
  <c r="AS73" i="15" a="1"/>
  <c r="AP72" i="8" a="1"/>
  <c r="F82" i="15" a="1"/>
  <c r="AP55" i="8" a="1"/>
  <c r="AS61" i="15" a="1"/>
  <c r="G82" i="15" a="1"/>
  <c r="AN82" i="15" a="1"/>
  <c r="K82" i="15" a="1"/>
  <c r="AS76" i="15" a="1"/>
  <c r="AO82" i="15" a="1"/>
  <c r="AS81" i="15" a="1"/>
  <c r="AA82" i="15" a="1"/>
  <c r="AS42" i="15" a="1"/>
  <c r="AS75" i="15" a="1"/>
  <c r="AS56" i="15" a="1"/>
  <c r="AP63" i="8" a="1"/>
  <c r="AS79" i="15" a="1"/>
  <c r="AP90" i="8" a="1"/>
  <c r="AS74" i="15" a="1"/>
  <c r="AS58" i="15" a="1"/>
  <c r="AE82" i="15" a="1"/>
  <c r="AP66" i="8" a="1"/>
  <c r="AP51" i="8" a="1"/>
  <c r="AP52" i="8" a="1"/>
  <c r="AS50" i="15" a="1"/>
  <c r="T82" i="15" a="1"/>
  <c r="AP65" i="8" a="1"/>
  <c r="AP53" i="8" a="1"/>
  <c r="AS52" i="15" a="1"/>
  <c r="AS64" i="15" a="1"/>
  <c r="AL82" i="15" a="1"/>
  <c r="AC82" i="15" a="1"/>
  <c r="AS65" i="15" a="1"/>
  <c r="AS71" i="15" a="1"/>
  <c r="AR82" i="15" a="1"/>
  <c r="AS80" i="15" a="1"/>
  <c r="AP69" i="8" a="1"/>
  <c r="AS82" i="15" a="1"/>
  <c r="AP57" i="8" a="1"/>
  <c r="AG82" i="15" a="1"/>
  <c r="S82" i="15" a="1"/>
  <c r="AP54" i="8" a="1"/>
  <c r="U82" i="15" a="1"/>
  <c r="AS66" i="15" a="1"/>
  <c r="Z82" i="15" a="1"/>
  <c r="M82" i="15" a="1"/>
  <c r="J82" i="15" a="1"/>
  <c r="AP82" i="15" a="1"/>
  <c r="AS54" i="15" a="1"/>
  <c r="AD82" i="15" a="1"/>
  <c r="AS55" i="15" a="1"/>
  <c r="AP73" i="8" a="1"/>
  <c r="AS62" i="15" a="1"/>
  <c r="AM82" i="15" a="1"/>
  <c r="C82" i="15" a="1"/>
  <c r="AS68" i="15" a="1"/>
  <c r="AS43" i="15" a="1"/>
  <c r="AS63" i="15" a="1"/>
  <c r="AH82" i="15" a="1"/>
  <c r="AJ82" i="15" a="1"/>
  <c r="AP91" i="8" a="1"/>
  <c r="AS72" i="15" a="1"/>
  <c r="I82" i="15" a="1"/>
  <c r="AS47" i="15" a="1"/>
  <c r="AS45" i="15" a="1"/>
  <c r="R82" i="15" a="1"/>
  <c r="AQ82" i="15" a="1"/>
  <c r="AI82" i="15" a="1"/>
  <c r="W82" i="15" a="1"/>
  <c r="AS67" i="15" a="1"/>
  <c r="Q82" i="15" a="1"/>
  <c r="AP67" i="8" a="1"/>
  <c r="AB82" i="15" a="1"/>
  <c r="AP58" i="8" a="1"/>
  <c r="AS44" i="15" a="1"/>
  <c r="AF82" i="15" a="1"/>
  <c r="AS51" i="15" a="1"/>
  <c r="L82" i="15" a="1"/>
  <c r="AP89" i="8" a="1"/>
  <c r="AP70" i="8" a="1"/>
  <c r="AP60" i="8" a="1"/>
  <c r="AP59" i="8" a="1"/>
  <c r="V82" i="15" a="1"/>
  <c r="AS53" i="15" a="1"/>
  <c r="Y82" i="15" a="1"/>
  <c r="AP61" i="8" a="1"/>
  <c r="AS57" i="15" a="1"/>
  <c r="AS39" i="15" a="1"/>
  <c r="AH141" i="15" l="1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F142" i="15" s="1"/>
  <c r="G82" i="15"/>
  <c r="H82" i="15"/>
  <c r="I82" i="15"/>
  <c r="J82" i="15"/>
  <c r="J142" i="15" s="1"/>
  <c r="K82" i="15"/>
  <c r="L82" i="15"/>
  <c r="M82" i="15"/>
  <c r="N82" i="15"/>
  <c r="N142" i="15" s="1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42" i="15"/>
  <c r="AS41" i="15"/>
  <c r="AS40" i="15"/>
  <c r="AS39" i="15"/>
  <c r="AS102" i="15" s="1"/>
  <c r="AU38" i="15"/>
  <c r="B83" i="15"/>
  <c r="AO85" i="8"/>
  <c r="AP91" i="8"/>
  <c r="AP73" i="8"/>
  <c r="AP67" i="8"/>
  <c r="AP61" i="8"/>
  <c r="AP55" i="8"/>
  <c r="AO79" i="8"/>
  <c r="AO78" i="8"/>
  <c r="AO77" i="8"/>
  <c r="AP54" i="8"/>
  <c r="AP53" i="8"/>
  <c r="AP52" i="8"/>
  <c r="AP58" i="8"/>
  <c r="AP60" i="8"/>
  <c r="AP59" i="8"/>
  <c r="AP64" i="8"/>
  <c r="AP66" i="8"/>
  <c r="AP65" i="8"/>
  <c r="AP71" i="8"/>
  <c r="AP72" i="8"/>
  <c r="AP70" i="8"/>
  <c r="AO76" i="8"/>
  <c r="AO82" i="8"/>
  <c r="AP89" i="8"/>
  <c r="AP51" i="8"/>
  <c r="AP57" i="8"/>
  <c r="AP69" i="8"/>
  <c r="AP63" i="8"/>
  <c r="AP90" i="8"/>
  <c r="AP88" i="8"/>
  <c r="AP87" i="8"/>
  <c r="AO81" i="8"/>
  <c r="AO75" i="8"/>
  <c r="AO83" i="8"/>
  <c r="AQ49" i="8"/>
  <c r="AO84" i="8"/>
  <c r="AT56" i="15" a="1"/>
  <c r="AQ58" i="8" a="1"/>
  <c r="W83" i="15" a="1"/>
  <c r="AT54" i="15" a="1"/>
  <c r="AN83" i="15" a="1"/>
  <c r="C83" i="15" a="1"/>
  <c r="AQ91" i="8" a="1"/>
  <c r="AQ70" i="8" a="1"/>
  <c r="V83" i="15" a="1"/>
  <c r="AO83" i="15" a="1"/>
  <c r="AQ52" i="8" a="1"/>
  <c r="AT67" i="15" a="1"/>
  <c r="D83" i="15" a="1"/>
  <c r="L83" i="15" a="1"/>
  <c r="AT40" i="15" a="1"/>
  <c r="Q83" i="15" a="1"/>
  <c r="AT82" i="15" a="1"/>
  <c r="AQ57" i="8" a="1"/>
  <c r="G83" i="15" a="1"/>
  <c r="H83" i="15" a="1"/>
  <c r="AT64" i="15" a="1"/>
  <c r="AQ72" i="8" a="1"/>
  <c r="AE83" i="15" a="1"/>
  <c r="AQ53" i="8" a="1"/>
  <c r="U83" i="15" a="1"/>
  <c r="Z83" i="15" a="1"/>
  <c r="AC83" i="15" a="1"/>
  <c r="AT58" i="15" a="1"/>
  <c r="AT79" i="15" a="1"/>
  <c r="AH83" i="15" a="1"/>
  <c r="AQ54" i="8" a="1"/>
  <c r="AT42" i="15" a="1"/>
  <c r="P83" i="15" a="1"/>
  <c r="J83" i="15" a="1"/>
  <c r="AT47" i="15" a="1"/>
  <c r="AT50" i="15" a="1"/>
  <c r="AS83" i="15" a="1"/>
  <c r="AT45" i="15" a="1"/>
  <c r="O83" i="15" a="1"/>
  <c r="AK83" i="15" a="1"/>
  <c r="AT62" i="15" a="1"/>
  <c r="AT65" i="15" a="1"/>
  <c r="AQ67" i="8" a="1"/>
  <c r="AF83" i="15" a="1"/>
  <c r="AT72" i="15" a="1"/>
  <c r="AQ51" i="8" a="1"/>
  <c r="AA83" i="15" a="1"/>
  <c r="R83" i="15" a="1"/>
  <c r="AT70" i="15" a="1"/>
  <c r="AQ88" i="8" a="1"/>
  <c r="M83" i="15" a="1"/>
  <c r="AT77" i="15" a="1"/>
  <c r="AT61" i="15" a="1"/>
  <c r="T83" i="15" a="1"/>
  <c r="AQ83" i="15" a="1"/>
  <c r="AT74" i="15" a="1"/>
  <c r="AT41" i="15" a="1"/>
  <c r="AB83" i="15" a="1"/>
  <c r="AQ61" i="8" a="1"/>
  <c r="AQ87" i="8" a="1"/>
  <c r="AJ83" i="15" a="1"/>
  <c r="AT52" i="15" a="1"/>
  <c r="AT78" i="15" a="1"/>
  <c r="AT76" i="15" a="1"/>
  <c r="AQ60" i="8" a="1"/>
  <c r="AT68" i="15" a="1"/>
  <c r="AT39" i="15" a="1"/>
  <c r="X83" i="15" a="1"/>
  <c r="AQ64" i="8" a="1"/>
  <c r="AG83" i="15" a="1"/>
  <c r="S83" i="15" a="1"/>
  <c r="AT83" i="15" a="1"/>
  <c r="AP83" i="15" a="1"/>
  <c r="AM83" i="15" a="1"/>
  <c r="AQ69" i="8" a="1"/>
  <c r="AT80" i="15" a="1"/>
  <c r="AT60" i="15" a="1"/>
  <c r="AQ89" i="8" a="1"/>
  <c r="AQ63" i="8" a="1"/>
  <c r="AT46" i="15" a="1"/>
  <c r="AL83" i="15" a="1"/>
  <c r="AT63" i="15" a="1"/>
  <c r="I83" i="15" a="1"/>
  <c r="E83" i="15" a="1"/>
  <c r="AT57" i="15" a="1"/>
  <c r="AD83" i="15" a="1"/>
  <c r="AQ71" i="8" a="1"/>
  <c r="AT55" i="15" a="1"/>
  <c r="K83" i="15" a="1"/>
  <c r="AQ66" i="8" a="1"/>
  <c r="AT71" i="15" a="1"/>
  <c r="AT59" i="15" a="1"/>
  <c r="AT73" i="15" a="1"/>
  <c r="AQ55" i="8" a="1"/>
  <c r="N83" i="15" a="1"/>
  <c r="AT69" i="15" a="1"/>
  <c r="AT49" i="15" a="1"/>
  <c r="Y83" i="15" a="1"/>
  <c r="AT66" i="15" a="1"/>
  <c r="AT53" i="15" a="1"/>
  <c r="AT51" i="15" a="1"/>
  <c r="AQ73" i="8" a="1"/>
  <c r="AQ90" i="8" a="1"/>
  <c r="F83" i="15" a="1"/>
  <c r="AR83" i="15" a="1"/>
  <c r="AI83" i="15" a="1"/>
  <c r="AT75" i="15" a="1"/>
  <c r="AT81" i="15" a="1"/>
  <c r="AQ65" i="8" a="1"/>
  <c r="AT44" i="15" a="1"/>
  <c r="AT43" i="15" a="1"/>
  <c r="AQ59" i="8" a="1"/>
  <c r="AT48" i="15" a="1"/>
  <c r="AR142" i="15" l="1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K143" i="15" s="1"/>
  <c r="J83" i="15"/>
  <c r="L83" i="15"/>
  <c r="M83" i="15"/>
  <c r="N83" i="15"/>
  <c r="N143" i="15" s="1"/>
  <c r="O83" i="15"/>
  <c r="P83" i="15"/>
  <c r="Q83" i="15"/>
  <c r="R83" i="15"/>
  <c r="R143" i="15" s="1"/>
  <c r="S83" i="15"/>
  <c r="T83" i="15"/>
  <c r="U83" i="15"/>
  <c r="V83" i="15"/>
  <c r="V143" i="15" s="1"/>
  <c r="W83" i="15"/>
  <c r="X83" i="15"/>
  <c r="Y83" i="15"/>
  <c r="Z83" i="15"/>
  <c r="Z143" i="15" s="1"/>
  <c r="AA83" i="15"/>
  <c r="AC83" i="15"/>
  <c r="AB83" i="15"/>
  <c r="AD83" i="15"/>
  <c r="AD143" i="15" s="1"/>
  <c r="AE83" i="15"/>
  <c r="AF83" i="15"/>
  <c r="AG83" i="15"/>
  <c r="AH83" i="15"/>
  <c r="AH143" i="15" s="1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41" i="15"/>
  <c r="AT42" i="15"/>
  <c r="AT40" i="15"/>
  <c r="AT39" i="15"/>
  <c r="AT102" i="15" s="1"/>
  <c r="AV38" i="15"/>
  <c r="B84" i="15"/>
  <c r="AQ91" i="8"/>
  <c r="AQ73" i="8"/>
  <c r="AQ67" i="8"/>
  <c r="AQ61" i="8"/>
  <c r="AQ55" i="8"/>
  <c r="AP85" i="8"/>
  <c r="AP79" i="8"/>
  <c r="AP76" i="8"/>
  <c r="AQ53" i="8"/>
  <c r="AQ54" i="8"/>
  <c r="AQ52" i="8"/>
  <c r="AQ58" i="8"/>
  <c r="AQ60" i="8"/>
  <c r="AQ59" i="8"/>
  <c r="AQ64" i="8"/>
  <c r="AQ65" i="8"/>
  <c r="AQ66" i="8"/>
  <c r="AQ71" i="8"/>
  <c r="AQ70" i="8"/>
  <c r="AQ72" i="8"/>
  <c r="AP77" i="8"/>
  <c r="AP78" i="8"/>
  <c r="AP84" i="8"/>
  <c r="AP83" i="8"/>
  <c r="AQ89" i="8"/>
  <c r="AQ51" i="8"/>
  <c r="AQ57" i="8"/>
  <c r="AQ69" i="8"/>
  <c r="AQ63" i="8"/>
  <c r="AQ90" i="8"/>
  <c r="AQ88" i="8"/>
  <c r="AQ87" i="8"/>
  <c r="AP81" i="8"/>
  <c r="AP75" i="8"/>
  <c r="AR49" i="8"/>
  <c r="AP82" i="8"/>
  <c r="AA84" i="15" a="1"/>
  <c r="AR55" i="8" a="1"/>
  <c r="AU43" i="15" a="1"/>
  <c r="AR51" i="8" a="1"/>
  <c r="AU62" i="15" a="1"/>
  <c r="E84" i="15" a="1"/>
  <c r="AU84" i="15" a="1"/>
  <c r="AR63" i="8" a="1"/>
  <c r="AU69" i="15" a="1"/>
  <c r="AB84" i="15" a="1"/>
  <c r="AQ84" i="15" a="1"/>
  <c r="AU80" i="15" a="1"/>
  <c r="AL84" i="15" a="1"/>
  <c r="AR87" i="8" a="1"/>
  <c r="AU65" i="15" a="1"/>
  <c r="N84" i="15" a="1"/>
  <c r="AU64" i="15" a="1"/>
  <c r="AF84" i="15" a="1"/>
  <c r="D84" i="15" a="1"/>
  <c r="AU40" i="15" a="1"/>
  <c r="AU68" i="15" a="1"/>
  <c r="AU48" i="15" a="1"/>
  <c r="AU46" i="15" a="1"/>
  <c r="AU49" i="15" a="1"/>
  <c r="AR52" i="8" a="1"/>
  <c r="G84" i="15" a="1"/>
  <c r="AR91" i="8" a="1"/>
  <c r="AU77" i="15" a="1"/>
  <c r="AU82" i="15" a="1"/>
  <c r="AR72" i="8" a="1"/>
  <c r="AS84" i="15" a="1"/>
  <c r="W84" i="15" a="1"/>
  <c r="AU41" i="15" a="1"/>
  <c r="AU45" i="15" a="1"/>
  <c r="AU72" i="15" a="1"/>
  <c r="AR69" i="8" a="1"/>
  <c r="U84" i="15" a="1"/>
  <c r="AU74" i="15" a="1"/>
  <c r="AR61" i="8" a="1"/>
  <c r="AU61" i="15" a="1"/>
  <c r="AU63" i="15" a="1"/>
  <c r="AU70" i="15" a="1"/>
  <c r="Q84" i="15" a="1"/>
  <c r="L84" i="15" a="1"/>
  <c r="F84" i="15" a="1"/>
  <c r="AU83" i="15" a="1"/>
  <c r="AR53" i="8" a="1"/>
  <c r="AU67" i="15" a="1"/>
  <c r="AU47" i="15" a="1"/>
  <c r="AR65" i="8" a="1"/>
  <c r="Y84" i="15" a="1"/>
  <c r="AU79" i="15" a="1"/>
  <c r="S84" i="15" a="1"/>
  <c r="AU71" i="15" a="1"/>
  <c r="AN84" i="15" a="1"/>
  <c r="AU51" i="15" a="1"/>
  <c r="AU75" i="15" a="1"/>
  <c r="AP84" i="15" a="1"/>
  <c r="AU39" i="15" a="1"/>
  <c r="AR59" i="8" a="1"/>
  <c r="AE84" i="15" a="1"/>
  <c r="AU78" i="15" a="1"/>
  <c r="X84" i="15" a="1"/>
  <c r="AR73" i="8" a="1"/>
  <c r="AU55" i="15" a="1"/>
  <c r="AR54" i="8" a="1"/>
  <c r="AU42" i="15" a="1"/>
  <c r="J84" i="15" a="1"/>
  <c r="P84" i="15" a="1"/>
  <c r="AR66" i="8" a="1"/>
  <c r="AR57" i="8" a="1"/>
  <c r="AM84" i="15" a="1"/>
  <c r="V84" i="15" a="1"/>
  <c r="O84" i="15" a="1"/>
  <c r="AU52" i="15" a="1"/>
  <c r="AU53" i="15" a="1"/>
  <c r="AK84" i="15" a="1"/>
  <c r="AU66" i="15" a="1"/>
  <c r="H84" i="15" a="1"/>
  <c r="M84" i="15" a="1"/>
  <c r="Z84" i="15" a="1"/>
  <c r="AU44" i="15" a="1"/>
  <c r="AR64" i="8" a="1"/>
  <c r="C84" i="15" a="1"/>
  <c r="T84" i="15" a="1"/>
  <c r="AR60" i="8" a="1"/>
  <c r="AU81" i="15" a="1"/>
  <c r="AU60" i="15" a="1"/>
  <c r="AC84" i="15" a="1"/>
  <c r="AH84" i="15" a="1"/>
  <c r="AU59" i="15" a="1"/>
  <c r="K84" i="15" a="1"/>
  <c r="R84" i="15" a="1"/>
  <c r="AI84" i="15" a="1"/>
  <c r="AD84" i="15" a="1"/>
  <c r="AR71" i="8" a="1"/>
  <c r="AR58" i="8" a="1"/>
  <c r="AU58" i="15" a="1"/>
  <c r="AU54" i="15" a="1"/>
  <c r="AU76" i="15" a="1"/>
  <c r="AG84" i="15" a="1"/>
  <c r="AR88" i="8" a="1"/>
  <c r="AU56" i="15" a="1"/>
  <c r="AU50" i="15" a="1"/>
  <c r="AR89" i="8" a="1"/>
  <c r="AT84" i="15" a="1"/>
  <c r="AJ84" i="15" a="1"/>
  <c r="AR84" i="15" a="1"/>
  <c r="AU57" i="15" a="1"/>
  <c r="AR90" i="8" a="1"/>
  <c r="AR70" i="8" a="1"/>
  <c r="AO84" i="15" a="1"/>
  <c r="AR67" i="8" a="1"/>
  <c r="AU73" i="15" a="1"/>
  <c r="I84" i="15" a="1"/>
  <c r="F143" i="15" l="1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N144" i="15" s="1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40" i="15"/>
  <c r="AU41" i="15"/>
  <c r="AU42" i="15"/>
  <c r="AU39" i="15"/>
  <c r="AU102" i="15" s="1"/>
  <c r="AW38" i="15"/>
  <c r="B85" i="15"/>
  <c r="AQ79" i="8"/>
  <c r="AR91" i="8"/>
  <c r="AR73" i="8"/>
  <c r="AR67" i="8"/>
  <c r="AR61" i="8"/>
  <c r="AR55" i="8"/>
  <c r="AQ85" i="8"/>
  <c r="AQ77" i="8"/>
  <c r="AR53" i="8"/>
  <c r="AR52" i="8"/>
  <c r="AR54" i="8"/>
  <c r="AR58" i="8"/>
  <c r="AR60" i="8"/>
  <c r="AR59" i="8"/>
  <c r="AR66" i="8"/>
  <c r="AR64" i="8"/>
  <c r="AR65" i="8"/>
  <c r="AR71" i="8"/>
  <c r="AR72" i="8"/>
  <c r="AR70" i="8"/>
  <c r="AQ78" i="8"/>
  <c r="AQ76" i="8"/>
  <c r="AQ82" i="8"/>
  <c r="AR89" i="8"/>
  <c r="AR51" i="8"/>
  <c r="AR57" i="8"/>
  <c r="AR69" i="8"/>
  <c r="AR63" i="8"/>
  <c r="AR90" i="8"/>
  <c r="AR88" i="8"/>
  <c r="AR87" i="8"/>
  <c r="AS49" i="8"/>
  <c r="AQ84" i="8"/>
  <c r="AQ75" i="8"/>
  <c r="AQ81" i="8"/>
  <c r="AQ83" i="8"/>
  <c r="AV41" i="15" a="1"/>
  <c r="L85" i="15" a="1"/>
  <c r="AV69" i="15" a="1"/>
  <c r="AV61" i="15" a="1"/>
  <c r="T85" i="15" a="1"/>
  <c r="AV73" i="15" a="1"/>
  <c r="I85" i="15" a="1"/>
  <c r="AV78" i="15" a="1"/>
  <c r="AL85" i="15" a="1"/>
  <c r="AS72" i="8" a="1"/>
  <c r="AV54" i="15" a="1"/>
  <c r="AS58" i="8" a="1"/>
  <c r="Z85" i="15" a="1"/>
  <c r="AV76" i="15" a="1"/>
  <c r="AV58" i="15" a="1"/>
  <c r="AS63" i="8" a="1"/>
  <c r="J85" i="15" a="1"/>
  <c r="AB85" i="15" a="1"/>
  <c r="AS52" i="8" a="1"/>
  <c r="AV48" i="15" a="1"/>
  <c r="AV55" i="15" a="1"/>
  <c r="AS88" i="8" a="1"/>
  <c r="AJ85" i="15" a="1"/>
  <c r="AS71" i="8" a="1"/>
  <c r="AV47" i="15" a="1"/>
  <c r="AV53" i="15" a="1"/>
  <c r="AS67" i="8" a="1"/>
  <c r="AS64" i="8" a="1"/>
  <c r="W85" i="15" a="1"/>
  <c r="AS85" i="15" a="1"/>
  <c r="AK85" i="15" a="1"/>
  <c r="AV46" i="15" a="1"/>
  <c r="AS87" i="8" a="1"/>
  <c r="AS57" i="8" a="1"/>
  <c r="AS54" i="8" a="1"/>
  <c r="AS70" i="8" a="1"/>
  <c r="AV74" i="15" a="1"/>
  <c r="AV65" i="15" a="1"/>
  <c r="AS90" i="8" a="1"/>
  <c r="AV62" i="15" a="1"/>
  <c r="D85" i="15" a="1"/>
  <c r="AN85" i="15" a="1"/>
  <c r="S85" i="15" a="1"/>
  <c r="U85" i="15" a="1"/>
  <c r="AT85" i="15" a="1"/>
  <c r="AV71" i="15" a="1"/>
  <c r="AU85" i="15" a="1"/>
  <c r="AV75" i="15" a="1"/>
  <c r="AS53" i="8" a="1"/>
  <c r="Q85" i="15" a="1"/>
  <c r="AV85" i="15" a="1"/>
  <c r="AS55" i="8" a="1"/>
  <c r="AV60" i="15" a="1"/>
  <c r="AV84" i="15" a="1"/>
  <c r="AV64" i="15" a="1"/>
  <c r="AV40" i="15" a="1"/>
  <c r="AC85" i="15" a="1"/>
  <c r="AV83" i="15" a="1"/>
  <c r="AP85" i="15" a="1"/>
  <c r="AV68" i="15" a="1"/>
  <c r="AV70" i="15" a="1"/>
  <c r="AD85" i="15" a="1"/>
  <c r="AV59" i="15" a="1"/>
  <c r="AV51" i="15" a="1"/>
  <c r="AS69" i="8" a="1"/>
  <c r="AA85" i="15" a="1"/>
  <c r="AV56" i="15" a="1"/>
  <c r="G85" i="15" a="1"/>
  <c r="AV44" i="15" a="1"/>
  <c r="AV67" i="15" a="1"/>
  <c r="AV72" i="15" a="1"/>
  <c r="H85" i="15" a="1"/>
  <c r="P85" i="15" a="1"/>
  <c r="AM85" i="15" a="1"/>
  <c r="AS65" i="8" a="1"/>
  <c r="AS89" i="8" a="1"/>
  <c r="X85" i="15" a="1"/>
  <c r="AS59" i="8" a="1"/>
  <c r="N85" i="15" a="1"/>
  <c r="AV63" i="15" a="1"/>
  <c r="V85" i="15" a="1"/>
  <c r="AV39" i="15" a="1"/>
  <c r="AV49" i="15" a="1"/>
  <c r="AO85" i="15" a="1"/>
  <c r="AV50" i="15" a="1"/>
  <c r="AS51" i="8" a="1"/>
  <c r="R85" i="15" a="1"/>
  <c r="AV82" i="15" a="1"/>
  <c r="AV79" i="15" a="1"/>
  <c r="AV57" i="15" a="1"/>
  <c r="AV52" i="15" a="1"/>
  <c r="AG85" i="15" a="1"/>
  <c r="AV42" i="15" a="1"/>
  <c r="AS61" i="8" a="1"/>
  <c r="AR85" i="15" a="1"/>
  <c r="Y85" i="15" a="1"/>
  <c r="F85" i="15" a="1"/>
  <c r="C85" i="15" a="1"/>
  <c r="K85" i="15" a="1"/>
  <c r="AI85" i="15" a="1"/>
  <c r="AV80" i="15" a="1"/>
  <c r="AS60" i="8" a="1"/>
  <c r="AV66" i="15" a="1"/>
  <c r="AH85" i="15" a="1"/>
  <c r="AS91" i="8" a="1"/>
  <c r="AQ85" i="15" a="1"/>
  <c r="AV43" i="15" a="1"/>
  <c r="E85" i="15" a="1"/>
  <c r="AS66" i="8" a="1"/>
  <c r="AV81" i="15" a="1"/>
  <c r="M85" i="15" a="1"/>
  <c r="AV45" i="15" a="1"/>
  <c r="O85" i="15" a="1"/>
  <c r="AF85" i="15" a="1"/>
  <c r="AE85" i="15" a="1"/>
  <c r="AV77" i="15" a="1"/>
  <c r="AS73" i="8" a="1"/>
  <c r="F144" i="15" l="1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K145" i="15" s="1"/>
  <c r="J85" i="15"/>
  <c r="L85" i="15"/>
  <c r="M85" i="15"/>
  <c r="N85" i="15"/>
  <c r="N145" i="15" s="1"/>
  <c r="O85" i="15"/>
  <c r="P85" i="15"/>
  <c r="Q85" i="15"/>
  <c r="R85" i="15"/>
  <c r="R145" i="15" s="1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42" i="15"/>
  <c r="AV40" i="15"/>
  <c r="AV41" i="15"/>
  <c r="AV39" i="15"/>
  <c r="AV102" i="15" s="1"/>
  <c r="AX38" i="15"/>
  <c r="B86" i="15"/>
  <c r="AR79" i="8"/>
  <c r="AS91" i="8"/>
  <c r="AS73" i="8"/>
  <c r="AS67" i="8"/>
  <c r="AS61" i="8"/>
  <c r="AS55" i="8"/>
  <c r="AR85" i="8"/>
  <c r="AR77" i="8"/>
  <c r="AR78" i="8"/>
  <c r="AS53" i="8"/>
  <c r="AS52" i="8"/>
  <c r="AS54" i="8"/>
  <c r="AS60" i="8"/>
  <c r="AS59" i="8"/>
  <c r="AS58" i="8"/>
  <c r="AS64" i="8"/>
  <c r="AS65" i="8"/>
  <c r="AS66" i="8"/>
  <c r="AS70" i="8"/>
  <c r="AS71" i="8"/>
  <c r="AS72" i="8"/>
  <c r="AR76" i="8"/>
  <c r="AR84" i="8"/>
  <c r="AS89" i="8"/>
  <c r="AS51" i="8"/>
  <c r="AS57" i="8"/>
  <c r="AS69" i="8"/>
  <c r="AS63" i="8"/>
  <c r="AS90" i="8"/>
  <c r="AS88" i="8"/>
  <c r="AS87" i="8"/>
  <c r="AR82" i="8"/>
  <c r="AR75" i="8"/>
  <c r="AR81" i="8"/>
  <c r="AT49" i="8"/>
  <c r="AR83" i="8"/>
  <c r="AN86" i="15" a="1"/>
  <c r="AJ86" i="15" a="1"/>
  <c r="W86" i="15" a="1"/>
  <c r="AW86" i="15" a="1"/>
  <c r="AW47" i="15" a="1"/>
  <c r="AT67" i="8" a="1"/>
  <c r="AQ86" i="15" a="1"/>
  <c r="AT51" i="8" a="1"/>
  <c r="AT72" i="8" a="1"/>
  <c r="AT64" i="8" a="1"/>
  <c r="AW58" i="15" a="1"/>
  <c r="AW51" i="15" a="1"/>
  <c r="AW39" i="15" a="1"/>
  <c r="AG86" i="15" a="1"/>
  <c r="AT63" i="8" a="1"/>
  <c r="T86" i="15" a="1"/>
  <c r="AT89" i="8" a="1"/>
  <c r="AW79" i="15" a="1"/>
  <c r="AU86" i="15" a="1"/>
  <c r="AW49" i="15" a="1"/>
  <c r="AA86" i="15" a="1"/>
  <c r="K86" i="15" a="1"/>
  <c r="AW48" i="15" a="1"/>
  <c r="AT65" i="8" a="1"/>
  <c r="AW71" i="15" a="1"/>
  <c r="AW54" i="15" a="1"/>
  <c r="AW64" i="15" a="1"/>
  <c r="AW82" i="15" a="1"/>
  <c r="AW69" i="15" a="1"/>
  <c r="AW73" i="15" a="1"/>
  <c r="AT54" i="8" a="1"/>
  <c r="H86" i="15" a="1"/>
  <c r="AW66" i="15" a="1"/>
  <c r="AT88" i="8" a="1"/>
  <c r="AW68" i="15" a="1"/>
  <c r="AW55" i="15" a="1"/>
  <c r="U86" i="15" a="1"/>
  <c r="AW76" i="15" a="1"/>
  <c r="N86" i="15" a="1"/>
  <c r="AW72" i="15" a="1"/>
  <c r="AW43" i="15" a="1"/>
  <c r="G86" i="15" a="1"/>
  <c r="AV86" i="15" a="1"/>
  <c r="AI86" i="15" a="1"/>
  <c r="AE86" i="15" a="1"/>
  <c r="M86" i="15" a="1"/>
  <c r="J86" i="15" a="1"/>
  <c r="AW84" i="15" a="1"/>
  <c r="AW81" i="15" a="1"/>
  <c r="AT55" i="8" a="1"/>
  <c r="AW75" i="15" a="1"/>
  <c r="V86" i="15" a="1"/>
  <c r="AW52" i="15" a="1"/>
  <c r="AW85" i="15" a="1"/>
  <c r="AW83" i="15" a="1"/>
  <c r="AO86" i="15" a="1"/>
  <c r="P86" i="15" a="1"/>
  <c r="AW46" i="15" a="1"/>
  <c r="O86" i="15" a="1"/>
  <c r="AW70" i="15" a="1"/>
  <c r="AW61" i="15" a="1"/>
  <c r="AT73" i="8" a="1"/>
  <c r="AW41" i="15" a="1"/>
  <c r="AT52" i="8" a="1"/>
  <c r="I86" i="15" a="1"/>
  <c r="AW62" i="15" a="1"/>
  <c r="AW80" i="15" a="1"/>
  <c r="AK86" i="15" a="1"/>
  <c r="AL86" i="15" a="1"/>
  <c r="R86" i="15" a="1"/>
  <c r="E86" i="15" a="1"/>
  <c r="AW40" i="15" a="1"/>
  <c r="AW44" i="15" a="1"/>
  <c r="Y86" i="15" a="1"/>
  <c r="AT70" i="8" a="1"/>
  <c r="AW50" i="15" a="1"/>
  <c r="AP86" i="15" a="1"/>
  <c r="AT71" i="8" a="1"/>
  <c r="AF86" i="15" a="1"/>
  <c r="L86" i="15" a="1"/>
  <c r="AT66" i="8" a="1"/>
  <c r="S86" i="15" a="1"/>
  <c r="Z86" i="15" a="1"/>
  <c r="AT53" i="8" a="1"/>
  <c r="AW57" i="15" a="1"/>
  <c r="AT60" i="8" a="1"/>
  <c r="AS86" i="15" a="1"/>
  <c r="AM86" i="15" a="1"/>
  <c r="AW74" i="15" a="1"/>
  <c r="AW78" i="15" a="1"/>
  <c r="AW63" i="15" a="1"/>
  <c r="AW60" i="15" a="1"/>
  <c r="AW45" i="15" a="1"/>
  <c r="AH86" i="15" a="1"/>
  <c r="AD86" i="15" a="1"/>
  <c r="AT87" i="8" a="1"/>
  <c r="AT90" i="8" a="1"/>
  <c r="AR86" i="15" a="1"/>
  <c r="D86" i="15" a="1"/>
  <c r="AT61" i="8" a="1"/>
  <c r="AB86" i="15" a="1"/>
  <c r="C86" i="15" a="1"/>
  <c r="AW65" i="15" a="1"/>
  <c r="AW77" i="15" a="1"/>
  <c r="AW59" i="15" a="1"/>
  <c r="X86" i="15" a="1"/>
  <c r="AT58" i="8" a="1"/>
  <c r="F86" i="15" a="1"/>
  <c r="AT86" i="15" a="1"/>
  <c r="Q86" i="15" a="1"/>
  <c r="AW56" i="15" a="1"/>
  <c r="AC86" i="15" a="1"/>
  <c r="AT91" i="8" a="1"/>
  <c r="AT59" i="8" a="1"/>
  <c r="AW67" i="15" a="1"/>
  <c r="AT57" i="8" a="1"/>
  <c r="AW53" i="15" a="1"/>
  <c r="AW42" i="15" a="1"/>
  <c r="AT69" i="8" a="1"/>
  <c r="AR145" i="15" l="1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F146" i="15" s="1"/>
  <c r="G86" i="15"/>
  <c r="H86" i="15"/>
  <c r="I86" i="15"/>
  <c r="K86" i="15"/>
  <c r="K146" i="15" s="1"/>
  <c r="J86" i="15"/>
  <c r="L86" i="15"/>
  <c r="M86" i="15"/>
  <c r="N86" i="15"/>
  <c r="N146" i="15" s="1"/>
  <c r="O86" i="15"/>
  <c r="P86" i="15"/>
  <c r="Q86" i="15"/>
  <c r="R86" i="15"/>
  <c r="R146" i="15" s="1"/>
  <c r="S86" i="15"/>
  <c r="T86" i="15"/>
  <c r="U86" i="15"/>
  <c r="V86" i="15"/>
  <c r="V146" i="15" s="1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40" i="15"/>
  <c r="AW42" i="15"/>
  <c r="AW41" i="15"/>
  <c r="AW39" i="15"/>
  <c r="AW102" i="15" s="1"/>
  <c r="AY38" i="15"/>
  <c r="B87" i="15"/>
  <c r="AS85" i="8"/>
  <c r="AT91" i="8"/>
  <c r="AT73" i="8"/>
  <c r="AT67" i="8"/>
  <c r="AT61" i="8"/>
  <c r="AT55" i="8"/>
  <c r="AS79" i="8"/>
  <c r="AS78" i="8"/>
  <c r="AT52" i="8"/>
  <c r="AT54" i="8"/>
  <c r="AT53" i="8"/>
  <c r="AT60" i="8"/>
  <c r="AT59" i="8"/>
  <c r="AT58" i="8"/>
  <c r="AT64" i="8"/>
  <c r="AT66" i="8"/>
  <c r="AT65" i="8"/>
  <c r="AT72" i="8"/>
  <c r="AT71" i="8"/>
  <c r="AT70" i="8"/>
  <c r="AS77" i="8"/>
  <c r="AS76" i="8"/>
  <c r="AS82" i="8"/>
  <c r="AT89" i="8"/>
  <c r="AT51" i="8"/>
  <c r="AT57" i="8"/>
  <c r="AT69" i="8"/>
  <c r="AT63" i="8"/>
  <c r="AT90" i="8"/>
  <c r="AT88" i="8"/>
  <c r="AT87" i="8"/>
  <c r="AU49" i="8"/>
  <c r="AS83" i="8"/>
  <c r="AS84" i="8"/>
  <c r="AS75" i="8"/>
  <c r="AS81" i="8"/>
  <c r="AU90" i="8" a="1"/>
  <c r="AX66" i="15" a="1"/>
  <c r="AU69" i="8" a="1"/>
  <c r="W87" i="15" a="1"/>
  <c r="E87" i="15" a="1"/>
  <c r="AX81" i="15" a="1"/>
  <c r="AX68" i="15" a="1"/>
  <c r="AU60" i="8" a="1"/>
  <c r="L87" i="15" a="1"/>
  <c r="AX51" i="15" a="1"/>
  <c r="AX84" i="15" a="1"/>
  <c r="AX87" i="15" a="1"/>
  <c r="AR87" i="15" a="1"/>
  <c r="AU53" i="8" a="1"/>
  <c r="AX44" i="15" a="1"/>
  <c r="AX73" i="15" a="1"/>
  <c r="AX45" i="15" a="1"/>
  <c r="AJ87" i="15" a="1"/>
  <c r="AX47" i="15" a="1"/>
  <c r="AO87" i="15" a="1"/>
  <c r="AU72" i="8" a="1"/>
  <c r="AU91" i="8" a="1"/>
  <c r="AC87" i="15" a="1"/>
  <c r="P87" i="15" a="1"/>
  <c r="AD87" i="15" a="1"/>
  <c r="U87" i="15" a="1"/>
  <c r="AU51" i="8" a="1"/>
  <c r="AX56" i="15" a="1"/>
  <c r="AT87" i="15" a="1"/>
  <c r="AX46" i="15" a="1"/>
  <c r="AX50" i="15" a="1"/>
  <c r="H87" i="15" a="1"/>
  <c r="AX86" i="15" a="1"/>
  <c r="AX79" i="15" a="1"/>
  <c r="J87" i="15" a="1"/>
  <c r="AU70" i="8" a="1"/>
  <c r="AU58" i="8" a="1"/>
  <c r="AU67" i="8" a="1"/>
  <c r="O87" i="15" a="1"/>
  <c r="AX70" i="15" a="1"/>
  <c r="AG87" i="15" a="1"/>
  <c r="T87" i="15" a="1"/>
  <c r="AQ87" i="15" a="1"/>
  <c r="AU89" i="8" a="1"/>
  <c r="AX83" i="15" a="1"/>
  <c r="AP87" i="15" a="1"/>
  <c r="AU52" i="8" a="1"/>
  <c r="AN87" i="15" a="1"/>
  <c r="AX82" i="15" a="1"/>
  <c r="AU73" i="8" a="1"/>
  <c r="AI87" i="15" a="1"/>
  <c r="AU88" i="8" a="1"/>
  <c r="AX63" i="15" a="1"/>
  <c r="AU63" i="8" a="1"/>
  <c r="AX85" i="15" a="1"/>
  <c r="C87" i="15" a="1"/>
  <c r="AX71" i="15" a="1"/>
  <c r="AK87" i="15" a="1"/>
  <c r="AU87" i="15" a="1"/>
  <c r="G87" i="15" a="1"/>
  <c r="AX61" i="15" a="1"/>
  <c r="Z87" i="15" a="1"/>
  <c r="AX77" i="15" a="1"/>
  <c r="Q87" i="15" a="1"/>
  <c r="AV87" i="15" a="1"/>
  <c r="AU59" i="8" a="1"/>
  <c r="M87" i="15" a="1"/>
  <c r="AX76" i="15" a="1"/>
  <c r="AH87" i="15" a="1"/>
  <c r="AX74" i="15" a="1"/>
  <c r="AX64" i="15" a="1"/>
  <c r="AU55" i="8" a="1"/>
  <c r="F87" i="15" a="1"/>
  <c r="AF87" i="15" a="1"/>
  <c r="D87" i="15" a="1"/>
  <c r="AU57" i="8" a="1"/>
  <c r="AX55" i="15" a="1"/>
  <c r="K87" i="15" a="1"/>
  <c r="S87" i="15" a="1"/>
  <c r="AX43" i="15" a="1"/>
  <c r="AX59" i="15" a="1"/>
  <c r="AU65" i="8" a="1"/>
  <c r="AX57" i="15" a="1"/>
  <c r="AU54" i="8" a="1"/>
  <c r="AX54" i="15" a="1"/>
  <c r="AX69" i="15" a="1"/>
  <c r="AX41" i="15" a="1"/>
  <c r="AB87" i="15" a="1"/>
  <c r="X87" i="15" a="1"/>
  <c r="AU64" i="8" a="1"/>
  <c r="AX78" i="15" a="1"/>
  <c r="AX65" i="15" a="1"/>
  <c r="AU61" i="8" a="1"/>
  <c r="AX52" i="15" a="1"/>
  <c r="AX48" i="15" a="1"/>
  <c r="AS87" i="15" a="1"/>
  <c r="AX75" i="15" a="1"/>
  <c r="AW87" i="15" a="1"/>
  <c r="AX62" i="15" a="1"/>
  <c r="AX58" i="15" a="1"/>
  <c r="AX67" i="15" a="1"/>
  <c r="AX53" i="15" a="1"/>
  <c r="AU71" i="8" a="1"/>
  <c r="AX72" i="15" a="1"/>
  <c r="AU66" i="8" a="1"/>
  <c r="AX42" i="15" a="1"/>
  <c r="Y87" i="15" a="1"/>
  <c r="AX80" i="15" a="1"/>
  <c r="R87" i="15" a="1"/>
  <c r="N87" i="15" a="1"/>
  <c r="AE87" i="15" a="1"/>
  <c r="AX39" i="15" a="1"/>
  <c r="V87" i="15" a="1"/>
  <c r="AX60" i="15" a="1"/>
  <c r="AL87" i="15" a="1"/>
  <c r="AX40" i="15" a="1"/>
  <c r="AA87" i="15" a="1"/>
  <c r="I87" i="15" a="1"/>
  <c r="AU87" i="8" a="1"/>
  <c r="AM87" i="15" a="1"/>
  <c r="AX49" i="15" a="1"/>
  <c r="AW146" i="15" l="1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N147" i="15" s="1"/>
  <c r="O87" i="15"/>
  <c r="P87" i="15"/>
  <c r="Q87" i="15"/>
  <c r="R87" i="15"/>
  <c r="R147" i="15" s="1"/>
  <c r="S87" i="15"/>
  <c r="T87" i="15"/>
  <c r="U87" i="15"/>
  <c r="V87" i="15"/>
  <c r="V147" i="15" s="1"/>
  <c r="W87" i="15"/>
  <c r="X87" i="15"/>
  <c r="Y87" i="15"/>
  <c r="Z87" i="15"/>
  <c r="Z147" i="15" s="1"/>
  <c r="AA87" i="15"/>
  <c r="AC87" i="15"/>
  <c r="AB87" i="15"/>
  <c r="AD87" i="15"/>
  <c r="AD147" i="15" s="1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41" i="15"/>
  <c r="AX42" i="15"/>
  <c r="AX40" i="15"/>
  <c r="AX39" i="15"/>
  <c r="AX102" i="15" s="1"/>
  <c r="AZ38" i="15"/>
  <c r="B88" i="15"/>
  <c r="AT85" i="8"/>
  <c r="AU91" i="8"/>
  <c r="AU73" i="8"/>
  <c r="AU67" i="8"/>
  <c r="AU61" i="8"/>
  <c r="AU55" i="8"/>
  <c r="AT79" i="8"/>
  <c r="AT78" i="8"/>
  <c r="AT76" i="8"/>
  <c r="AU53" i="8"/>
  <c r="AU52" i="8"/>
  <c r="AU54" i="8"/>
  <c r="AU59" i="8"/>
  <c r="AU60" i="8"/>
  <c r="AU58" i="8"/>
  <c r="AU64" i="8"/>
  <c r="AU65" i="8"/>
  <c r="AU66" i="8"/>
  <c r="AU71" i="8"/>
  <c r="AU72" i="8"/>
  <c r="AU70" i="8"/>
  <c r="AT77" i="8"/>
  <c r="AT83" i="8"/>
  <c r="AU89" i="8"/>
  <c r="AU51" i="8"/>
  <c r="AU57" i="8"/>
  <c r="AU69" i="8"/>
  <c r="AU63" i="8"/>
  <c r="AU90" i="8"/>
  <c r="AU88" i="8"/>
  <c r="AU87" i="8"/>
  <c r="AT82" i="8"/>
  <c r="AT75" i="8"/>
  <c r="AT81" i="8"/>
  <c r="AV49" i="8"/>
  <c r="AT84" i="8"/>
  <c r="AY62" i="15" a="1"/>
  <c r="N88" i="15" a="1"/>
  <c r="AY68" i="15" a="1"/>
  <c r="AG88" i="15" a="1"/>
  <c r="AY75" i="15" a="1"/>
  <c r="AV60" i="8" a="1"/>
  <c r="AV73" i="8" a="1"/>
  <c r="AL88" i="15" a="1"/>
  <c r="AY46" i="15" a="1"/>
  <c r="AY80" i="15" a="1"/>
  <c r="AY88" i="15" a="1"/>
  <c r="AV53" i="8" a="1"/>
  <c r="AY77" i="15" a="1"/>
  <c r="Z88" i="15" a="1"/>
  <c r="AY71" i="15" a="1"/>
  <c r="AY87" i="15" a="1"/>
  <c r="AS88" i="15" a="1"/>
  <c r="AY47" i="15" a="1"/>
  <c r="AV63" i="8" a="1"/>
  <c r="AY79" i="15" a="1"/>
  <c r="AF88" i="15" a="1"/>
  <c r="AT88" i="15" a="1"/>
  <c r="AM88" i="15" a="1"/>
  <c r="AV89" i="8" a="1"/>
  <c r="AY44" i="15" a="1"/>
  <c r="M88" i="15" a="1"/>
  <c r="AY52" i="15" a="1"/>
  <c r="AV91" i="8" a="1"/>
  <c r="AR88" i="15" a="1"/>
  <c r="AV90" i="8" a="1"/>
  <c r="AY64" i="15" a="1"/>
  <c r="AV54" i="8" a="1"/>
  <c r="AV72" i="8" a="1"/>
  <c r="J88" i="15" a="1"/>
  <c r="AV88" i="8" a="1"/>
  <c r="AQ88" i="15" a="1"/>
  <c r="AY58" i="15" a="1"/>
  <c r="AP88" i="15" a="1"/>
  <c r="AV87" i="8" a="1"/>
  <c r="AY81" i="15" a="1"/>
  <c r="AY78" i="15" a="1"/>
  <c r="AJ88" i="15" a="1"/>
  <c r="AA88" i="15" a="1"/>
  <c r="AY61" i="15" a="1"/>
  <c r="AV65" i="8" a="1"/>
  <c r="AY41" i="15" a="1"/>
  <c r="AY42" i="15" a="1"/>
  <c r="D88" i="15" a="1"/>
  <c r="AY82" i="15" a="1"/>
  <c r="AV59" i="8" a="1"/>
  <c r="R88" i="15" a="1"/>
  <c r="Q88" i="15" a="1"/>
  <c r="AY72" i="15" a="1"/>
  <c r="AY57" i="15" a="1"/>
  <c r="L88" i="15" a="1"/>
  <c r="AY56" i="15" a="1"/>
  <c r="AV71" i="8" a="1"/>
  <c r="AY70" i="15" a="1"/>
  <c r="AK88" i="15" a="1"/>
  <c r="AO88" i="15" a="1"/>
  <c r="P88" i="15" a="1"/>
  <c r="T88" i="15" a="1"/>
  <c r="AY50" i="15" a="1"/>
  <c r="AV64" i="8" a="1"/>
  <c r="AB88" i="15" a="1"/>
  <c r="AY69" i="15" a="1"/>
  <c r="AY49" i="15" a="1"/>
  <c r="AY55" i="15" a="1"/>
  <c r="AY74" i="15" a="1"/>
  <c r="AY67" i="15" a="1"/>
  <c r="W88" i="15" a="1"/>
  <c r="AX88" i="15" a="1"/>
  <c r="AV57" i="8" a="1"/>
  <c r="Y88" i="15" a="1"/>
  <c r="C88" i="15" a="1"/>
  <c r="AY63" i="15" a="1"/>
  <c r="AY45" i="15" a="1"/>
  <c r="AY73" i="15" a="1"/>
  <c r="AY43" i="15" a="1"/>
  <c r="AH88" i="15" a="1"/>
  <c r="AY66" i="15" a="1"/>
  <c r="AV61" i="8" a="1"/>
  <c r="AY59" i="15" a="1"/>
  <c r="AY76" i="15" a="1"/>
  <c r="K88" i="15" a="1"/>
  <c r="U88" i="15" a="1"/>
  <c r="AC88" i="15" a="1"/>
  <c r="AI88" i="15" a="1"/>
  <c r="AY53" i="15" a="1"/>
  <c r="AE88" i="15" a="1"/>
  <c r="AV51" i="8" a="1"/>
  <c r="AD88" i="15" a="1"/>
  <c r="AU88" i="15" a="1"/>
  <c r="AW88" i="15" a="1"/>
  <c r="AV52" i="8" a="1"/>
  <c r="AY60" i="15" a="1"/>
  <c r="X88" i="15" a="1"/>
  <c r="AY84" i="15" a="1"/>
  <c r="AY51" i="15" a="1"/>
  <c r="AN88" i="15" a="1"/>
  <c r="AY85" i="15" a="1"/>
  <c r="AY86" i="15" a="1"/>
  <c r="AY48" i="15" a="1"/>
  <c r="AV67" i="8" a="1"/>
  <c r="AY65" i="15" a="1"/>
  <c r="AV58" i="8" a="1"/>
  <c r="S88" i="15" a="1"/>
  <c r="O88" i="15" a="1"/>
  <c r="V88" i="15" a="1"/>
  <c r="E88" i="15" a="1"/>
  <c r="AY83" i="15" a="1"/>
  <c r="AV69" i="8" a="1"/>
  <c r="AV66" i="8" a="1"/>
  <c r="AY54" i="15" a="1"/>
  <c r="AV55" i="8" a="1"/>
  <c r="H88" i="15" a="1"/>
  <c r="AV70" i="8" a="1"/>
  <c r="AY40" i="15" a="1"/>
  <c r="F88" i="15" a="1"/>
  <c r="I88" i="15" a="1"/>
  <c r="AY39" i="15" a="1"/>
  <c r="G88" i="15" a="1"/>
  <c r="AV88" i="15" a="1"/>
  <c r="AV147" i="15" l="1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K148" i="15" s="1"/>
  <c r="J88" i="15"/>
  <c r="L88" i="15"/>
  <c r="M88" i="15"/>
  <c r="N88" i="15"/>
  <c r="N148" i="15" s="1"/>
  <c r="O88" i="15"/>
  <c r="P88" i="15"/>
  <c r="Q88" i="15"/>
  <c r="R88" i="15"/>
  <c r="R148" i="15" s="1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40" i="15"/>
  <c r="AY41" i="15"/>
  <c r="AY42" i="15"/>
  <c r="AY39" i="15"/>
  <c r="AY102" i="15" s="1"/>
  <c r="BA38" i="15"/>
  <c r="B89" i="15"/>
  <c r="AU85" i="8"/>
  <c r="AV91" i="8"/>
  <c r="AV73" i="8"/>
  <c r="AV67" i="8"/>
  <c r="AV61" i="8"/>
  <c r="AV55" i="8"/>
  <c r="AU79" i="8"/>
  <c r="AU77" i="8"/>
  <c r="AU76" i="8"/>
  <c r="AU78" i="8"/>
  <c r="AV53" i="8"/>
  <c r="AV54" i="8"/>
  <c r="AV52" i="8"/>
  <c r="AV58" i="8"/>
  <c r="AV60" i="8"/>
  <c r="AV59" i="8"/>
  <c r="AV66" i="8"/>
  <c r="AV65" i="8"/>
  <c r="AV64" i="8"/>
  <c r="AV70" i="8"/>
  <c r="AV71" i="8"/>
  <c r="AV72" i="8"/>
  <c r="AU83" i="8"/>
  <c r="AU84" i="8"/>
  <c r="AU82" i="8"/>
  <c r="AV89" i="8"/>
  <c r="AV51" i="8"/>
  <c r="AV57" i="8"/>
  <c r="AV69" i="8"/>
  <c r="AV63" i="8"/>
  <c r="AV90" i="8"/>
  <c r="AV88" i="8"/>
  <c r="AV87" i="8"/>
  <c r="AU81" i="8"/>
  <c r="AU75" i="8"/>
  <c r="AW49" i="8"/>
  <c r="J89" i="15" a="1"/>
  <c r="AZ87" i="15" a="1"/>
  <c r="AZ53" i="15" a="1"/>
  <c r="AZ74" i="15" a="1"/>
  <c r="AW70" i="8" a="1"/>
  <c r="AZ69" i="15" a="1"/>
  <c r="AX89" i="15" a="1"/>
  <c r="AZ46" i="15" a="1"/>
  <c r="AZ81" i="15" a="1"/>
  <c r="AD89" i="15" a="1"/>
  <c r="AV89" i="15" a="1"/>
  <c r="F89" i="15" a="1"/>
  <c r="AF89" i="15" a="1"/>
  <c r="AZ63" i="15" a="1"/>
  <c r="AZ68" i="15" a="1"/>
  <c r="AZ51" i="15" a="1"/>
  <c r="AO89" i="15" a="1"/>
  <c r="U89" i="15" a="1"/>
  <c r="L89" i="15" a="1"/>
  <c r="I89" i="15" a="1"/>
  <c r="AZ41" i="15" a="1"/>
  <c r="AZ55" i="15" a="1"/>
  <c r="AZ54" i="15" a="1"/>
  <c r="E89" i="15" a="1"/>
  <c r="AZ57" i="15" a="1"/>
  <c r="AW64" i="8" a="1"/>
  <c r="AZ47" i="15" a="1"/>
  <c r="AZ88" i="15" a="1"/>
  <c r="AW63" i="8" a="1"/>
  <c r="M89" i="15" a="1"/>
  <c r="AJ89" i="15" a="1"/>
  <c r="AZ62" i="15" a="1"/>
  <c r="AW65" i="8" a="1"/>
  <c r="AW91" i="8" a="1"/>
  <c r="AZ72" i="15" a="1"/>
  <c r="AW88" i="8" a="1"/>
  <c r="AI89" i="15" a="1"/>
  <c r="AU89" i="15" a="1"/>
  <c r="AZ44" i="15" a="1"/>
  <c r="AZ71" i="15" a="1"/>
  <c r="AP89" i="15" a="1"/>
  <c r="AK89" i="15" a="1"/>
  <c r="AZ42" i="15" a="1"/>
  <c r="AY89" i="15" a="1"/>
  <c r="AZ45" i="15" a="1"/>
  <c r="AN89" i="15" a="1"/>
  <c r="AZ56" i="15" a="1"/>
  <c r="O89" i="15" a="1"/>
  <c r="AW71" i="8" a="1"/>
  <c r="AW61" i="8" a="1"/>
  <c r="AG89" i="15" a="1"/>
  <c r="AW69" i="8" a="1"/>
  <c r="AZ83" i="15" a="1"/>
  <c r="AZ61" i="15" a="1"/>
  <c r="AZ75" i="15" a="1"/>
  <c r="AW90" i="8" a="1"/>
  <c r="AZ52" i="15" a="1"/>
  <c r="AW53" i="8" a="1"/>
  <c r="W89" i="15" a="1"/>
  <c r="Z89" i="15" a="1"/>
  <c r="AZ70" i="15" a="1"/>
  <c r="AW87" i="8" a="1"/>
  <c r="AZ80" i="15" a="1"/>
  <c r="AZ85" i="15" a="1"/>
  <c r="C89" i="15" a="1"/>
  <c r="AW66" i="8" a="1"/>
  <c r="AZ82" i="15" a="1"/>
  <c r="AT89" i="15" a="1"/>
  <c r="P89" i="15" a="1"/>
  <c r="AH89" i="15" a="1"/>
  <c r="AQ89" i="15" a="1"/>
  <c r="D89" i="15" a="1"/>
  <c r="AZ67" i="15" a="1"/>
  <c r="AZ89" i="15" a="1"/>
  <c r="T89" i="15" a="1"/>
  <c r="AW55" i="8" a="1"/>
  <c r="AE89" i="15" a="1"/>
  <c r="AW57" i="8" a="1"/>
  <c r="AW73" i="8" a="1"/>
  <c r="Y89" i="15" a="1"/>
  <c r="AC89" i="15" a="1"/>
  <c r="AZ86" i="15" a="1"/>
  <c r="AZ78" i="15" a="1"/>
  <c r="AL89" i="15" a="1"/>
  <c r="AW67" i="8" a="1"/>
  <c r="N89" i="15" a="1"/>
  <c r="AZ59" i="15" a="1"/>
  <c r="AA89" i="15" a="1"/>
  <c r="AW58" i="8" a="1"/>
  <c r="AR89" i="15" a="1"/>
  <c r="AZ64" i="15" a="1"/>
  <c r="AZ58" i="15" a="1"/>
  <c r="R89" i="15" a="1"/>
  <c r="AW89" i="8" a="1"/>
  <c r="AZ40" i="15" a="1"/>
  <c r="S89" i="15" a="1"/>
  <c r="AW59" i="8" a="1"/>
  <c r="AZ77" i="15" a="1"/>
  <c r="V89" i="15" a="1"/>
  <c r="AS89" i="15" a="1"/>
  <c r="AZ79" i="15" a="1"/>
  <c r="AW72" i="8" a="1"/>
  <c r="AW52" i="8" a="1"/>
  <c r="AZ73" i="15" a="1"/>
  <c r="AZ65" i="15" a="1"/>
  <c r="X89" i="15" a="1"/>
  <c r="AW51" i="8" a="1"/>
  <c r="AW89" i="15" a="1"/>
  <c r="Q89" i="15" a="1"/>
  <c r="AZ66" i="15" a="1"/>
  <c r="AZ84" i="15" a="1"/>
  <c r="H89" i="15" a="1"/>
  <c r="AZ48" i="15" a="1"/>
  <c r="AB89" i="15" a="1"/>
  <c r="AZ49" i="15" a="1"/>
  <c r="AM89" i="15" a="1"/>
  <c r="AZ50" i="15" a="1"/>
  <c r="K89" i="15" a="1"/>
  <c r="G89" i="15" a="1"/>
  <c r="AZ76" i="15" a="1"/>
  <c r="AZ43" i="15" a="1"/>
  <c r="AZ39" i="15" a="1"/>
  <c r="AZ60" i="15" a="1"/>
  <c r="AW60" i="8" a="1"/>
  <c r="AW54" i="8" a="1"/>
  <c r="F148" i="15" l="1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K149" i="15" s="1"/>
  <c r="J89" i="15"/>
  <c r="L89" i="15"/>
  <c r="M89" i="15"/>
  <c r="N89" i="15"/>
  <c r="N149" i="15" s="1"/>
  <c r="O89" i="15"/>
  <c r="P89" i="15"/>
  <c r="Q89" i="15"/>
  <c r="R89" i="15"/>
  <c r="R149" i="15" s="1"/>
  <c r="S89" i="15"/>
  <c r="T89" i="15"/>
  <c r="U89" i="15"/>
  <c r="V89" i="15"/>
  <c r="V149" i="15" s="1"/>
  <c r="W89" i="15"/>
  <c r="X89" i="15"/>
  <c r="Y89" i="15"/>
  <c r="Z89" i="15"/>
  <c r="Z149" i="15" s="1"/>
  <c r="AA89" i="15"/>
  <c r="AC89" i="15"/>
  <c r="AB89" i="15"/>
  <c r="AD89" i="15"/>
  <c r="AD149" i="15" s="1"/>
  <c r="AE89" i="15"/>
  <c r="AF89" i="15"/>
  <c r="AG89" i="15"/>
  <c r="AH89" i="15"/>
  <c r="AH149" i="15" s="1"/>
  <c r="AI89" i="15"/>
  <c r="AJ89" i="15"/>
  <c r="AK89" i="15"/>
  <c r="AL89" i="15"/>
  <c r="AL149" i="15" s="1"/>
  <c r="AM89" i="15"/>
  <c r="AN89" i="15"/>
  <c r="AO89" i="15"/>
  <c r="AP89" i="15"/>
  <c r="AP149" i="15" s="1"/>
  <c r="AQ89" i="15"/>
  <c r="AR89" i="15"/>
  <c r="AS89" i="15"/>
  <c r="AT89" i="15"/>
  <c r="AT149" i="15" s="1"/>
  <c r="AU89" i="15"/>
  <c r="AV89" i="15"/>
  <c r="AW89" i="15"/>
  <c r="AX89" i="15"/>
  <c r="AX149" i="15" s="1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41" i="15"/>
  <c r="AZ40" i="15"/>
  <c r="AZ42" i="15"/>
  <c r="AZ39" i="15"/>
  <c r="AZ102" i="15" s="1"/>
  <c r="BB38" i="15"/>
  <c r="B90" i="15"/>
  <c r="AV79" i="8"/>
  <c r="AV85" i="8"/>
  <c r="AW91" i="8"/>
  <c r="AW73" i="8"/>
  <c r="AW67" i="8"/>
  <c r="AW61" i="8"/>
  <c r="AW55" i="8"/>
  <c r="AV76" i="8"/>
  <c r="AW52" i="8"/>
  <c r="AW54" i="8"/>
  <c r="AW53" i="8"/>
  <c r="AW58" i="8"/>
  <c r="AW60" i="8"/>
  <c r="AW59" i="8"/>
  <c r="AW65" i="8"/>
  <c r="AW64" i="8"/>
  <c r="AW66" i="8"/>
  <c r="AW71" i="8"/>
  <c r="AW72" i="8"/>
  <c r="AW70" i="8"/>
  <c r="AV77" i="8"/>
  <c r="AV78" i="8"/>
  <c r="AV82" i="8"/>
  <c r="AV83" i="8"/>
  <c r="AW89" i="8"/>
  <c r="AW51" i="8"/>
  <c r="AW57" i="8"/>
  <c r="AW69" i="8"/>
  <c r="AW63" i="8"/>
  <c r="AW90" i="8"/>
  <c r="AW88" i="8"/>
  <c r="AW87" i="8"/>
  <c r="AV84" i="8"/>
  <c r="AV81" i="8"/>
  <c r="AV75" i="8"/>
  <c r="AX49" i="8"/>
  <c r="BA79" i="15" a="1"/>
  <c r="AE90" i="15" a="1"/>
  <c r="BA66" i="15" a="1"/>
  <c r="AU90" i="15" a="1"/>
  <c r="AX52" i="8" a="1"/>
  <c r="E90" i="15" a="1"/>
  <c r="BA89" i="15" a="1"/>
  <c r="BA90" i="15" a="1"/>
  <c r="AX57" i="8" a="1"/>
  <c r="AX63" i="8" a="1"/>
  <c r="AX61" i="8" a="1"/>
  <c r="AG90" i="15" a="1"/>
  <c r="BA55" i="15" a="1"/>
  <c r="BA44" i="15" a="1"/>
  <c r="BA46" i="15" a="1"/>
  <c r="AB90" i="15" a="1"/>
  <c r="AF90" i="15" a="1"/>
  <c r="S90" i="15" a="1"/>
  <c r="BA58" i="15" a="1"/>
  <c r="BA74" i="15" a="1"/>
  <c r="BA50" i="15" a="1"/>
  <c r="BA43" i="15" a="1"/>
  <c r="AX59" i="8" a="1"/>
  <c r="BA84" i="15" a="1"/>
  <c r="BA77" i="15" a="1"/>
  <c r="BA39" i="15" a="1"/>
  <c r="BA87" i="15" a="1"/>
  <c r="U90" i="15" a="1"/>
  <c r="AX64" i="8" a="1"/>
  <c r="R90" i="15" a="1"/>
  <c r="AC90" i="15" a="1"/>
  <c r="AM90" i="15" a="1"/>
  <c r="BA65" i="15" a="1"/>
  <c r="C90" i="15" a="1"/>
  <c r="J90" i="15" a="1"/>
  <c r="AV90" i="15" a="1"/>
  <c r="BA78" i="15" a="1"/>
  <c r="BA47" i="15" a="1"/>
  <c r="BA71" i="15" a="1"/>
  <c r="BA67" i="15" a="1"/>
  <c r="BA86" i="15" a="1"/>
  <c r="T90" i="15" a="1"/>
  <c r="W90" i="15" a="1"/>
  <c r="BA83" i="15" a="1"/>
  <c r="BA40" i="15" a="1"/>
  <c r="BA70" i="15" a="1"/>
  <c r="BA45" i="15" a="1"/>
  <c r="Z90" i="15" a="1"/>
  <c r="V90" i="15" a="1"/>
  <c r="AX51" i="8" a="1"/>
  <c r="AO90" i="15" a="1"/>
  <c r="BA82" i="15" a="1"/>
  <c r="BA76" i="15" a="1"/>
  <c r="BA64" i="15" a="1"/>
  <c r="Y90" i="15" a="1"/>
  <c r="AX71" i="8" a="1"/>
  <c r="BA75" i="15" a="1"/>
  <c r="H90" i="15" a="1"/>
  <c r="AY90" i="15" a="1"/>
  <c r="AD90" i="15" a="1"/>
  <c r="BA54" i="15" a="1"/>
  <c r="AX72" i="8" a="1"/>
  <c r="BA62" i="15" a="1"/>
  <c r="BA61" i="15" a="1"/>
  <c r="BA48" i="15" a="1"/>
  <c r="BA42" i="15" a="1"/>
  <c r="BA57" i="15" a="1"/>
  <c r="AS90" i="15" a="1"/>
  <c r="M90" i="15" a="1"/>
  <c r="AX53" i="8" a="1"/>
  <c r="BA85" i="15" a="1"/>
  <c r="BA72" i="15" a="1"/>
  <c r="BA81" i="15" a="1"/>
  <c r="AA90" i="15" a="1"/>
  <c r="O90" i="15" a="1"/>
  <c r="AL90" i="15" a="1"/>
  <c r="AT90" i="15" a="1"/>
  <c r="AX70" i="8" a="1"/>
  <c r="AI90" i="15" a="1"/>
  <c r="BA49" i="15" a="1"/>
  <c r="AX91" i="8" a="1"/>
  <c r="AZ90" i="15" a="1"/>
  <c r="BA53" i="15" a="1"/>
  <c r="AJ90" i="15" a="1"/>
  <c r="BA80" i="15" a="1"/>
  <c r="L90" i="15" a="1"/>
  <c r="AX66" i="8" a="1"/>
  <c r="AX69" i="8" a="1"/>
  <c r="BA88" i="15" a="1"/>
  <c r="AX55" i="8" a="1"/>
  <c r="AX88" i="8" a="1"/>
  <c r="AX60" i="8" a="1"/>
  <c r="N90" i="15" a="1"/>
  <c r="AX90" i="8" a="1"/>
  <c r="BA59" i="15" a="1"/>
  <c r="BA52" i="15" a="1"/>
  <c r="AR90" i="15" a="1"/>
  <c r="G90" i="15" a="1"/>
  <c r="BA68" i="15" a="1"/>
  <c r="AX54" i="8" a="1"/>
  <c r="X90" i="15" a="1"/>
  <c r="AP90" i="15" a="1"/>
  <c r="BA60" i="15" a="1"/>
  <c r="BA69" i="15" a="1"/>
  <c r="BA63" i="15" a="1"/>
  <c r="AX90" i="15" a="1"/>
  <c r="P90" i="15" a="1"/>
  <c r="AX65" i="8" a="1"/>
  <c r="AH90" i="15" a="1"/>
  <c r="AX87" i="8" a="1"/>
  <c r="BA56" i="15" a="1"/>
  <c r="AN90" i="15" a="1"/>
  <c r="AK90" i="15" a="1"/>
  <c r="BA41" i="15" a="1"/>
  <c r="BA73" i="15" a="1"/>
  <c r="AX67" i="8" a="1"/>
  <c r="BA51" i="15" a="1"/>
  <c r="AX73" i="8" a="1"/>
  <c r="AX89" i="8" a="1"/>
  <c r="AW90" i="15" a="1"/>
  <c r="F90" i="15" a="1"/>
  <c r="AQ90" i="15" a="1"/>
  <c r="D90" i="15" a="1"/>
  <c r="Q90" i="15" a="1"/>
  <c r="K90" i="15" a="1"/>
  <c r="AX58" i="8" a="1"/>
  <c r="I90" i="15" a="1"/>
  <c r="F149" i="15" l="1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41" i="15"/>
  <c r="BA42" i="15"/>
  <c r="BA40" i="15"/>
  <c r="BA39" i="15"/>
  <c r="BA102" i="15" s="1"/>
  <c r="BC38" i="15"/>
  <c r="B91" i="15"/>
  <c r="AW85" i="8"/>
  <c r="AX91" i="8"/>
  <c r="AX73" i="8"/>
  <c r="AX67" i="8"/>
  <c r="AX61" i="8"/>
  <c r="AX55" i="8"/>
  <c r="AW79" i="8"/>
  <c r="AW77" i="8"/>
  <c r="AW78" i="8"/>
  <c r="AW76" i="8"/>
  <c r="AX54" i="8"/>
  <c r="AX53" i="8"/>
  <c r="AX52" i="8"/>
  <c r="AX59" i="8"/>
  <c r="AX60" i="8"/>
  <c r="AX58" i="8"/>
  <c r="AX65" i="8"/>
  <c r="AX64" i="8"/>
  <c r="AX66" i="8"/>
  <c r="AX71" i="8"/>
  <c r="AX70" i="8"/>
  <c r="AX72" i="8"/>
  <c r="AW84" i="8"/>
  <c r="AX89" i="8"/>
  <c r="AX51" i="8"/>
  <c r="AX57" i="8"/>
  <c r="AX69" i="8"/>
  <c r="AX63" i="8"/>
  <c r="AX90" i="8"/>
  <c r="AX88" i="8"/>
  <c r="AX87" i="8"/>
  <c r="AW83" i="8"/>
  <c r="AW75" i="8"/>
  <c r="AW81" i="8"/>
  <c r="AY49" i="8"/>
  <c r="AW82" i="8"/>
  <c r="BB71" i="15" a="1"/>
  <c r="BB79" i="15" a="1"/>
  <c r="I91" i="15" a="1"/>
  <c r="AP91" i="15" a="1"/>
  <c r="AY90" i="8" a="1"/>
  <c r="AR91" i="15" a="1"/>
  <c r="BB59" i="15" a="1"/>
  <c r="AG91" i="15" a="1"/>
  <c r="AH91" i="15" a="1"/>
  <c r="BB45" i="15" a="1"/>
  <c r="AJ91" i="15" a="1"/>
  <c r="E91" i="15" a="1"/>
  <c r="AY65" i="8" a="1"/>
  <c r="BB73" i="15" a="1"/>
  <c r="BB58" i="15" a="1"/>
  <c r="O91" i="15" a="1"/>
  <c r="BB86" i="15" a="1"/>
  <c r="BB75" i="15" a="1"/>
  <c r="G91" i="15" a="1"/>
  <c r="AD91" i="15" a="1"/>
  <c r="AZ91" i="15" a="1"/>
  <c r="AF91" i="15" a="1"/>
  <c r="BB69" i="15" a="1"/>
  <c r="BB84" i="15" a="1"/>
  <c r="AV91" i="15" a="1"/>
  <c r="BB78" i="15" a="1"/>
  <c r="BB42" i="15" a="1"/>
  <c r="K91" i="15" a="1"/>
  <c r="X91" i="15" a="1"/>
  <c r="S91" i="15" a="1"/>
  <c r="Q91" i="15" a="1"/>
  <c r="AO91" i="15" a="1"/>
  <c r="BB76" i="15" a="1"/>
  <c r="T91" i="15" a="1"/>
  <c r="AA91" i="15" a="1"/>
  <c r="BB77" i="15" a="1"/>
  <c r="BB41" i="15" a="1"/>
  <c r="AC91" i="15" a="1"/>
  <c r="AY72" i="8" a="1"/>
  <c r="BB48" i="15" a="1"/>
  <c r="AQ91" i="15" a="1"/>
  <c r="AY61" i="8" a="1"/>
  <c r="BB91" i="15" a="1"/>
  <c r="BB49" i="15" a="1"/>
  <c r="BB74" i="15" a="1"/>
  <c r="Y91" i="15" a="1"/>
  <c r="AY73" i="8" a="1"/>
  <c r="U91" i="15" a="1"/>
  <c r="AY54" i="8" a="1"/>
  <c r="C91" i="15" a="1"/>
  <c r="AW91" i="15" a="1"/>
  <c r="Z91" i="15" a="1"/>
  <c r="BB85" i="15" a="1"/>
  <c r="BB83" i="15" a="1"/>
  <c r="AM91" i="15" a="1"/>
  <c r="BB60" i="15" a="1"/>
  <c r="BB68" i="15" a="1"/>
  <c r="BB50" i="15" a="1"/>
  <c r="AK91" i="15" a="1"/>
  <c r="AY53" i="8" a="1"/>
  <c r="R91" i="15" a="1"/>
  <c r="BB82" i="15" a="1"/>
  <c r="BB56" i="15" a="1"/>
  <c r="AN91" i="15" a="1"/>
  <c r="AB91" i="15" a="1"/>
  <c r="AY58" i="8" a="1"/>
  <c r="BB46" i="15" a="1"/>
  <c r="BB52" i="15" a="1"/>
  <c r="BB55" i="15" a="1"/>
  <c r="AE91" i="15" a="1"/>
  <c r="AY64" i="8" a="1"/>
  <c r="BB65" i="15" a="1"/>
  <c r="BB88" i="15" a="1"/>
  <c r="AY71" i="8" a="1"/>
  <c r="BB39" i="15" a="1"/>
  <c r="BB64" i="15" a="1"/>
  <c r="BB67" i="15" a="1"/>
  <c r="BB63" i="15" a="1"/>
  <c r="AY70" i="8" a="1"/>
  <c r="AX91" i="15" a="1"/>
  <c r="W91" i="15" a="1"/>
  <c r="AY91" i="8" a="1"/>
  <c r="BB62" i="15" a="1"/>
  <c r="BB81" i="15" a="1"/>
  <c r="BB43" i="15" a="1"/>
  <c r="AS91" i="15" a="1"/>
  <c r="D91" i="15" a="1"/>
  <c r="AY67" i="8" a="1"/>
  <c r="AY57" i="8" a="1"/>
  <c r="AY59" i="8" a="1"/>
  <c r="AY91" i="15" a="1"/>
  <c r="V91" i="15" a="1"/>
  <c r="BB89" i="15" a="1"/>
  <c r="AY52" i="8" a="1"/>
  <c r="J91" i="15" a="1"/>
  <c r="BB51" i="15" a="1"/>
  <c r="AY69" i="8" a="1"/>
  <c r="BB87" i="15" a="1"/>
  <c r="BB70" i="15" a="1"/>
  <c r="BB57" i="15" a="1"/>
  <c r="P91" i="15" a="1"/>
  <c r="AY88" i="8" a="1"/>
  <c r="AY60" i="8" a="1"/>
  <c r="AY63" i="8" a="1"/>
  <c r="L91" i="15" a="1"/>
  <c r="H91" i="15" a="1"/>
  <c r="BB66" i="15" a="1"/>
  <c r="BB61" i="15" a="1"/>
  <c r="AY89" i="8" a="1"/>
  <c r="N91" i="15" a="1"/>
  <c r="BB72" i="15" a="1"/>
  <c r="AY55" i="8" a="1"/>
  <c r="AI91" i="15" a="1"/>
  <c r="AT91" i="15" a="1"/>
  <c r="AY87" i="8" a="1"/>
  <c r="BB90" i="15" a="1"/>
  <c r="M91" i="15" a="1"/>
  <c r="AL91" i="15" a="1"/>
  <c r="BB40" i="15" a="1"/>
  <c r="BB54" i="15" a="1"/>
  <c r="BB53" i="15" a="1"/>
  <c r="AY51" i="8" a="1"/>
  <c r="AU91" i="15" a="1"/>
  <c r="BA91" i="15" a="1"/>
  <c r="AY66" i="8" a="1"/>
  <c r="BB47" i="15" a="1"/>
  <c r="F91" i="15" a="1"/>
  <c r="BB44" i="15" a="1"/>
  <c r="BB80" i="15" a="1"/>
  <c r="AY150" i="15" l="1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N151" i="15" s="1"/>
  <c r="O91" i="15"/>
  <c r="P91" i="15"/>
  <c r="Q91" i="15"/>
  <c r="R91" i="15"/>
  <c r="R151" i="15" s="1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41" i="15"/>
  <c r="BB42" i="15"/>
  <c r="BB40" i="15"/>
  <c r="BB39" i="15"/>
  <c r="BB102" i="15" s="1"/>
  <c r="BD38" i="15"/>
  <c r="B92" i="15"/>
  <c r="AX85" i="8"/>
  <c r="AY91" i="8"/>
  <c r="AY73" i="8"/>
  <c r="AY67" i="8"/>
  <c r="AY61" i="8"/>
  <c r="AY55" i="8"/>
  <c r="AX79" i="8"/>
  <c r="AX77" i="8"/>
  <c r="AX76" i="8"/>
  <c r="AX78" i="8"/>
  <c r="AY54" i="8"/>
  <c r="AY52" i="8"/>
  <c r="AY53" i="8"/>
  <c r="AY60" i="8"/>
  <c r="AY59" i="8"/>
  <c r="AY58" i="8"/>
  <c r="AY64" i="8"/>
  <c r="AY65" i="8"/>
  <c r="AY66" i="8"/>
  <c r="AY70" i="8"/>
  <c r="AY71" i="8"/>
  <c r="AY72" i="8"/>
  <c r="AX82" i="8"/>
  <c r="AY89" i="8"/>
  <c r="AY51" i="8"/>
  <c r="AY57" i="8"/>
  <c r="AY69" i="8"/>
  <c r="AY63" i="8"/>
  <c r="AY90" i="8"/>
  <c r="AY88" i="8"/>
  <c r="AY87" i="8"/>
  <c r="AX84" i="8"/>
  <c r="AX81" i="8"/>
  <c r="AX75" i="8"/>
  <c r="AZ49" i="8"/>
  <c r="AX83" i="8"/>
  <c r="D92" i="15" a="1"/>
  <c r="AD92" i="15" a="1"/>
  <c r="BC66" i="15" a="1"/>
  <c r="BC89" i="15" a="1"/>
  <c r="BC74" i="15" a="1"/>
  <c r="AG92" i="15" a="1"/>
  <c r="AZ66" i="8" a="1"/>
  <c r="AL92" i="15" a="1"/>
  <c r="BC69" i="15" a="1"/>
  <c r="AZ64" i="8" a="1"/>
  <c r="AJ92" i="15" a="1"/>
  <c r="BC67" i="15" a="1"/>
  <c r="BC88" i="15" a="1"/>
  <c r="AQ92" i="15" a="1"/>
  <c r="AZ69" i="8" a="1"/>
  <c r="C92" i="15" a="1"/>
  <c r="U92" i="15" a="1"/>
  <c r="BB92" i="15" a="1"/>
  <c r="BC56" i="15" a="1"/>
  <c r="BC41" i="15" a="1"/>
  <c r="AE92" i="15" a="1"/>
  <c r="AZ55" i="8" a="1"/>
  <c r="AV92" i="15" a="1"/>
  <c r="BC58" i="15" a="1"/>
  <c r="BC90" i="15" a="1"/>
  <c r="BC45" i="15" a="1"/>
  <c r="AZ89" i="8" a="1"/>
  <c r="BC82" i="15" a="1"/>
  <c r="BC86" i="15" a="1"/>
  <c r="BC68" i="15" a="1"/>
  <c r="BC63" i="15" a="1"/>
  <c r="BC70" i="15" a="1"/>
  <c r="BC84" i="15" a="1"/>
  <c r="J92" i="15" a="1"/>
  <c r="I92" i="15" a="1"/>
  <c r="BC42" i="15" a="1"/>
  <c r="AI92" i="15" a="1"/>
  <c r="BC65" i="15" a="1"/>
  <c r="BC64" i="15" a="1"/>
  <c r="AZ70" i="8" a="1"/>
  <c r="O92" i="15" a="1"/>
  <c r="R92" i="15" a="1"/>
  <c r="Y92" i="15" a="1"/>
  <c r="H92" i="15" a="1"/>
  <c r="AH92" i="15" a="1"/>
  <c r="AZ65" i="8" a="1"/>
  <c r="AZ90" i="8" a="1"/>
  <c r="AZ87" i="8" a="1"/>
  <c r="AW92" i="15" a="1"/>
  <c r="AC92" i="15" a="1"/>
  <c r="AZ72" i="8" a="1"/>
  <c r="AY92" i="15" a="1"/>
  <c r="Q92" i="15" a="1"/>
  <c r="BC50" i="15" a="1"/>
  <c r="BC52" i="15" a="1"/>
  <c r="AZ60" i="8" a="1"/>
  <c r="BA92" i="15" a="1"/>
  <c r="AZ59" i="8" a="1"/>
  <c r="AT92" i="15" a="1"/>
  <c r="M92" i="15" a="1"/>
  <c r="Z92" i="15" a="1"/>
  <c r="BC80" i="15" a="1"/>
  <c r="N92" i="15" a="1"/>
  <c r="BC71" i="15" a="1"/>
  <c r="AZ53" i="8" a="1"/>
  <c r="AS92" i="15" a="1"/>
  <c r="AX92" i="15" a="1"/>
  <c r="AZ67" i="8" a="1"/>
  <c r="BC46" i="15" a="1"/>
  <c r="AB92" i="15" a="1"/>
  <c r="AZ91" i="8" a="1"/>
  <c r="BC57" i="15" a="1"/>
  <c r="S92" i="15" a="1"/>
  <c r="AK92" i="15" a="1"/>
  <c r="AZ71" i="8" a="1"/>
  <c r="BC60" i="15" a="1"/>
  <c r="BC39" i="15" a="1"/>
  <c r="AN92" i="15" a="1"/>
  <c r="AZ58" i="8" a="1"/>
  <c r="BC53" i="15" a="1"/>
  <c r="AZ51" i="8" a="1"/>
  <c r="AZ63" i="8" a="1"/>
  <c r="BC47" i="15" a="1"/>
  <c r="AR92" i="15" a="1"/>
  <c r="X92" i="15" a="1"/>
  <c r="G92" i="15" a="1"/>
  <c r="K92" i="15" a="1"/>
  <c r="BC51" i="15" a="1"/>
  <c r="BC83" i="15" a="1"/>
  <c r="BC54" i="15" a="1"/>
  <c r="AO92" i="15" a="1"/>
  <c r="W92" i="15" a="1"/>
  <c r="BC81" i="15" a="1"/>
  <c r="BC55" i="15" a="1"/>
  <c r="BC87" i="15" a="1"/>
  <c r="AZ54" i="8" a="1"/>
  <c r="E92" i="15" a="1"/>
  <c r="AU92" i="15" a="1"/>
  <c r="V92" i="15" a="1"/>
  <c r="T92" i="15" a="1"/>
  <c r="AZ92" i="15" a="1"/>
  <c r="BC44" i="15" a="1"/>
  <c r="BC48" i="15" a="1"/>
  <c r="AF92" i="15" a="1"/>
  <c r="BC49" i="15" a="1"/>
  <c r="BC76" i="15" a="1"/>
  <c r="BC43" i="15" a="1"/>
  <c r="AZ61" i="8" a="1"/>
  <c r="AZ57" i="8" a="1"/>
  <c r="BC77" i="15" a="1"/>
  <c r="AM92" i="15" a="1"/>
  <c r="BC79" i="15" a="1"/>
  <c r="BC40" i="15" a="1"/>
  <c r="BC59" i="15" a="1"/>
  <c r="F92" i="15" a="1"/>
  <c r="BC62" i="15" a="1"/>
  <c r="BC61" i="15" a="1"/>
  <c r="BC92" i="15" a="1"/>
  <c r="BC85" i="15" a="1"/>
  <c r="AZ52" i="8" a="1"/>
  <c r="BC75" i="15" a="1"/>
  <c r="AA92" i="15" a="1"/>
  <c r="BC73" i="15" a="1"/>
  <c r="BC91" i="15" a="1"/>
  <c r="BC78" i="15" a="1"/>
  <c r="BC72" i="15" a="1"/>
  <c r="AZ88" i="8" a="1"/>
  <c r="L92" i="15" a="1"/>
  <c r="P92" i="15" a="1"/>
  <c r="AZ73" i="8" a="1"/>
  <c r="AP92" i="15" a="1"/>
  <c r="F151" i="15" l="1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J152" i="15" s="1"/>
  <c r="K92" i="15"/>
  <c r="L92" i="15"/>
  <c r="M92" i="15"/>
  <c r="N92" i="15"/>
  <c r="N152" i="15" s="1"/>
  <c r="O92" i="15"/>
  <c r="P92" i="15"/>
  <c r="Q92" i="15"/>
  <c r="R92" i="15"/>
  <c r="R152" i="15" s="1"/>
  <c r="S92" i="15"/>
  <c r="T92" i="15"/>
  <c r="U92" i="15"/>
  <c r="V92" i="15"/>
  <c r="V152" i="15" s="1"/>
  <c r="W92" i="15"/>
  <c r="X92" i="15"/>
  <c r="Y92" i="15"/>
  <c r="Z92" i="15"/>
  <c r="Z152" i="15" s="1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40" i="15"/>
  <c r="BC41" i="15"/>
  <c r="BC42" i="15"/>
  <c r="BC39" i="15"/>
  <c r="BC102" i="15" s="1"/>
  <c r="BE38" i="15"/>
  <c r="B93" i="15"/>
  <c r="AZ91" i="8"/>
  <c r="AZ73" i="8"/>
  <c r="AZ67" i="8"/>
  <c r="AZ61" i="8"/>
  <c r="AZ55" i="8"/>
  <c r="AY79" i="8"/>
  <c r="AY85" i="8"/>
  <c r="AY76" i="8"/>
  <c r="AY78" i="8"/>
  <c r="AZ54" i="8"/>
  <c r="AZ53" i="8"/>
  <c r="AZ52" i="8"/>
  <c r="AZ58" i="8"/>
  <c r="AZ60" i="8"/>
  <c r="AZ59" i="8"/>
  <c r="AZ64" i="8"/>
  <c r="AZ65" i="8"/>
  <c r="AZ66" i="8"/>
  <c r="AZ70" i="8"/>
  <c r="AZ72" i="8"/>
  <c r="AZ71" i="8"/>
  <c r="AY77" i="8"/>
  <c r="AY84" i="8"/>
  <c r="AZ89" i="8"/>
  <c r="AZ51" i="8"/>
  <c r="AZ57" i="8"/>
  <c r="AZ69" i="8"/>
  <c r="AZ63" i="8"/>
  <c r="AZ90" i="8"/>
  <c r="AZ88" i="8"/>
  <c r="AZ87" i="8"/>
  <c r="BA49" i="8"/>
  <c r="AY82" i="8"/>
  <c r="AY81" i="8"/>
  <c r="AY75" i="8"/>
  <c r="AY83" i="8"/>
  <c r="G93" i="15" a="1"/>
  <c r="BD86" i="15" a="1"/>
  <c r="BA55" i="8" a="1"/>
  <c r="BD71" i="15" a="1"/>
  <c r="S93" i="15" a="1"/>
  <c r="BD76" i="15" a="1"/>
  <c r="BD70" i="15" a="1"/>
  <c r="AS93" i="15" a="1"/>
  <c r="BD46" i="15" a="1"/>
  <c r="F93" i="15" a="1"/>
  <c r="BA69" i="8" a="1"/>
  <c r="BD51" i="15" a="1"/>
  <c r="BA65" i="8" a="1"/>
  <c r="Y93" i="15" a="1"/>
  <c r="AL93" i="15" a="1"/>
  <c r="AE93" i="15" a="1"/>
  <c r="BD88" i="15" a="1"/>
  <c r="BD83" i="15" a="1"/>
  <c r="AU93" i="15" a="1"/>
  <c r="BD65" i="15" a="1"/>
  <c r="AJ93" i="15" a="1"/>
  <c r="BA54" i="8" a="1"/>
  <c r="I93" i="15" a="1"/>
  <c r="Q93" i="15" a="1"/>
  <c r="BA60" i="8" a="1"/>
  <c r="BD58" i="15" a="1"/>
  <c r="BD85" i="15" a="1"/>
  <c r="AA93" i="15" a="1"/>
  <c r="BD48" i="15" a="1"/>
  <c r="C93" i="15" a="1"/>
  <c r="BD59" i="15" a="1"/>
  <c r="AN93" i="15" a="1"/>
  <c r="AF93" i="15" a="1"/>
  <c r="AZ93" i="15" a="1"/>
  <c r="BD41" i="15" a="1"/>
  <c r="BA51" i="8" a="1"/>
  <c r="U93" i="15" a="1"/>
  <c r="BD67" i="15" a="1"/>
  <c r="BD64" i="15" a="1"/>
  <c r="BD79" i="15" a="1"/>
  <c r="BD81" i="15" a="1"/>
  <c r="BD47" i="15" a="1"/>
  <c r="AH93" i="15" a="1"/>
  <c r="AX93" i="15" a="1"/>
  <c r="R93" i="15" a="1"/>
  <c r="O93" i="15" a="1"/>
  <c r="AB93" i="15" a="1"/>
  <c r="AM93" i="15" a="1"/>
  <c r="BB93" i="15" a="1"/>
  <c r="BA89" i="8" a="1"/>
  <c r="BD54" i="15" a="1"/>
  <c r="BD73" i="15" a="1"/>
  <c r="BD44" i="15" a="1"/>
  <c r="BA63" i="8" a="1"/>
  <c r="BA70" i="8" a="1"/>
  <c r="BD84" i="15" a="1"/>
  <c r="BA72" i="8" a="1"/>
  <c r="X93" i="15" a="1"/>
  <c r="BD52" i="15" a="1"/>
  <c r="BD60" i="15" a="1"/>
  <c r="BD43" i="15" a="1"/>
  <c r="BA57" i="8" a="1"/>
  <c r="AG93" i="15" a="1"/>
  <c r="M93" i="15" a="1"/>
  <c r="AW93" i="15" a="1"/>
  <c r="BD42" i="15" a="1"/>
  <c r="BD92" i="15" a="1"/>
  <c r="BD39" i="15" a="1"/>
  <c r="BD82" i="15" a="1"/>
  <c r="BD62" i="15" a="1"/>
  <c r="E93" i="15" a="1"/>
  <c r="BA67" i="8" a="1"/>
  <c r="J93" i="15" a="1"/>
  <c r="BA87" i="8" a="1"/>
  <c r="BD40" i="15" a="1"/>
  <c r="AK93" i="15" a="1"/>
  <c r="BD78" i="15" a="1"/>
  <c r="BD80" i="15" a="1"/>
  <c r="BD66" i="15" a="1"/>
  <c r="BC93" i="15" a="1"/>
  <c r="AI93" i="15" a="1"/>
  <c r="T93" i="15" a="1"/>
  <c r="BD63" i="15" a="1"/>
  <c r="BA58" i="8" a="1"/>
  <c r="BA59" i="8" a="1"/>
  <c r="W93" i="15" a="1"/>
  <c r="BA66" i="8" a="1"/>
  <c r="AP93" i="15" a="1"/>
  <c r="BD75" i="15" a="1"/>
  <c r="BA52" i="8" a="1"/>
  <c r="BD74" i="15" a="1"/>
  <c r="BA53" i="8" a="1"/>
  <c r="Z93" i="15" a="1"/>
  <c r="AO93" i="15" a="1"/>
  <c r="AT93" i="15" a="1"/>
  <c r="BD69" i="15" a="1"/>
  <c r="P93" i="15" a="1"/>
  <c r="BD53" i="15" a="1"/>
  <c r="BD89" i="15" a="1"/>
  <c r="BD90" i="15" a="1"/>
  <c r="AY93" i="15" a="1"/>
  <c r="BA73" i="8" a="1"/>
  <c r="V93" i="15" a="1"/>
  <c r="BA71" i="8" a="1"/>
  <c r="AR93" i="15" a="1"/>
  <c r="BD77" i="15" a="1"/>
  <c r="BD49" i="15" a="1"/>
  <c r="BA90" i="8" a="1"/>
  <c r="BD68" i="15" a="1"/>
  <c r="BD61" i="15" a="1"/>
  <c r="N93" i="15" a="1"/>
  <c r="BD50" i="15" a="1"/>
  <c r="BA93" i="15" a="1"/>
  <c r="AV93" i="15" a="1"/>
  <c r="AC93" i="15" a="1"/>
  <c r="BA61" i="8" a="1"/>
  <c r="AQ93" i="15" a="1"/>
  <c r="AD93" i="15" a="1"/>
  <c r="BA64" i="8" a="1"/>
  <c r="D93" i="15" a="1"/>
  <c r="BA88" i="8" a="1"/>
  <c r="BD45" i="15" a="1"/>
  <c r="BD91" i="15" a="1"/>
  <c r="L93" i="15" a="1"/>
  <c r="BD56" i="15" a="1"/>
  <c r="BD87" i="15" a="1"/>
  <c r="BD55" i="15" a="1"/>
  <c r="BD72" i="15" a="1"/>
  <c r="BD57" i="15" a="1"/>
  <c r="H93" i="15" a="1"/>
  <c r="BD93" i="15" a="1"/>
  <c r="K93" i="15" a="1"/>
  <c r="BA91" i="8" a="1"/>
  <c r="BC152" i="15" l="1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G93" i="15"/>
  <c r="H93" i="15"/>
  <c r="I93" i="15"/>
  <c r="K93" i="15"/>
  <c r="J93" i="15"/>
  <c r="L93" i="15"/>
  <c r="M93" i="15"/>
  <c r="N93" i="15"/>
  <c r="N153" i="15" s="1"/>
  <c r="O93" i="15"/>
  <c r="P93" i="15"/>
  <c r="Q93" i="15"/>
  <c r="R93" i="15"/>
  <c r="R153" i="15" s="1"/>
  <c r="S93" i="15"/>
  <c r="T93" i="15"/>
  <c r="U93" i="15"/>
  <c r="V93" i="15"/>
  <c r="V153" i="15" s="1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42" i="15"/>
  <c r="BD40" i="15"/>
  <c r="BD41" i="15"/>
  <c r="BD39" i="15"/>
  <c r="BD102" i="15" s="1"/>
  <c r="BF38" i="15"/>
  <c r="B94" i="15"/>
  <c r="BA91" i="8"/>
  <c r="BA73" i="8"/>
  <c r="BA67" i="8"/>
  <c r="BA61" i="8"/>
  <c r="BA55" i="8"/>
  <c r="AZ79" i="8"/>
  <c r="AZ85" i="8"/>
  <c r="AZ78" i="8"/>
  <c r="AZ77" i="8"/>
  <c r="BA54" i="8"/>
  <c r="BA53" i="8"/>
  <c r="BA52" i="8"/>
  <c r="BA58" i="8"/>
  <c r="BA60" i="8"/>
  <c r="BA59" i="8"/>
  <c r="BA65" i="8"/>
  <c r="BA66" i="8"/>
  <c r="BA64" i="8"/>
  <c r="BA70" i="8"/>
  <c r="BA71" i="8"/>
  <c r="BA72" i="8"/>
  <c r="AZ76" i="8"/>
  <c r="AZ84" i="8"/>
  <c r="AZ82" i="8"/>
  <c r="BA89" i="8"/>
  <c r="BA51" i="8"/>
  <c r="BA57" i="8"/>
  <c r="BA69" i="8"/>
  <c r="BA63" i="8"/>
  <c r="BA90" i="8"/>
  <c r="BA88" i="8"/>
  <c r="BA87" i="8"/>
  <c r="BB49" i="8"/>
  <c r="AZ75" i="8"/>
  <c r="AZ81" i="8"/>
  <c r="AZ83" i="8"/>
  <c r="Q94" i="15" a="1"/>
  <c r="AO94" i="15" a="1"/>
  <c r="BE80" i="15" a="1"/>
  <c r="AI94" i="15" a="1"/>
  <c r="AH94" i="15" a="1"/>
  <c r="AK94" i="15" a="1"/>
  <c r="D94" i="15" a="1"/>
  <c r="BE70" i="15" a="1"/>
  <c r="BE93" i="15" a="1"/>
  <c r="BE49" i="15" a="1"/>
  <c r="BB55" i="8" a="1"/>
  <c r="BE78" i="15" a="1"/>
  <c r="BE65" i="15" a="1"/>
  <c r="BB51" i="8" a="1"/>
  <c r="BE77" i="15" a="1"/>
  <c r="R94" i="15" a="1"/>
  <c r="X94" i="15" a="1"/>
  <c r="AE94" i="15" a="1"/>
  <c r="BE82" i="15" a="1"/>
  <c r="BE47" i="15" a="1"/>
  <c r="BE64" i="15" a="1"/>
  <c r="Y94" i="15" a="1"/>
  <c r="AT94" i="15" a="1"/>
  <c r="BE75" i="15" a="1"/>
  <c r="AM94" i="15" a="1"/>
  <c r="H94" i="15" a="1"/>
  <c r="BB91" i="8" a="1"/>
  <c r="AV94" i="15" a="1"/>
  <c r="BE73" i="15" a="1"/>
  <c r="BC94" i="15" a="1"/>
  <c r="BE54" i="15" a="1"/>
  <c r="BE63" i="15" a="1"/>
  <c r="BB64" i="8" a="1"/>
  <c r="AL94" i="15" a="1"/>
  <c r="P94" i="15" a="1"/>
  <c r="O94" i="15" a="1"/>
  <c r="AP94" i="15" a="1"/>
  <c r="BE62" i="15" a="1"/>
  <c r="BE83" i="15" a="1"/>
  <c r="BB88" i="8" a="1"/>
  <c r="AS94" i="15" a="1"/>
  <c r="BE51" i="15" a="1"/>
  <c r="AC94" i="15" a="1"/>
  <c r="BE55" i="15" a="1"/>
  <c r="W94" i="15" a="1"/>
  <c r="BD94" i="15" a="1"/>
  <c r="BE45" i="15" a="1"/>
  <c r="C94" i="15" a="1"/>
  <c r="BE46" i="15" a="1"/>
  <c r="AX94" i="15" a="1"/>
  <c r="AN94" i="15" a="1"/>
  <c r="BE48" i="15" a="1"/>
  <c r="AZ94" i="15" a="1"/>
  <c r="BE40" i="15" a="1"/>
  <c r="BE67" i="15" a="1"/>
  <c r="BE76" i="15" a="1"/>
  <c r="BE86" i="15" a="1"/>
  <c r="BE88" i="15" a="1"/>
  <c r="BE81" i="15" a="1"/>
  <c r="BE87" i="15" a="1"/>
  <c r="BB89" i="8" a="1"/>
  <c r="AG94" i="15" a="1"/>
  <c r="BE43" i="15" a="1"/>
  <c r="BB63" i="8" a="1"/>
  <c r="BE90" i="15" a="1"/>
  <c r="M94" i="15" a="1"/>
  <c r="BB60" i="8" a="1"/>
  <c r="BE68" i="15" a="1"/>
  <c r="BB71" i="8" a="1"/>
  <c r="BE59" i="15" a="1"/>
  <c r="BB70" i="8" a="1"/>
  <c r="BE52" i="15" a="1"/>
  <c r="AQ94" i="15" a="1"/>
  <c r="BB94" i="15" a="1"/>
  <c r="BE79" i="15" a="1"/>
  <c r="Z94" i="15" a="1"/>
  <c r="BA94" i="15" a="1"/>
  <c r="BE84" i="15" a="1"/>
  <c r="AF94" i="15" a="1"/>
  <c r="AJ94" i="15" a="1"/>
  <c r="BE66" i="15" a="1"/>
  <c r="BB58" i="8" a="1"/>
  <c r="BE61" i="15" a="1"/>
  <c r="N94" i="15" a="1"/>
  <c r="AR94" i="15" a="1"/>
  <c r="S94" i="15" a="1"/>
  <c r="BB90" i="8" a="1"/>
  <c r="AW94" i="15" a="1"/>
  <c r="V94" i="15" a="1"/>
  <c r="AB94" i="15" a="1"/>
  <c r="BB52" i="8" a="1"/>
  <c r="BE39" i="15" a="1"/>
  <c r="BE57" i="15" a="1"/>
  <c r="BB87" i="8" a="1"/>
  <c r="U94" i="15" a="1"/>
  <c r="BE41" i="15" a="1"/>
  <c r="BB53" i="8" a="1"/>
  <c r="BE89" i="15" a="1"/>
  <c r="E94" i="15" a="1"/>
  <c r="BE42" i="15" a="1"/>
  <c r="BE85" i="15" a="1"/>
  <c r="BE69" i="15" a="1"/>
  <c r="G94" i="15" a="1"/>
  <c r="L94" i="15" a="1"/>
  <c r="BB65" i="8" a="1"/>
  <c r="BE50" i="15" a="1"/>
  <c r="AD94" i="15" a="1"/>
  <c r="BB73" i="8" a="1"/>
  <c r="BB57" i="8" a="1"/>
  <c r="BE91" i="15" a="1"/>
  <c r="BE56" i="15" a="1"/>
  <c r="J94" i="15" a="1"/>
  <c r="BE53" i="15" a="1"/>
  <c r="BB69" i="8" a="1"/>
  <c r="I94" i="15" a="1"/>
  <c r="AU94" i="15" a="1"/>
  <c r="BE60" i="15" a="1"/>
  <c r="K94" i="15" a="1"/>
  <c r="BE58" i="15" a="1"/>
  <c r="BE44" i="15" a="1"/>
  <c r="T94" i="15" a="1"/>
  <c r="BB72" i="8" a="1"/>
  <c r="BB61" i="8" a="1"/>
  <c r="BB66" i="8" a="1"/>
  <c r="BB59" i="8" a="1"/>
  <c r="AY94" i="15" a="1"/>
  <c r="BE72" i="15" a="1"/>
  <c r="BB67" i="8" a="1"/>
  <c r="F94" i="15" a="1"/>
  <c r="BE94" i="15" a="1"/>
  <c r="BE71" i="15" a="1"/>
  <c r="BE92" i="15" a="1"/>
  <c r="AA94" i="15" a="1"/>
  <c r="BE74" i="15" a="1"/>
  <c r="BB54" i="8" a="1"/>
  <c r="F153" i="15" l="1"/>
  <c r="K153" i="15"/>
  <c r="BA153" i="15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F154" i="15" s="1"/>
  <c r="G94" i="15"/>
  <c r="H94" i="15"/>
  <c r="I94" i="15"/>
  <c r="J94" i="15"/>
  <c r="J154" i="15" s="1"/>
  <c r="K94" i="15"/>
  <c r="L94" i="15"/>
  <c r="M94" i="15"/>
  <c r="N94" i="15"/>
  <c r="N154" i="15" s="1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40" i="15"/>
  <c r="BE42" i="15"/>
  <c r="BE41" i="15"/>
  <c r="BE39" i="15"/>
  <c r="BE102" i="15" s="1"/>
  <c r="BG38" i="15"/>
  <c r="B95" i="15"/>
  <c r="BB91" i="8"/>
  <c r="BB73" i="8"/>
  <c r="BB67" i="8"/>
  <c r="BB61" i="8"/>
  <c r="BB55" i="8"/>
  <c r="BA85" i="8"/>
  <c r="BA79" i="8"/>
  <c r="BA76" i="8"/>
  <c r="BA78" i="8"/>
  <c r="BA77" i="8"/>
  <c r="BB54" i="8"/>
  <c r="BB53" i="8"/>
  <c r="BB52" i="8"/>
  <c r="BB59" i="8"/>
  <c r="BB58" i="8"/>
  <c r="BB60" i="8"/>
  <c r="BB64" i="8"/>
  <c r="BB65" i="8"/>
  <c r="BB66" i="8"/>
  <c r="BB71" i="8"/>
  <c r="BB70" i="8"/>
  <c r="BB72" i="8"/>
  <c r="BA82" i="8"/>
  <c r="BB89" i="8"/>
  <c r="BB51" i="8"/>
  <c r="BB57" i="8"/>
  <c r="BB69" i="8"/>
  <c r="BB63" i="8"/>
  <c r="BB90" i="8"/>
  <c r="BB88" i="8"/>
  <c r="BB87" i="8"/>
  <c r="BA75" i="8"/>
  <c r="BA81" i="8"/>
  <c r="BC49" i="8"/>
  <c r="BA83" i="8"/>
  <c r="BA84" i="8"/>
  <c r="BE154" i="15" l="1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B155" i="15"/>
  <c r="BH38" i="15"/>
  <c r="B96" i="15"/>
  <c r="BB85" i="8"/>
  <c r="BB79" i="8"/>
  <c r="BB78" i="8"/>
  <c r="BB77" i="8"/>
  <c r="BB76" i="8"/>
  <c r="BB84" i="8"/>
  <c r="BB82" i="8"/>
  <c r="BB75" i="8"/>
  <c r="BB81" i="8"/>
  <c r="BD49" i="8"/>
  <c r="BB83" i="8"/>
  <c r="B156" i="15" l="1"/>
  <c r="BI38" i="15"/>
  <c r="B97" i="15"/>
  <c r="BE49" i="8"/>
  <c r="BC71" i="8" a="1"/>
  <c r="E95" i="15" a="1"/>
  <c r="N95" i="15" a="1"/>
  <c r="BC63" i="8" a="1"/>
  <c r="BF77" i="15" a="1"/>
  <c r="T95" i="15" a="1"/>
  <c r="BF67" i="15" a="1"/>
  <c r="K95" i="15" a="1"/>
  <c r="AA96" i="15" a="1"/>
  <c r="BG44" i="15" a="1"/>
  <c r="BD72" i="8" a="1"/>
  <c r="BG86" i="15" a="1"/>
  <c r="BD96" i="15" a="1"/>
  <c r="BG58" i="15" a="1"/>
  <c r="BG51" i="15" a="1"/>
  <c r="H96" i="15" a="1"/>
  <c r="BD64" i="8" a="1"/>
  <c r="BF64" i="15" a="1"/>
  <c r="BF55" i="15" a="1"/>
  <c r="BC53" i="8" a="1"/>
  <c r="BF59" i="15" a="1"/>
  <c r="AQ95" i="15" a="1"/>
  <c r="BC52" i="8" a="1"/>
  <c r="BF44" i="15" a="1"/>
  <c r="AK95" i="15" a="1"/>
  <c r="AW95" i="15" a="1"/>
  <c r="BG60" i="15" a="1"/>
  <c r="AT96" i="15" a="1"/>
  <c r="BG88" i="15" a="1"/>
  <c r="BG55" i="15" a="1"/>
  <c r="AF96" i="15" a="1"/>
  <c r="BG89" i="15" a="1"/>
  <c r="BG84" i="15" a="1"/>
  <c r="BG77" i="15" a="1"/>
  <c r="D95" i="15" a="1"/>
  <c r="S95" i="15" a="1"/>
  <c r="AO95" i="15" a="1"/>
  <c r="X95" i="15" a="1"/>
  <c r="BC51" i="8" a="1"/>
  <c r="BF74" i="15" a="1"/>
  <c r="AH95" i="15" a="1"/>
  <c r="BF78" i="15" a="1"/>
  <c r="BC59" i="8" a="1"/>
  <c r="AM96" i="15" a="1"/>
  <c r="BG82" i="15" a="1"/>
  <c r="BD58" i="8" a="1"/>
  <c r="BG91" i="15" a="1"/>
  <c r="BG54" i="15" a="1"/>
  <c r="F96" i="15" a="1"/>
  <c r="BD51" i="8" a="1"/>
  <c r="AV96" i="15" a="1"/>
  <c r="BG66" i="15" a="1"/>
  <c r="BF50" i="15" a="1"/>
  <c r="BF66" i="15" a="1"/>
  <c r="BC91" i="8" a="1"/>
  <c r="BF42" i="15" a="1"/>
  <c r="BC66" i="8" a="1"/>
  <c r="BF41" i="15" a="1"/>
  <c r="AI95" i="15" a="1"/>
  <c r="BE95" i="15" a="1"/>
  <c r="AP96" i="15" a="1"/>
  <c r="BG69" i="15" a="1"/>
  <c r="S96" i="15" a="1"/>
  <c r="BG70" i="15" a="1"/>
  <c r="P96" i="15" a="1"/>
  <c r="I96" i="15" a="1"/>
  <c r="BD66" i="8" a="1"/>
  <c r="BG95" i="15" a="1"/>
  <c r="Z96" i="15" a="1"/>
  <c r="BF82" i="15" a="1"/>
  <c r="AP95" i="15" a="1"/>
  <c r="BC61" i="8" a="1"/>
  <c r="AR95" i="15" a="1"/>
  <c r="AA95" i="15" a="1"/>
  <c r="AR96" i="15" a="1"/>
  <c r="BD60" i="8" a="1"/>
  <c r="BD52" i="8" a="1"/>
  <c r="BD54" i="8" a="1"/>
  <c r="T96" i="15" a="1"/>
  <c r="I95" i="15" a="1"/>
  <c r="BF71" i="15" a="1"/>
  <c r="BF68" i="15" a="1"/>
  <c r="J95" i="15" a="1"/>
  <c r="BG90" i="15" a="1"/>
  <c r="E96" i="15" a="1"/>
  <c r="BD65" i="8" a="1"/>
  <c r="BG81" i="15" a="1"/>
  <c r="AN96" i="15" a="1"/>
  <c r="BF94" i="15" a="1"/>
  <c r="BF48" i="15" a="1"/>
  <c r="BF79" i="15" a="1"/>
  <c r="BF70" i="15" a="1"/>
  <c r="AY96" i="15" a="1"/>
  <c r="BG59" i="15" a="1"/>
  <c r="AJ96" i="15" a="1"/>
  <c r="BG50" i="15" a="1"/>
  <c r="AO96" i="15" a="1"/>
  <c r="BF46" i="15" a="1"/>
  <c r="BB95" i="15" a="1"/>
  <c r="BF62" i="15" a="1"/>
  <c r="BF56" i="15" a="1"/>
  <c r="BG76" i="15" a="1"/>
  <c r="AB96" i="15" a="1"/>
  <c r="BG74" i="15" a="1"/>
  <c r="O96" i="15" a="1"/>
  <c r="BF83" i="15" a="1"/>
  <c r="AX95" i="15" a="1"/>
  <c r="AG95" i="15" a="1"/>
  <c r="BC72" i="8" a="1"/>
  <c r="BF85" i="15" a="1"/>
  <c r="BD90" i="8" a="1"/>
  <c r="BD57" i="8" a="1"/>
  <c r="BG85" i="15" a="1"/>
  <c r="BG49" i="15" a="1"/>
  <c r="BF76" i="15" a="1"/>
  <c r="BF93" i="15" a="1"/>
  <c r="BC57" i="8" a="1"/>
  <c r="BF92" i="15" a="1"/>
  <c r="AW96" i="15" a="1"/>
  <c r="BD61" i="8" a="1"/>
  <c r="BG96" i="15" a="1"/>
  <c r="BD91" i="8" a="1"/>
  <c r="BF90" i="15" a="1"/>
  <c r="AZ95" i="15" a="1"/>
  <c r="AL95" i="15" a="1"/>
  <c r="Y95" i="15" a="1"/>
  <c r="AG96" i="15" a="1"/>
  <c r="BF45" i="15" a="1"/>
  <c r="M95" i="15" a="1"/>
  <c r="BF49" i="15" a="1"/>
  <c r="F95" i="15" a="1"/>
  <c r="BC70" i="8" a="1"/>
  <c r="BF86" i="15" a="1"/>
  <c r="BA95" i="15" a="1"/>
  <c r="BC67" i="8" a="1"/>
  <c r="BG71" i="15" a="1"/>
  <c r="BD69" i="8" a="1"/>
  <c r="C96" i="15" a="1"/>
  <c r="BD71" i="8" a="1"/>
  <c r="BG56" i="15" a="1"/>
  <c r="BG78" i="15" a="1"/>
  <c r="M96" i="15" a="1"/>
  <c r="AZ96" i="15" a="1"/>
  <c r="BD87" i="8" a="1"/>
  <c r="BF52" i="15" a="1"/>
  <c r="BF53" i="15" a="1"/>
  <c r="BC64" i="8" a="1"/>
  <c r="BC58" i="8" a="1"/>
  <c r="L95" i="15" a="1"/>
  <c r="AT95" i="15" a="1"/>
  <c r="G95" i="15" a="1"/>
  <c r="AC95" i="15" a="1"/>
  <c r="BG52" i="15" a="1"/>
  <c r="BG47" i="15" a="1"/>
  <c r="K96" i="15" a="1"/>
  <c r="BD55" i="8" a="1"/>
  <c r="BG42" i="15" a="1"/>
  <c r="N96" i="15" a="1"/>
  <c r="J96" i="15" a="1"/>
  <c r="V96" i="15" a="1"/>
  <c r="BG68" i="15" a="1"/>
  <c r="BC89" i="8" a="1"/>
  <c r="BF39" i="15" a="1"/>
  <c r="BF89" i="15" a="1"/>
  <c r="AF95" i="15" a="1"/>
  <c r="BF81" i="15" a="1"/>
  <c r="BF63" i="15" a="1"/>
  <c r="BF91" i="15" a="1"/>
  <c r="BC95" i="15" a="1"/>
  <c r="BC55" i="8" a="1"/>
  <c r="BG92" i="15" a="1"/>
  <c r="BG62" i="15" a="1"/>
  <c r="BG79" i="15" a="1"/>
  <c r="BG65" i="15" a="1"/>
  <c r="BG43" i="15" a="1"/>
  <c r="BG48" i="15" a="1"/>
  <c r="BD88" i="8" a="1"/>
  <c r="R96" i="15" a="1"/>
  <c r="BF80" i="15" a="1"/>
  <c r="H95" i="15" a="1"/>
  <c r="AY95" i="15" a="1"/>
  <c r="BC60" i="8" a="1"/>
  <c r="BF40" i="15" a="1"/>
  <c r="Z95" i="15" a="1"/>
  <c r="AV95" i="15" a="1"/>
  <c r="Q95" i="15" a="1"/>
  <c r="AN95" i="15" a="1"/>
  <c r="BG53" i="15" a="1"/>
  <c r="BG83" i="15" a="1"/>
  <c r="BG93" i="15" a="1"/>
  <c r="BG46" i="15" a="1"/>
  <c r="AD96" i="15" a="1"/>
  <c r="AU96" i="15" a="1"/>
  <c r="AQ96" i="15" a="1"/>
  <c r="U96" i="15" a="1"/>
  <c r="BD53" i="8" a="1"/>
  <c r="BC65" i="8" a="1"/>
  <c r="BF73" i="15" a="1"/>
  <c r="BC88" i="8" a="1"/>
  <c r="BC54" i="8" a="1"/>
  <c r="BG94" i="15" a="1"/>
  <c r="Y96" i="15" a="1"/>
  <c r="W96" i="15" a="1"/>
  <c r="BD70" i="8" a="1"/>
  <c r="W95" i="15" a="1"/>
  <c r="AJ95" i="15" a="1"/>
  <c r="C95" i="15" a="1"/>
  <c r="BF43" i="15" a="1"/>
  <c r="D96" i="15" a="1"/>
  <c r="BB96" i="15" a="1"/>
  <c r="BG87" i="15" a="1"/>
  <c r="BC96" i="15" a="1"/>
  <c r="BF87" i="15" a="1"/>
  <c r="BF69" i="15" a="1"/>
  <c r="BC69" i="8" a="1"/>
  <c r="BF58" i="15" a="1"/>
  <c r="R95" i="15" a="1"/>
  <c r="BD67" i="8" a="1"/>
  <c r="AS96" i="15" a="1"/>
  <c r="AI96" i="15" a="1"/>
  <c r="BC73" i="8" a="1"/>
  <c r="AB95" i="15" a="1"/>
  <c r="O95" i="15" a="1"/>
  <c r="P95" i="15" a="1"/>
  <c r="AE95" i="15" a="1"/>
  <c r="AX96" i="15" a="1"/>
  <c r="BG73" i="15" a="1"/>
  <c r="BD73" i="8" a="1"/>
  <c r="AC96" i="15" a="1"/>
  <c r="BF84" i="15" a="1"/>
  <c r="BC87" i="8" a="1"/>
  <c r="AU95" i="15" a="1"/>
  <c r="BF54" i="15" a="1"/>
  <c r="AL96" i="15" a="1"/>
  <c r="BG63" i="15" a="1"/>
  <c r="BD89" i="8" a="1"/>
  <c r="AH96" i="15" a="1"/>
  <c r="AD95" i="15" a="1"/>
  <c r="BC90" i="8" a="1"/>
  <c r="BF61" i="15" a="1"/>
  <c r="BF95" i="15" a="1"/>
  <c r="AS95" i="15" a="1"/>
  <c r="BA96" i="15" a="1"/>
  <c r="BG80" i="15" a="1"/>
  <c r="BD59" i="8" a="1"/>
  <c r="Q96" i="15" a="1"/>
  <c r="AK96" i="15" a="1"/>
  <c r="BF72" i="15" a="1"/>
  <c r="BF60" i="15" a="1"/>
  <c r="BD95" i="15" a="1"/>
  <c r="AM95" i="15" a="1"/>
  <c r="BG41" i="15" a="1"/>
  <c r="X96" i="15" a="1"/>
  <c r="G96" i="15" a="1"/>
  <c r="BG61" i="15" a="1"/>
  <c r="BF65" i="15" a="1"/>
  <c r="BF47" i="15" a="1"/>
  <c r="BD63" i="8" a="1"/>
  <c r="BE96" i="15" a="1"/>
  <c r="BG67" i="15" a="1"/>
  <c r="L96" i="15" a="1"/>
  <c r="BF57" i="15" a="1"/>
  <c r="BG40" i="15" a="1"/>
  <c r="U95" i="15" a="1"/>
  <c r="BG57" i="15" a="1"/>
  <c r="BG45" i="15" a="1"/>
  <c r="BG72" i="15" a="1"/>
  <c r="BG39" i="15" a="1"/>
  <c r="V95" i="15" a="1"/>
  <c r="BF88" i="15" a="1"/>
  <c r="BG75" i="15" a="1"/>
  <c r="BF75" i="15" a="1"/>
  <c r="BF96" i="15" a="1"/>
  <c r="BG64" i="15" a="1"/>
  <c r="AE96" i="15" a="1"/>
  <c r="BF51" i="15" a="1"/>
  <c r="AT97" i="15" a="1"/>
  <c r="AZ97" i="15" a="1"/>
  <c r="BH63" i="15" a="1"/>
  <c r="F97" i="15" a="1"/>
  <c r="BH85" i="15" a="1"/>
  <c r="BE58" i="8" a="1"/>
  <c r="AD97" i="15" a="1"/>
  <c r="BH56" i="15" a="1"/>
  <c r="BH58" i="15" a="1"/>
  <c r="BH57" i="15" a="1"/>
  <c r="AF97" i="15" a="1"/>
  <c r="AJ97" i="15" a="1"/>
  <c r="BH88" i="15" a="1"/>
  <c r="BH51" i="15" a="1"/>
  <c r="BH71" i="15" a="1"/>
  <c r="BH76" i="15" a="1"/>
  <c r="T97" i="15" a="1"/>
  <c r="BG97" i="15" a="1"/>
  <c r="BH95" i="15" a="1"/>
  <c r="V97" i="15" a="1"/>
  <c r="AB97" i="15" a="1"/>
  <c r="P97" i="15" a="1"/>
  <c r="E97" i="15" a="1"/>
  <c r="BE70" i="8" a="1"/>
  <c r="BH68" i="15" a="1"/>
  <c r="Z97" i="15" a="1"/>
  <c r="D97" i="15" a="1"/>
  <c r="BH90" i="15" a="1"/>
  <c r="BH87" i="15" a="1"/>
  <c r="H97" i="15" a="1"/>
  <c r="AY97" i="15" a="1"/>
  <c r="AL97" i="15" a="1"/>
  <c r="BC97" i="15" a="1"/>
  <c r="BH54" i="15" a="1"/>
  <c r="BH67" i="15" a="1"/>
  <c r="BE88" i="8" a="1"/>
  <c r="G97" i="15" a="1"/>
  <c r="BH69" i="15" a="1"/>
  <c r="BH80" i="15" a="1"/>
  <c r="O97" i="15" a="1"/>
  <c r="I97" i="15" a="1"/>
  <c r="BH52" i="15" a="1"/>
  <c r="AS97" i="15" a="1"/>
  <c r="BH46" i="15" a="1"/>
  <c r="BH64" i="15" a="1"/>
  <c r="BE66" i="8" a="1"/>
  <c r="BH44" i="15" a="1"/>
  <c r="AR97" i="15" a="1"/>
  <c r="BE97" i="15" a="1"/>
  <c r="W97" i="15" a="1"/>
  <c r="BE54" i="8" a="1"/>
  <c r="AI97" i="15" a="1"/>
  <c r="BH39" i="15" a="1"/>
  <c r="BE64" i="8" a="1"/>
  <c r="BE53" i="8" a="1"/>
  <c r="BH59" i="15" a="1"/>
  <c r="BE69" i="8" a="1"/>
  <c r="BH97" i="15" a="1"/>
  <c r="BH91" i="15" a="1"/>
  <c r="BH65" i="15" a="1"/>
  <c r="AU97" i="15" a="1"/>
  <c r="BE71" i="8" a="1"/>
  <c r="X97" i="15" a="1"/>
  <c r="AX97" i="15" a="1"/>
  <c r="BH92" i="15" a="1"/>
  <c r="BH81" i="15" a="1"/>
  <c r="BE63" i="8" a="1"/>
  <c r="BH62" i="15" a="1"/>
  <c r="M97" i="15" a="1"/>
  <c r="BH61" i="15" a="1"/>
  <c r="Q97" i="15" a="1"/>
  <c r="BH82" i="15" a="1"/>
  <c r="BE61" i="8" a="1"/>
  <c r="BH41" i="15" a="1"/>
  <c r="BH89" i="15" a="1"/>
  <c r="BH84" i="15" a="1"/>
  <c r="BE60" i="8" a="1"/>
  <c r="BH43" i="15" a="1"/>
  <c r="BH94" i="15" a="1"/>
  <c r="BH66" i="15" a="1"/>
  <c r="BB97" i="15" a="1"/>
  <c r="BE72" i="8" a="1"/>
  <c r="AE97" i="15" a="1"/>
  <c r="BH50" i="15" a="1"/>
  <c r="BH49" i="15" a="1"/>
  <c r="AK97" i="15" a="1"/>
  <c r="S97" i="15" a="1"/>
  <c r="BH48" i="15" a="1"/>
  <c r="BH79" i="15" a="1"/>
  <c r="BH45" i="15" a="1"/>
  <c r="AO97" i="15" a="1"/>
  <c r="AG97" i="15" a="1"/>
  <c r="K97" i="15" a="1"/>
  <c r="L97" i="15" a="1"/>
  <c r="J97" i="15" a="1"/>
  <c r="BH75" i="15" a="1"/>
  <c r="R97" i="15" a="1"/>
  <c r="BH78" i="15" a="1"/>
  <c r="BH96" i="15" a="1"/>
  <c r="BE59" i="8" a="1"/>
  <c r="BA97" i="15" a="1"/>
  <c r="BE87" i="8" a="1"/>
  <c r="AA97" i="15" a="1"/>
  <c r="AW97" i="15" a="1"/>
  <c r="C97" i="15" a="1"/>
  <c r="BH93" i="15" a="1"/>
  <c r="BE73" i="8" a="1"/>
  <c r="BH86" i="15" a="1"/>
  <c r="AQ97" i="15" a="1"/>
  <c r="N97" i="15" a="1"/>
  <c r="BE55" i="8" a="1"/>
  <c r="BD97" i="15" a="1"/>
  <c r="BH42" i="15" a="1"/>
  <c r="Y97" i="15" a="1"/>
  <c r="AP97" i="15" a="1"/>
  <c r="BE51" i="8" a="1"/>
  <c r="AH97" i="15" a="1"/>
  <c r="BE91" i="8" a="1"/>
  <c r="BH70" i="15" a="1"/>
  <c r="BE57" i="8" a="1"/>
  <c r="AN97" i="15" a="1"/>
  <c r="BE67" i="8" a="1"/>
  <c r="BE89" i="8" a="1"/>
  <c r="BH47" i="15" a="1"/>
  <c r="BE65" i="8" a="1"/>
  <c r="BH83" i="15" a="1"/>
  <c r="BH55" i="15" a="1"/>
  <c r="BH53" i="15" a="1"/>
  <c r="BH60" i="15" a="1"/>
  <c r="U97" i="15" a="1"/>
  <c r="BH74" i="15" a="1"/>
  <c r="AC97" i="15" a="1"/>
  <c r="BH73" i="15" a="1"/>
  <c r="AV97" i="15" a="1"/>
  <c r="BE52" i="8" a="1"/>
  <c r="BH77" i="15" a="1"/>
  <c r="BF97" i="15" a="1"/>
  <c r="BE90" i="8" a="1"/>
  <c r="BH72" i="15" a="1"/>
  <c r="BH40" i="15" a="1"/>
  <c r="AM97" i="15" a="1"/>
  <c r="BF51" i="15" l="1"/>
  <c r="BF111" i="15" s="1"/>
  <c r="AE96" i="15"/>
  <c r="BG64" i="15"/>
  <c r="BG124" i="15" s="1"/>
  <c r="BF96" i="15"/>
  <c r="BF75" i="15"/>
  <c r="BF135" i="15" s="1"/>
  <c r="BG75" i="15"/>
  <c r="BG135" i="15" s="1"/>
  <c r="BF88" i="15"/>
  <c r="BF148" i="15" s="1"/>
  <c r="V95" i="15"/>
  <c r="BG39" i="15"/>
  <c r="BG102" i="15" s="1"/>
  <c r="BG72" i="15"/>
  <c r="BG132" i="15" s="1"/>
  <c r="BG45" i="15"/>
  <c r="BG105" i="15" s="1"/>
  <c r="BG57" i="15"/>
  <c r="BG117" i="15" s="1"/>
  <c r="U95" i="15"/>
  <c r="U155" i="15" s="1"/>
  <c r="BG40" i="15"/>
  <c r="BF57" i="15"/>
  <c r="BF117" i="15" s="1"/>
  <c r="L96" i="15"/>
  <c r="BG67" i="15"/>
  <c r="BG127" i="15" s="1"/>
  <c r="BE96" i="15"/>
  <c r="BD63" i="8"/>
  <c r="BF47" i="15"/>
  <c r="BF107" i="15" s="1"/>
  <c r="BF65" i="15"/>
  <c r="BF125" i="15" s="1"/>
  <c r="BG61" i="15"/>
  <c r="BG121" i="15" s="1"/>
  <c r="G96" i="15"/>
  <c r="G156" i="15" s="1"/>
  <c r="X96" i="15"/>
  <c r="BG41" i="15"/>
  <c r="AM95" i="15"/>
  <c r="BD95" i="15"/>
  <c r="BF60" i="15"/>
  <c r="BF120" i="15" s="1"/>
  <c r="BF72" i="15"/>
  <c r="BF132" i="15" s="1"/>
  <c r="AK96" i="15"/>
  <c r="Q96" i="15"/>
  <c r="BD59" i="8"/>
  <c r="BG80" i="15"/>
  <c r="BG140" i="15" s="1"/>
  <c r="BA96" i="15"/>
  <c r="AS95" i="15"/>
  <c r="AS155" i="15" s="1"/>
  <c r="BF95" i="15"/>
  <c r="BF61" i="15"/>
  <c r="BF121" i="15" s="1"/>
  <c r="BC90" i="8"/>
  <c r="AD95" i="15"/>
  <c r="AH96" i="15"/>
  <c r="BD89" i="8"/>
  <c r="BG63" i="15"/>
  <c r="BG123" i="15" s="1"/>
  <c r="AL96" i="15"/>
  <c r="BF54" i="15"/>
  <c r="BF114" i="15" s="1"/>
  <c r="AU95" i="15"/>
  <c r="BC87" i="8"/>
  <c r="BF84" i="15"/>
  <c r="BF144" i="15" s="1"/>
  <c r="AC96" i="15"/>
  <c r="BD73" i="8"/>
  <c r="BG73" i="15"/>
  <c r="BG133" i="15" s="1"/>
  <c r="AX96" i="15"/>
  <c r="AE95" i="15"/>
  <c r="P95" i="15"/>
  <c r="P155" i="15" s="1"/>
  <c r="O95" i="15"/>
  <c r="AB95" i="15"/>
  <c r="AB155" i="15" s="1"/>
  <c r="BC73" i="8"/>
  <c r="AI96" i="15"/>
  <c r="AS96" i="15"/>
  <c r="BD67" i="8"/>
  <c r="BD85" i="8" s="1"/>
  <c r="R95" i="15"/>
  <c r="BF58" i="15"/>
  <c r="BF118" i="15" s="1"/>
  <c r="BC69" i="8"/>
  <c r="BF69" i="15"/>
  <c r="BF129" i="15" s="1"/>
  <c r="BF87" i="15"/>
  <c r="BF147" i="15" s="1"/>
  <c r="BC96" i="15"/>
  <c r="BG87" i="15"/>
  <c r="BG147" i="15" s="1"/>
  <c r="BB96" i="15"/>
  <c r="D96" i="15"/>
  <c r="D156" i="15" s="1"/>
  <c r="BF43" i="15"/>
  <c r="BF103" i="15" s="1"/>
  <c r="C95" i="15"/>
  <c r="C155" i="15" s="1"/>
  <c r="AJ95" i="15"/>
  <c r="W95" i="15"/>
  <c r="BD70" i="8"/>
  <c r="W96" i="15"/>
  <c r="Y96" i="15"/>
  <c r="BG94" i="15"/>
  <c r="BG154" i="15" s="1"/>
  <c r="BC54" i="8"/>
  <c r="BC88" i="8"/>
  <c r="BF73" i="15"/>
  <c r="BF133" i="15" s="1"/>
  <c r="BC65" i="8"/>
  <c r="BD53" i="8"/>
  <c r="BD77" i="8" s="1"/>
  <c r="U96" i="15"/>
  <c r="AQ96" i="15"/>
  <c r="AU96" i="15"/>
  <c r="AU156" i="15" s="1"/>
  <c r="AD96" i="15"/>
  <c r="BG46" i="15"/>
  <c r="BG106" i="15" s="1"/>
  <c r="BG93" i="15"/>
  <c r="BG153" i="15" s="1"/>
  <c r="BG83" i="15"/>
  <c r="BG143" i="15" s="1"/>
  <c r="BG53" i="15"/>
  <c r="BG113" i="15" s="1"/>
  <c r="AN95" i="15"/>
  <c r="Q95" i="15"/>
  <c r="AV95" i="15"/>
  <c r="Z95" i="15"/>
  <c r="BF40" i="15"/>
  <c r="BC60" i="8"/>
  <c r="AY95" i="15"/>
  <c r="H95" i="15"/>
  <c r="BF80" i="15"/>
  <c r="BF140" i="15" s="1"/>
  <c r="R96" i="15"/>
  <c r="BD88" i="8"/>
  <c r="BG48" i="15"/>
  <c r="BG108" i="15" s="1"/>
  <c r="BG43" i="15"/>
  <c r="BG103" i="15" s="1"/>
  <c r="BG65" i="15"/>
  <c r="BG125" i="15" s="1"/>
  <c r="BG79" i="15"/>
  <c r="BG139" i="15" s="1"/>
  <c r="BG62" i="15"/>
  <c r="BG122" i="15" s="1"/>
  <c r="BG92" i="15"/>
  <c r="BG152" i="15" s="1"/>
  <c r="BC55" i="8"/>
  <c r="BC95" i="15"/>
  <c r="BF91" i="15"/>
  <c r="BF151" i="15" s="1"/>
  <c r="BF63" i="15"/>
  <c r="BF123" i="15" s="1"/>
  <c r="BF81" i="15"/>
  <c r="BF141" i="15" s="1"/>
  <c r="AF95" i="15"/>
  <c r="BF89" i="15"/>
  <c r="BF149" i="15" s="1"/>
  <c r="BF39" i="15"/>
  <c r="BF102" i="15" s="1"/>
  <c r="BC89" i="8"/>
  <c r="BG68" i="15"/>
  <c r="BG128" i="15" s="1"/>
  <c r="V96" i="15"/>
  <c r="J96" i="15"/>
  <c r="N96" i="15"/>
  <c r="BG42" i="15"/>
  <c r="BD55" i="8"/>
  <c r="BD79" i="8" s="1"/>
  <c r="K96" i="15"/>
  <c r="BG47" i="15"/>
  <c r="BG107" i="15" s="1"/>
  <c r="BG52" i="15"/>
  <c r="BG112" i="15" s="1"/>
  <c r="AC95" i="15"/>
  <c r="AC155" i="15" s="1"/>
  <c r="G95" i="15"/>
  <c r="AT95" i="15"/>
  <c r="L95" i="15"/>
  <c r="BC58" i="8"/>
  <c r="BC64" i="8"/>
  <c r="BF53" i="15"/>
  <c r="BF113" i="15" s="1"/>
  <c r="BF52" i="15"/>
  <c r="BF112" i="15" s="1"/>
  <c r="BD87" i="8"/>
  <c r="AZ96" i="15"/>
  <c r="M96" i="15"/>
  <c r="BG78" i="15"/>
  <c r="BG138" i="15" s="1"/>
  <c r="BG56" i="15"/>
  <c r="BG116" i="15" s="1"/>
  <c r="BD71" i="8"/>
  <c r="C96" i="15"/>
  <c r="C156" i="15" s="1"/>
  <c r="BD69" i="8"/>
  <c r="BG71" i="15"/>
  <c r="BG131" i="15" s="1"/>
  <c r="BC67" i="8"/>
  <c r="BA95" i="15"/>
  <c r="BA155" i="15" s="1"/>
  <c r="BF86" i="15"/>
  <c r="BF146" i="15" s="1"/>
  <c r="BC70" i="8"/>
  <c r="BC76" i="8" s="1"/>
  <c r="F95" i="15"/>
  <c r="BF49" i="15"/>
  <c r="BF109" i="15" s="1"/>
  <c r="M95" i="15"/>
  <c r="BF45" i="15"/>
  <c r="BF105" i="15" s="1"/>
  <c r="AG96" i="15"/>
  <c r="Y95" i="15"/>
  <c r="Y155" i="15" s="1"/>
  <c r="AL95" i="15"/>
  <c r="AZ95" i="15"/>
  <c r="BF90" i="15"/>
  <c r="BF150" i="15" s="1"/>
  <c r="BD91" i="8"/>
  <c r="BG96" i="15"/>
  <c r="BG156" i="15" s="1"/>
  <c r="BD61" i="8"/>
  <c r="AW96" i="15"/>
  <c r="BF92" i="15"/>
  <c r="BF152" i="15" s="1"/>
  <c r="BC57" i="8"/>
  <c r="BF93" i="15"/>
  <c r="BF153" i="15" s="1"/>
  <c r="BF76" i="15"/>
  <c r="BF136" i="15" s="1"/>
  <c r="BG49" i="15"/>
  <c r="BG109" i="15" s="1"/>
  <c r="BG85" i="15"/>
  <c r="BG145" i="15" s="1"/>
  <c r="BD57" i="8"/>
  <c r="BD90" i="8"/>
  <c r="BF85" i="15"/>
  <c r="BF145" i="15" s="1"/>
  <c r="BC72" i="8"/>
  <c r="AG95" i="15"/>
  <c r="AX95" i="15"/>
  <c r="BF83" i="15"/>
  <c r="BF143" i="15" s="1"/>
  <c r="O96" i="15"/>
  <c r="O156" i="15" s="1"/>
  <c r="BG74" i="15"/>
  <c r="BG134" i="15" s="1"/>
  <c r="AB96" i="15"/>
  <c r="BG76" i="15"/>
  <c r="BG136" i="15" s="1"/>
  <c r="BF56" i="15"/>
  <c r="BF116" i="15" s="1"/>
  <c r="BF62" i="15"/>
  <c r="BF122" i="15" s="1"/>
  <c r="BB95" i="15"/>
  <c r="BF46" i="15"/>
  <c r="BF106" i="15" s="1"/>
  <c r="AO96" i="15"/>
  <c r="AO156" i="15" s="1"/>
  <c r="BG50" i="15"/>
  <c r="BG110" i="15" s="1"/>
  <c r="AJ96" i="15"/>
  <c r="BG59" i="15"/>
  <c r="BG119" i="15" s="1"/>
  <c r="AY96" i="15"/>
  <c r="AY156" i="15" s="1"/>
  <c r="BF70" i="15"/>
  <c r="BF130" i="15" s="1"/>
  <c r="BF79" i="15"/>
  <c r="BF139" i="15" s="1"/>
  <c r="BF48" i="15"/>
  <c r="BF108" i="15" s="1"/>
  <c r="BF94" i="15"/>
  <c r="BF154" i="15" s="1"/>
  <c r="AN96" i="15"/>
  <c r="BG81" i="15"/>
  <c r="BG141" i="15" s="1"/>
  <c r="BD65" i="8"/>
  <c r="E96" i="15"/>
  <c r="E156" i="15" s="1"/>
  <c r="BG90" i="15"/>
  <c r="BG150" i="15" s="1"/>
  <c r="J95" i="15"/>
  <c r="BF68" i="15"/>
  <c r="BF128" i="15" s="1"/>
  <c r="BF71" i="15"/>
  <c r="BF131" i="15" s="1"/>
  <c r="I95" i="15"/>
  <c r="I155" i="15" s="1"/>
  <c r="T96" i="15"/>
  <c r="BD54" i="8"/>
  <c r="BD52" i="8"/>
  <c r="BD60" i="8"/>
  <c r="BD84" i="8" s="1"/>
  <c r="AR96" i="15"/>
  <c r="AA95" i="15"/>
  <c r="AA155" i="15" s="1"/>
  <c r="AR95" i="15"/>
  <c r="BC61" i="8"/>
  <c r="BC85" i="8" s="1"/>
  <c r="AP95" i="15"/>
  <c r="BF82" i="15"/>
  <c r="BF142" i="15" s="1"/>
  <c r="Z96" i="15"/>
  <c r="Z156" i="15" s="1"/>
  <c r="BG95" i="15"/>
  <c r="BD66" i="8"/>
  <c r="I96" i="15"/>
  <c r="P96" i="15"/>
  <c r="BG70" i="15"/>
  <c r="BG130" i="15" s="1"/>
  <c r="S96" i="15"/>
  <c r="BG69" i="15"/>
  <c r="BG129" i="15" s="1"/>
  <c r="AP96" i="15"/>
  <c r="AP156" i="15" s="1"/>
  <c r="BE95" i="15"/>
  <c r="AI95" i="15"/>
  <c r="BF41" i="15"/>
  <c r="BC66" i="8"/>
  <c r="BF42" i="15"/>
  <c r="BC91" i="8"/>
  <c r="BF66" i="15"/>
  <c r="BF126" i="15" s="1"/>
  <c r="BF50" i="15"/>
  <c r="BF110" i="15" s="1"/>
  <c r="BG66" i="15"/>
  <c r="BG126" i="15" s="1"/>
  <c r="AV96" i="15"/>
  <c r="BD51" i="8"/>
  <c r="BD81" i="8" s="1"/>
  <c r="F96" i="15"/>
  <c r="BG54" i="15"/>
  <c r="BG114" i="15" s="1"/>
  <c r="BG91" i="15"/>
  <c r="BG151" i="15" s="1"/>
  <c r="BD58" i="8"/>
  <c r="BG82" i="15"/>
  <c r="BG142" i="15" s="1"/>
  <c r="AM96" i="15"/>
  <c r="AM156" i="15" s="1"/>
  <c r="BC59" i="8"/>
  <c r="BF78" i="15"/>
  <c r="BF138" i="15" s="1"/>
  <c r="AH95" i="15"/>
  <c r="BF74" i="15"/>
  <c r="BF134" i="15" s="1"/>
  <c r="BC51" i="8"/>
  <c r="BC81" i="8" s="1"/>
  <c r="X95" i="15"/>
  <c r="X155" i="15" s="1"/>
  <c r="AO95" i="15"/>
  <c r="S95" i="15"/>
  <c r="D95" i="15"/>
  <c r="D155" i="15" s="1"/>
  <c r="BG77" i="15"/>
  <c r="BG137" i="15" s="1"/>
  <c r="BG84" i="15"/>
  <c r="BG144" i="15" s="1"/>
  <c r="BG89" i="15"/>
  <c r="BG149" i="15" s="1"/>
  <c r="AF96" i="15"/>
  <c r="BG55" i="15"/>
  <c r="BG115" i="15" s="1"/>
  <c r="BG88" i="15"/>
  <c r="BG148" i="15" s="1"/>
  <c r="AT96" i="15"/>
  <c r="BG60" i="15"/>
  <c r="BG120" i="15" s="1"/>
  <c r="AW95" i="15"/>
  <c r="AK95" i="15"/>
  <c r="AK155" i="15" s="1"/>
  <c r="BF44" i="15"/>
  <c r="BF104" i="15" s="1"/>
  <c r="BC52" i="8"/>
  <c r="AQ95" i="15"/>
  <c r="BF59" i="15"/>
  <c r="BF119" i="15" s="1"/>
  <c r="BC53" i="8"/>
  <c r="BF55" i="15"/>
  <c r="BF115" i="15" s="1"/>
  <c r="BF64" i="15"/>
  <c r="BF124" i="15" s="1"/>
  <c r="BD64" i="8"/>
  <c r="H96" i="15"/>
  <c r="BG51" i="15"/>
  <c r="BG111" i="15" s="1"/>
  <c r="BG58" i="15"/>
  <c r="BG118" i="15" s="1"/>
  <c r="BD96" i="15"/>
  <c r="BD156" i="15" s="1"/>
  <c r="BG86" i="15"/>
  <c r="BG146" i="15" s="1"/>
  <c r="BD72" i="8"/>
  <c r="BG44" i="15"/>
  <c r="BG104" i="15" s="1"/>
  <c r="AA96" i="15"/>
  <c r="AA156" i="15" s="1"/>
  <c r="K95" i="15"/>
  <c r="BF67" i="15"/>
  <c r="BF127" i="15" s="1"/>
  <c r="T95" i="15"/>
  <c r="BF77" i="15"/>
  <c r="BF137" i="15" s="1"/>
  <c r="BC63" i="8"/>
  <c r="N95" i="15"/>
  <c r="E95" i="15"/>
  <c r="E155" i="15" s="1"/>
  <c r="BC71" i="8"/>
  <c r="F156" i="15"/>
  <c r="J155" i="15"/>
  <c r="BC75" i="8"/>
  <c r="AZ155" i="15"/>
  <c r="G155" i="15"/>
  <c r="AO155" i="15"/>
  <c r="T155" i="15"/>
  <c r="S155" i="15"/>
  <c r="AF155" i="15"/>
  <c r="K155" i="15"/>
  <c r="AJ155" i="15"/>
  <c r="M155" i="15"/>
  <c r="AQ155" i="15"/>
  <c r="AW155" i="15"/>
  <c r="W155" i="15"/>
  <c r="H155" i="15"/>
  <c r="AY155" i="15"/>
  <c r="BB155" i="15"/>
  <c r="O155" i="15"/>
  <c r="Z155" i="15"/>
  <c r="AI155" i="15"/>
  <c r="Q155" i="15"/>
  <c r="AN155" i="15"/>
  <c r="BD155" i="15"/>
  <c r="BE155" i="15"/>
  <c r="AP155" i="15"/>
  <c r="AX155" i="15"/>
  <c r="N155" i="15"/>
  <c r="AG155" i="15"/>
  <c r="AR155" i="15"/>
  <c r="AU155" i="15"/>
  <c r="F155" i="15"/>
  <c r="AM155" i="15"/>
  <c r="AD155" i="15"/>
  <c r="AT155" i="15"/>
  <c r="AH155" i="15"/>
  <c r="BC156" i="15"/>
  <c r="W156" i="15"/>
  <c r="AS156" i="15"/>
  <c r="AC156" i="15"/>
  <c r="M156" i="15"/>
  <c r="AV156" i="15"/>
  <c r="AF156" i="15"/>
  <c r="P156" i="15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N157" i="15" s="1"/>
  <c r="O97" i="15"/>
  <c r="P97" i="15"/>
  <c r="Q97" i="15"/>
  <c r="R97" i="15"/>
  <c r="R157" i="15" s="1"/>
  <c r="S97" i="15"/>
  <c r="T97" i="15"/>
  <c r="U97" i="15"/>
  <c r="V97" i="15"/>
  <c r="V157" i="15" s="1"/>
  <c r="W97" i="15"/>
  <c r="X97" i="15"/>
  <c r="Y97" i="15"/>
  <c r="Z97" i="15"/>
  <c r="Z157" i="15" s="1"/>
  <c r="AA97" i="15"/>
  <c r="AC97" i="15"/>
  <c r="AB97" i="15"/>
  <c r="AD97" i="15"/>
  <c r="AD157" i="15" s="1"/>
  <c r="AE97" i="15"/>
  <c r="AF97" i="15"/>
  <c r="AG97" i="15"/>
  <c r="AH97" i="15"/>
  <c r="AH157" i="15" s="1"/>
  <c r="AI97" i="15"/>
  <c r="AJ97" i="15"/>
  <c r="AK97" i="15"/>
  <c r="AL97" i="15"/>
  <c r="AL157" i="15" s="1"/>
  <c r="AM97" i="15"/>
  <c r="AN97" i="15"/>
  <c r="AO97" i="15"/>
  <c r="AP97" i="15"/>
  <c r="AP157" i="15" s="1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155" i="15" s="1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156" i="15" s="1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40" i="15"/>
  <c r="BH41" i="15"/>
  <c r="BH42" i="15"/>
  <c r="BH39" i="15"/>
  <c r="BH102" i="15" s="1"/>
  <c r="BJ38" i="15"/>
  <c r="B98" i="15"/>
  <c r="BE91" i="8"/>
  <c r="BE73" i="8"/>
  <c r="BE67" i="8"/>
  <c r="BE61" i="8"/>
  <c r="BE55" i="8"/>
  <c r="BD78" i="8"/>
  <c r="BE54" i="8"/>
  <c r="BE53" i="8"/>
  <c r="BE52" i="8"/>
  <c r="BE58" i="8"/>
  <c r="BE59" i="8"/>
  <c r="BE60" i="8"/>
  <c r="BE66" i="8"/>
  <c r="BE64" i="8"/>
  <c r="BE65" i="8"/>
  <c r="BE71" i="8"/>
  <c r="BE72" i="8"/>
  <c r="BE70" i="8"/>
  <c r="BD82" i="8"/>
  <c r="BE89" i="8"/>
  <c r="BE51" i="8"/>
  <c r="BE57" i="8"/>
  <c r="BE69" i="8"/>
  <c r="BE63" i="8"/>
  <c r="BE90" i="8"/>
  <c r="BE88" i="8"/>
  <c r="BE87" i="8"/>
  <c r="BD75" i="8"/>
  <c r="BF49" i="8"/>
  <c r="BF90" i="8" a="1"/>
  <c r="BI84" i="15" a="1"/>
  <c r="D98" i="15" a="1"/>
  <c r="BF54" i="8" a="1"/>
  <c r="K98" i="15" a="1"/>
  <c r="BI98" i="15" a="1"/>
  <c r="BI78" i="15" a="1"/>
  <c r="BI97" i="15" a="1"/>
  <c r="I98" i="15" a="1"/>
  <c r="BF70" i="8" a="1"/>
  <c r="BI47" i="15" a="1"/>
  <c r="AX98" i="15" a="1"/>
  <c r="AR98" i="15" a="1"/>
  <c r="AJ98" i="15" a="1"/>
  <c r="BI82" i="15" a="1"/>
  <c r="BI59" i="15" a="1"/>
  <c r="BI39" i="15" a="1"/>
  <c r="BI95" i="15" a="1"/>
  <c r="P98" i="15" a="1"/>
  <c r="BI51" i="15" a="1"/>
  <c r="AN98" i="15" a="1"/>
  <c r="AV98" i="15" a="1"/>
  <c r="BF87" i="8" a="1"/>
  <c r="BI53" i="15" a="1"/>
  <c r="BI50" i="15" a="1"/>
  <c r="AZ98" i="15" a="1"/>
  <c r="M98" i="15" a="1"/>
  <c r="BI60" i="15" a="1"/>
  <c r="BI58" i="15" a="1"/>
  <c r="BI46" i="15" a="1"/>
  <c r="BI42" i="15" a="1"/>
  <c r="AQ98" i="15" a="1"/>
  <c r="BH98" i="15" a="1"/>
  <c r="BF64" i="8" a="1"/>
  <c r="H98" i="15" a="1"/>
  <c r="AW98" i="15" a="1"/>
  <c r="BD98" i="15" a="1"/>
  <c r="F98" i="15" a="1"/>
  <c r="BI65" i="15" a="1"/>
  <c r="E98" i="15" a="1"/>
  <c r="AC98" i="15" a="1"/>
  <c r="BI89" i="15" a="1"/>
  <c r="BI91" i="15" a="1"/>
  <c r="BF52" i="8" a="1"/>
  <c r="Y98" i="15" a="1"/>
  <c r="V98" i="15" a="1"/>
  <c r="Z98" i="15" a="1"/>
  <c r="BI56" i="15" a="1"/>
  <c r="BG98" i="15" a="1"/>
  <c r="BF89" i="8" a="1"/>
  <c r="BI81" i="15" a="1"/>
  <c r="BI43" i="15" a="1"/>
  <c r="BI71" i="15" a="1"/>
  <c r="BI61" i="15" a="1"/>
  <c r="AY98" i="15" a="1"/>
  <c r="AU98" i="15" a="1"/>
  <c r="BF58" i="8" a="1"/>
  <c r="BI45" i="15" a="1"/>
  <c r="BF60" i="8" a="1"/>
  <c r="BF55" i="8" a="1"/>
  <c r="BI75" i="15" a="1"/>
  <c r="BI48" i="15" a="1"/>
  <c r="BI93" i="15" a="1"/>
  <c r="AF98" i="15" a="1"/>
  <c r="AD98" i="15" a="1"/>
  <c r="BI68" i="15" a="1"/>
  <c r="BI88" i="15" a="1"/>
  <c r="BI79" i="15" a="1"/>
  <c r="BF72" i="8" a="1"/>
  <c r="BI73" i="15" a="1"/>
  <c r="BF73" i="8" a="1"/>
  <c r="BF53" i="8" a="1"/>
  <c r="BE98" i="15" a="1"/>
  <c r="BI49" i="15" a="1"/>
  <c r="AS98" i="15" a="1"/>
  <c r="AM98" i="15" a="1"/>
  <c r="BF88" i="8" a="1"/>
  <c r="BI44" i="15" a="1"/>
  <c r="BI69" i="15" a="1"/>
  <c r="BF59" i="8" a="1"/>
  <c r="BF61" i="8" a="1"/>
  <c r="AG98" i="15" a="1"/>
  <c r="AB98" i="15" a="1"/>
  <c r="BF66" i="8" a="1"/>
  <c r="AH98" i="15" a="1"/>
  <c r="BC98" i="15" a="1"/>
  <c r="BI41" i="15" a="1"/>
  <c r="BF71" i="8" a="1"/>
  <c r="U98" i="15" a="1"/>
  <c r="BF63" i="8" a="1"/>
  <c r="C98" i="15" a="1"/>
  <c r="BI86" i="15" a="1"/>
  <c r="N98" i="15" a="1"/>
  <c r="AO98" i="15" a="1"/>
  <c r="BF91" i="8" a="1"/>
  <c r="BI67" i="15" a="1"/>
  <c r="BI63" i="15" a="1"/>
  <c r="BF57" i="8" a="1"/>
  <c r="BI40" i="15" a="1"/>
  <c r="BI70" i="15" a="1"/>
  <c r="Q98" i="15" a="1"/>
  <c r="BI55" i="15" a="1"/>
  <c r="BI77" i="15" a="1"/>
  <c r="BI94" i="15" a="1"/>
  <c r="L98" i="15" a="1"/>
  <c r="BI87" i="15" a="1"/>
  <c r="R98" i="15" a="1"/>
  <c r="AP98" i="15" a="1"/>
  <c r="G98" i="15" a="1"/>
  <c r="BI64" i="15" a="1"/>
  <c r="AI98" i="15" a="1"/>
  <c r="BI52" i="15" a="1"/>
  <c r="BI92" i="15" a="1"/>
  <c r="BF98" i="15" a="1"/>
  <c r="W98" i="15" a="1"/>
  <c r="BA98" i="15" a="1"/>
  <c r="BF51" i="8" a="1"/>
  <c r="O98" i="15" a="1"/>
  <c r="BI57" i="15" a="1"/>
  <c r="BI74" i="15" a="1"/>
  <c r="AT98" i="15" a="1"/>
  <c r="BB98" i="15" a="1"/>
  <c r="BI72" i="15" a="1"/>
  <c r="T98" i="15" a="1"/>
  <c r="BF67" i="8" a="1"/>
  <c r="BI90" i="15" a="1"/>
  <c r="S98" i="15" a="1"/>
  <c r="BI66" i="15" a="1"/>
  <c r="BI96" i="15" a="1"/>
  <c r="J98" i="15" a="1"/>
  <c r="BI76" i="15" a="1"/>
  <c r="BF65" i="8" a="1"/>
  <c r="BI83" i="15" a="1"/>
  <c r="BF69" i="8" a="1"/>
  <c r="AA98" i="15" a="1"/>
  <c r="X98" i="15" a="1"/>
  <c r="AL98" i="15" a="1"/>
  <c r="AK98" i="15" a="1"/>
  <c r="BI85" i="15" a="1"/>
  <c r="BI62" i="15" a="1"/>
  <c r="AE98" i="15" a="1"/>
  <c r="BI54" i="15" a="1"/>
  <c r="BI80" i="15" a="1"/>
  <c r="BC84" i="8" l="1"/>
  <c r="R156" i="15"/>
  <c r="BD76" i="8"/>
  <c r="AL155" i="15"/>
  <c r="L155" i="15"/>
  <c r="BC155" i="15"/>
  <c r="AV155" i="15"/>
  <c r="BC83" i="8"/>
  <c r="R155" i="15"/>
  <c r="BC79" i="8"/>
  <c r="AE155" i="15"/>
  <c r="BF155" i="15"/>
  <c r="BD83" i="8"/>
  <c r="X156" i="15"/>
  <c r="L156" i="15"/>
  <c r="V155" i="15"/>
  <c r="BC82" i="8"/>
  <c r="AH156" i="15"/>
  <c r="BF156" i="15"/>
  <c r="T156" i="15"/>
  <c r="AJ156" i="15"/>
  <c r="AZ156" i="15"/>
  <c r="Q156" i="15"/>
  <c r="AG156" i="15"/>
  <c r="AW156" i="15"/>
  <c r="K156" i="15"/>
  <c r="AQ156" i="15"/>
  <c r="BC78" i="8"/>
  <c r="BC77" i="8"/>
  <c r="J156" i="15"/>
  <c r="BB156" i="15"/>
  <c r="AX156" i="15"/>
  <c r="AL156" i="15"/>
  <c r="H156" i="15"/>
  <c r="AN156" i="15"/>
  <c r="U156" i="15"/>
  <c r="AK156" i="15"/>
  <c r="BA156" i="15"/>
  <c r="AE156" i="15"/>
  <c r="V156" i="15"/>
  <c r="AB156" i="15"/>
  <c r="AR156" i="15"/>
  <c r="I156" i="15"/>
  <c r="Y156" i="15"/>
  <c r="BE156" i="15"/>
  <c r="S156" i="15"/>
  <c r="AI156" i="15"/>
  <c r="N156" i="15"/>
  <c r="AT156" i="15"/>
  <c r="BG155" i="15"/>
  <c r="AD156" i="15"/>
  <c r="F157" i="15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F158" i="15" s="1"/>
  <c r="G98" i="15"/>
  <c r="H98" i="15"/>
  <c r="I98" i="15"/>
  <c r="K98" i="15"/>
  <c r="K158" i="15" s="1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42" i="15"/>
  <c r="BI41" i="15"/>
  <c r="BI40" i="15"/>
  <c r="BI39" i="15"/>
  <c r="BI102" i="15" s="1"/>
  <c r="BK38" i="15"/>
  <c r="B99" i="15"/>
  <c r="BE85" i="8"/>
  <c r="BF91" i="8"/>
  <c r="BF73" i="8"/>
  <c r="BF67" i="8"/>
  <c r="BF61" i="8"/>
  <c r="BF55" i="8"/>
  <c r="BE79" i="8"/>
  <c r="BE77" i="8"/>
  <c r="BE76" i="8"/>
  <c r="BF54" i="8"/>
  <c r="BF52" i="8"/>
  <c r="BF53" i="8"/>
  <c r="BF58" i="8"/>
  <c r="BF60" i="8"/>
  <c r="BF59" i="8"/>
  <c r="BF64" i="8"/>
  <c r="BF66" i="8"/>
  <c r="BF65" i="8"/>
  <c r="BF70" i="8"/>
  <c r="BF71" i="8"/>
  <c r="BF72" i="8"/>
  <c r="BE78" i="8"/>
  <c r="BE84" i="8"/>
  <c r="BF89" i="8"/>
  <c r="BF51" i="8"/>
  <c r="BF57" i="8"/>
  <c r="BF69" i="8"/>
  <c r="BF63" i="8"/>
  <c r="BF90" i="8"/>
  <c r="BF88" i="8"/>
  <c r="BF87" i="8"/>
  <c r="BE81" i="8"/>
  <c r="BE75" i="8"/>
  <c r="BE83" i="8"/>
  <c r="BG49" i="8"/>
  <c r="BE82" i="8"/>
  <c r="BG55" i="8" a="1"/>
  <c r="BG72" i="8" a="1"/>
  <c r="BJ39" i="15" a="1"/>
  <c r="BJ44" i="15" a="1"/>
  <c r="AF99" i="15" a="1"/>
  <c r="BJ53" i="15" a="1"/>
  <c r="AP99" i="15" a="1"/>
  <c r="BG60" i="8" a="1"/>
  <c r="BJ65" i="15" a="1"/>
  <c r="BG70" i="8" a="1"/>
  <c r="BD99" i="15" a="1"/>
  <c r="BJ75" i="15" a="1"/>
  <c r="BA99" i="15" a="1"/>
  <c r="BG65" i="8" a="1"/>
  <c r="AA99" i="15" a="1"/>
  <c r="AR99" i="15" a="1"/>
  <c r="AL99" i="15" a="1"/>
  <c r="BJ82" i="15" a="1"/>
  <c r="AX99" i="15" a="1"/>
  <c r="AK99" i="15" a="1"/>
  <c r="BG57" i="8" a="1"/>
  <c r="BJ71" i="15" a="1"/>
  <c r="Y99" i="15" a="1"/>
  <c r="BG87" i="8" a="1"/>
  <c r="L99" i="15" a="1"/>
  <c r="BJ74" i="15" a="1"/>
  <c r="BJ48" i="15" a="1"/>
  <c r="AB99" i="15" a="1"/>
  <c r="I99" i="15" a="1"/>
  <c r="BJ54" i="15" a="1"/>
  <c r="BJ69" i="15" a="1"/>
  <c r="BJ86" i="15" a="1"/>
  <c r="BJ50" i="15" a="1"/>
  <c r="BH99" i="15" a="1"/>
  <c r="BJ98" i="15" a="1"/>
  <c r="BJ57" i="15" a="1"/>
  <c r="BJ67" i="15" a="1"/>
  <c r="G99" i="15" a="1"/>
  <c r="BG51" i="8" a="1"/>
  <c r="BJ42" i="15" a="1"/>
  <c r="AJ99" i="15" a="1"/>
  <c r="BJ60" i="15" a="1"/>
  <c r="BG58" i="8" a="1"/>
  <c r="BJ78" i="15" a="1"/>
  <c r="AZ99" i="15" a="1"/>
  <c r="BJ72" i="15" a="1"/>
  <c r="BJ89" i="15" a="1"/>
  <c r="BJ62" i="15" a="1"/>
  <c r="BJ79" i="15" a="1"/>
  <c r="J99" i="15" a="1"/>
  <c r="AT99" i="15" a="1"/>
  <c r="S99" i="15" a="1"/>
  <c r="AG99" i="15" a="1"/>
  <c r="BJ63" i="15" a="1"/>
  <c r="BG99" i="15" a="1"/>
  <c r="BJ80" i="15" a="1"/>
  <c r="BJ81" i="15" a="1"/>
  <c r="AH99" i="15" a="1"/>
  <c r="BJ93" i="15" a="1"/>
  <c r="BJ90" i="15" a="1"/>
  <c r="BG88" i="8" a="1"/>
  <c r="T99" i="15" a="1"/>
  <c r="BJ97" i="15" a="1"/>
  <c r="BJ88" i="15" a="1"/>
  <c r="BJ94" i="15" a="1"/>
  <c r="BJ51" i="15" a="1"/>
  <c r="BG67" i="8" a="1"/>
  <c r="BJ83" i="15" a="1"/>
  <c r="AC99" i="15" a="1"/>
  <c r="BJ41" i="15" a="1"/>
  <c r="BJ96" i="15" a="1"/>
  <c r="BB99" i="15" a="1"/>
  <c r="AU99" i="15" a="1"/>
  <c r="BG73" i="8" a="1"/>
  <c r="BE99" i="15" a="1"/>
  <c r="BG71" i="8" a="1"/>
  <c r="BJ99" i="15" a="1"/>
  <c r="BJ68" i="15" a="1"/>
  <c r="BJ61" i="15" a="1"/>
  <c r="AV99" i="15" a="1"/>
  <c r="N99" i="15" a="1"/>
  <c r="M99" i="15" a="1"/>
  <c r="F99" i="15" a="1"/>
  <c r="BJ46" i="15" a="1"/>
  <c r="BJ76" i="15" a="1"/>
  <c r="BJ47" i="15" a="1"/>
  <c r="W99" i="15" a="1"/>
  <c r="Q99" i="15" a="1"/>
  <c r="BJ85" i="15" a="1"/>
  <c r="AD99" i="15" a="1"/>
  <c r="AN99" i="15" a="1"/>
  <c r="AO99" i="15" a="1"/>
  <c r="BG54" i="8" a="1"/>
  <c r="BG69" i="8" a="1"/>
  <c r="BJ95" i="15" a="1"/>
  <c r="BJ64" i="15" a="1"/>
  <c r="BF99" i="15" a="1"/>
  <c r="V99" i="15" a="1"/>
  <c r="BG52" i="8" a="1"/>
  <c r="BJ77" i="15" a="1"/>
  <c r="O99" i="15" a="1"/>
  <c r="D99" i="15" a="1"/>
  <c r="BJ55" i="15" a="1"/>
  <c r="BJ59" i="15" a="1"/>
  <c r="AQ99" i="15" a="1"/>
  <c r="BG66" i="8" a="1"/>
  <c r="X99" i="15" a="1"/>
  <c r="E99" i="15" a="1"/>
  <c r="BJ49" i="15" a="1"/>
  <c r="AS99" i="15" a="1"/>
  <c r="BJ58" i="15" a="1"/>
  <c r="BG53" i="8" a="1"/>
  <c r="Z99" i="15" a="1"/>
  <c r="BJ56" i="15" a="1"/>
  <c r="BJ70" i="15" a="1"/>
  <c r="BJ52" i="15" a="1"/>
  <c r="BG64" i="8" a="1"/>
  <c r="AY99" i="15" a="1"/>
  <c r="BG61" i="8" a="1"/>
  <c r="BG90" i="8" a="1"/>
  <c r="BJ92" i="15" a="1"/>
  <c r="BJ91" i="15" a="1"/>
  <c r="AW99" i="15" a="1"/>
  <c r="AI99" i="15" a="1"/>
  <c r="BG89" i="8" a="1"/>
  <c r="AE99" i="15" a="1"/>
  <c r="BJ43" i="15" a="1"/>
  <c r="R99" i="15" a="1"/>
  <c r="H99" i="15" a="1"/>
  <c r="U99" i="15" a="1"/>
  <c r="BG63" i="8" a="1"/>
  <c r="BG91" i="8" a="1"/>
  <c r="BC99" i="15" a="1"/>
  <c r="BJ40" i="15" a="1"/>
  <c r="BJ45" i="15" a="1"/>
  <c r="BJ73" i="15" a="1"/>
  <c r="BG59" i="8" a="1"/>
  <c r="P99" i="15" a="1"/>
  <c r="BJ66" i="15" a="1"/>
  <c r="BI99" i="15" a="1"/>
  <c r="BJ87" i="15" a="1"/>
  <c r="BJ84" i="15" a="1"/>
  <c r="C99" i="15" a="1"/>
  <c r="K99" i="15" a="1"/>
  <c r="AM99" i="15" a="1"/>
  <c r="BI158" i="15" l="1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G99" i="15"/>
  <c r="H99" i="15"/>
  <c r="I99" i="15"/>
  <c r="J99" i="15"/>
  <c r="K99" i="15"/>
  <c r="L99" i="15"/>
  <c r="M99" i="15"/>
  <c r="N99" i="15"/>
  <c r="N159" i="15" s="1"/>
  <c r="O99" i="15"/>
  <c r="P99" i="15"/>
  <c r="Q99" i="15"/>
  <c r="R99" i="15"/>
  <c r="R159" i="15" s="1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42" i="15"/>
  <c r="BJ40" i="15"/>
  <c r="BJ41" i="15"/>
  <c r="BJ39" i="15"/>
  <c r="BJ102" i="15" s="1"/>
  <c r="BL38" i="15"/>
  <c r="BF85" i="8"/>
  <c r="BF79" i="8"/>
  <c r="BG91" i="8"/>
  <c r="BG73" i="8"/>
  <c r="BG67" i="8"/>
  <c r="BG61" i="8"/>
  <c r="BG55" i="8"/>
  <c r="BF77" i="8"/>
  <c r="BF76" i="8"/>
  <c r="BG53" i="8"/>
  <c r="BG54" i="8"/>
  <c r="BG52" i="8"/>
  <c r="BG58" i="8"/>
  <c r="BG59" i="8"/>
  <c r="BG60" i="8"/>
  <c r="BG66" i="8"/>
  <c r="BG64" i="8"/>
  <c r="BG65" i="8"/>
  <c r="BG70" i="8"/>
  <c r="BG71" i="8"/>
  <c r="BG72" i="8"/>
  <c r="BF78" i="8"/>
  <c r="BF82" i="8"/>
  <c r="BG89" i="8"/>
  <c r="BG51" i="8"/>
  <c r="BG57" i="8"/>
  <c r="BG69" i="8"/>
  <c r="BG63" i="8"/>
  <c r="BG90" i="8"/>
  <c r="BG88" i="8"/>
  <c r="BG87" i="8"/>
  <c r="BF81" i="8"/>
  <c r="BF75" i="8"/>
  <c r="BH49" i="8"/>
  <c r="BF83" i="8"/>
  <c r="BF84" i="8"/>
  <c r="BK79" i="15" a="1"/>
  <c r="BK93" i="15" a="1"/>
  <c r="BK45" i="15" a="1"/>
  <c r="BK55" i="15" a="1"/>
  <c r="BK91" i="15" a="1"/>
  <c r="BK61" i="15" a="1"/>
  <c r="BH63" i="8" a="1"/>
  <c r="BK54" i="15" a="1"/>
  <c r="BK68" i="15" a="1"/>
  <c r="BK81" i="15" a="1"/>
  <c r="BH73" i="8" a="1"/>
  <c r="BK77" i="15" a="1"/>
  <c r="BK41" i="15" a="1"/>
  <c r="BK97" i="15" a="1"/>
  <c r="BK65" i="15" a="1"/>
  <c r="BH61" i="8" a="1"/>
  <c r="BK60" i="15" a="1"/>
  <c r="BK83" i="15" a="1"/>
  <c r="BH58" i="8" a="1"/>
  <c r="BK82" i="15" a="1"/>
  <c r="BK72" i="15" a="1"/>
  <c r="BH87" i="8" a="1"/>
  <c r="BK89" i="15" a="1"/>
  <c r="BK87" i="15" a="1"/>
  <c r="BH90" i="8" a="1"/>
  <c r="BH88" i="8" a="1"/>
  <c r="BK47" i="15" a="1"/>
  <c r="BK69" i="15" a="1"/>
  <c r="BH54" i="8" a="1"/>
  <c r="BK76" i="15" a="1"/>
  <c r="BH89" i="8" a="1"/>
  <c r="BK90" i="15" a="1"/>
  <c r="BH70" i="8" a="1"/>
  <c r="BK59" i="15" a="1"/>
  <c r="BK64" i="15" a="1"/>
  <c r="BK56" i="15" a="1"/>
  <c r="BK74" i="15" a="1"/>
  <c r="BH57" i="8" a="1"/>
  <c r="BK94" i="15" a="1"/>
  <c r="BK62" i="15" a="1"/>
  <c r="BK78" i="15" a="1"/>
  <c r="BK95" i="15" a="1"/>
  <c r="BH65" i="8" a="1"/>
  <c r="BH69" i="8" a="1"/>
  <c r="BH52" i="8" a="1"/>
  <c r="BK46" i="15" a="1"/>
  <c r="BH91" i="8" a="1"/>
  <c r="BK51" i="15" a="1"/>
  <c r="BK44" i="15" a="1"/>
  <c r="BK92" i="15" a="1"/>
  <c r="BH60" i="8" a="1"/>
  <c r="BK85" i="15" a="1"/>
  <c r="BK58" i="15" a="1"/>
  <c r="BK80" i="15" a="1"/>
  <c r="BK48" i="15" a="1"/>
  <c r="BK86" i="15" a="1"/>
  <c r="BK57" i="15" a="1"/>
  <c r="BK71" i="15" a="1"/>
  <c r="BK53" i="15" a="1"/>
  <c r="BK63" i="15" a="1"/>
  <c r="BH51" i="8" a="1"/>
  <c r="BK88" i="15" a="1"/>
  <c r="BH67" i="8" a="1"/>
  <c r="BK43" i="15" a="1"/>
  <c r="BK73" i="15" a="1"/>
  <c r="BK50" i="15" a="1"/>
  <c r="BK75" i="15" a="1"/>
  <c r="BK52" i="15" a="1"/>
  <c r="BH59" i="8" a="1"/>
  <c r="BH55" i="8" a="1"/>
  <c r="BK40" i="15" a="1"/>
  <c r="BH71" i="8" a="1"/>
  <c r="BK42" i="15" a="1"/>
  <c r="BK66" i="15" a="1"/>
  <c r="BH53" i="8" a="1"/>
  <c r="BK96" i="15" a="1"/>
  <c r="BK99" i="15" a="1"/>
  <c r="BK84" i="15" a="1"/>
  <c r="BK70" i="15" a="1"/>
  <c r="BK39" i="15" a="1"/>
  <c r="BH66" i="8" a="1"/>
  <c r="BK67" i="15" a="1"/>
  <c r="BK49" i="15" a="1"/>
  <c r="BH64" i="8" a="1"/>
  <c r="BK98" i="15" a="1"/>
  <c r="BH72" i="8" a="1"/>
  <c r="J159" i="15" l="1"/>
  <c r="F159" i="15"/>
  <c r="BG159" i="15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41" i="15"/>
  <c r="BK42" i="15"/>
  <c r="BK40" i="15"/>
  <c r="BK39" i="15"/>
  <c r="BK102" i="15" s="1"/>
  <c r="BM38" i="15"/>
  <c r="BG85" i="8"/>
  <c r="BG79" i="8"/>
  <c r="BH91" i="8"/>
  <c r="BH73" i="8"/>
  <c r="BH67" i="8"/>
  <c r="BH61" i="8"/>
  <c r="BH55" i="8"/>
  <c r="BG77" i="8"/>
  <c r="BG76" i="8"/>
  <c r="BH53" i="8"/>
  <c r="BH52" i="8"/>
  <c r="BH54" i="8"/>
  <c r="BH60" i="8"/>
  <c r="BH59" i="8"/>
  <c r="BH58" i="8"/>
  <c r="BH64" i="8"/>
  <c r="BH66" i="8"/>
  <c r="BH65" i="8"/>
  <c r="BH71" i="8"/>
  <c r="BH72" i="8"/>
  <c r="BH70" i="8"/>
  <c r="BG78" i="8"/>
  <c r="BG83" i="8"/>
  <c r="BH89" i="8"/>
  <c r="BH51" i="8"/>
  <c r="BH57" i="8"/>
  <c r="BH69" i="8"/>
  <c r="BH63" i="8"/>
  <c r="BH90" i="8"/>
  <c r="BH88" i="8"/>
  <c r="BH87" i="8"/>
  <c r="BI49" i="8"/>
  <c r="BG84" i="8"/>
  <c r="BG75" i="8"/>
  <c r="BG81" i="8"/>
  <c r="BG82" i="8"/>
  <c r="BL56" i="15" a="1"/>
  <c r="BL92" i="15" a="1"/>
  <c r="BL77" i="15" a="1"/>
  <c r="BI89" i="8" a="1"/>
  <c r="BI53" i="8" a="1"/>
  <c r="BL70" i="15" a="1"/>
  <c r="BL95" i="15" a="1"/>
  <c r="BI69" i="8" a="1"/>
  <c r="BI91" i="8" a="1"/>
  <c r="BI58" i="8" a="1"/>
  <c r="BI67" i="8" a="1"/>
  <c r="BL46" i="15" a="1"/>
  <c r="BL78" i="15" a="1"/>
  <c r="BL59" i="15" a="1"/>
  <c r="BL43" i="15" a="1"/>
  <c r="BI65" i="8" a="1"/>
  <c r="BL68" i="15" a="1"/>
  <c r="BL42" i="15" a="1"/>
  <c r="BL55" i="15" a="1"/>
  <c r="BL65" i="15" a="1"/>
  <c r="BI51" i="8" a="1"/>
  <c r="BL83" i="15" a="1"/>
  <c r="BL71" i="15" a="1"/>
  <c r="BL40" i="15" a="1"/>
  <c r="BL61" i="15" a="1"/>
  <c r="BL76" i="15" a="1"/>
  <c r="BL72" i="15" a="1"/>
  <c r="BL97" i="15" a="1"/>
  <c r="BL67" i="15" a="1"/>
  <c r="BL66" i="15" a="1"/>
  <c r="BL89" i="15" a="1"/>
  <c r="BL93" i="15" a="1"/>
  <c r="BI59" i="8" a="1"/>
  <c r="BL88" i="15" a="1"/>
  <c r="BI54" i="8" a="1"/>
  <c r="BL74" i="15" a="1"/>
  <c r="BL81" i="15" a="1"/>
  <c r="BL75" i="15" a="1"/>
  <c r="BI88" i="8" a="1"/>
  <c r="BL48" i="15" a="1"/>
  <c r="BI90" i="8" a="1"/>
  <c r="BL84" i="15" a="1"/>
  <c r="BL53" i="15" a="1"/>
  <c r="BI64" i="8" a="1"/>
  <c r="BL63" i="15" a="1"/>
  <c r="BL45" i="15" a="1"/>
  <c r="BI87" i="8" a="1"/>
  <c r="BL91" i="15" a="1"/>
  <c r="BL52" i="15" a="1"/>
  <c r="BL51" i="15" a="1"/>
  <c r="BL85" i="15" a="1"/>
  <c r="BL57" i="15" a="1"/>
  <c r="BL79" i="15" a="1"/>
  <c r="BI52" i="8" a="1"/>
  <c r="BL87" i="15" a="1"/>
  <c r="BL73" i="15" a="1"/>
  <c r="BI63" i="8" a="1"/>
  <c r="BL86" i="15" a="1"/>
  <c r="BI61" i="8" a="1"/>
  <c r="BL82" i="15" a="1"/>
  <c r="BL44" i="15" a="1"/>
  <c r="BL96" i="15" a="1"/>
  <c r="BL62" i="15" a="1"/>
  <c r="BL94" i="15" a="1"/>
  <c r="BL41" i="15" a="1"/>
  <c r="BI66" i="8" a="1"/>
  <c r="BL58" i="15" a="1"/>
  <c r="BL69" i="15" a="1"/>
  <c r="BL50" i="15" a="1"/>
  <c r="BL49" i="15" a="1"/>
  <c r="BL60" i="15" a="1"/>
  <c r="BI57" i="8" a="1"/>
  <c r="BL54" i="15" a="1"/>
  <c r="BI60" i="8" a="1"/>
  <c r="BI73" i="8" a="1"/>
  <c r="BI70" i="8" a="1"/>
  <c r="BL80" i="15" a="1"/>
  <c r="BL90" i="15" a="1"/>
  <c r="BL99" i="15" a="1"/>
  <c r="BL98" i="15" a="1"/>
  <c r="BL64" i="15" a="1"/>
  <c r="BL47" i="15" a="1"/>
  <c r="BI71" i="8" a="1"/>
  <c r="BI55" i="8" a="1"/>
  <c r="BL39" i="15" a="1"/>
  <c r="BI72" i="8" a="1"/>
  <c r="BL43" i="15" l="1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40" i="15"/>
  <c r="BL41" i="15"/>
  <c r="BL42" i="15"/>
  <c r="BL39" i="15"/>
  <c r="BL102" i="15" s="1"/>
  <c r="BN38" i="15"/>
  <c r="BH85" i="8"/>
  <c r="BI91" i="8"/>
  <c r="BI73" i="8"/>
  <c r="BI67" i="8"/>
  <c r="BI61" i="8"/>
  <c r="BI55" i="8"/>
  <c r="BH79" i="8"/>
  <c r="BH77" i="8"/>
  <c r="BH76" i="8"/>
  <c r="BH78" i="8"/>
  <c r="BI53" i="8"/>
  <c r="BI52" i="8"/>
  <c r="BI54" i="8"/>
  <c r="BI60" i="8"/>
  <c r="BI58" i="8"/>
  <c r="BI59" i="8"/>
  <c r="BI66" i="8"/>
  <c r="BI64" i="8"/>
  <c r="BI65" i="8"/>
  <c r="BI70" i="8"/>
  <c r="BI71" i="8"/>
  <c r="BI72" i="8"/>
  <c r="BH84" i="8"/>
  <c r="BI89" i="8"/>
  <c r="BI51" i="8"/>
  <c r="BI57" i="8"/>
  <c r="BI69" i="8"/>
  <c r="BI63" i="8"/>
  <c r="BI90" i="8"/>
  <c r="BI88" i="8"/>
  <c r="BI87" i="8"/>
  <c r="BH81" i="8"/>
  <c r="BH75" i="8"/>
  <c r="BH83" i="8"/>
  <c r="BJ49" i="8"/>
  <c r="BH82" i="8"/>
  <c r="BM80" i="15" a="1"/>
  <c r="BM58" i="15" a="1"/>
  <c r="BM99" i="15" a="1"/>
  <c r="BJ88" i="8" a="1"/>
  <c r="BM85" i="15" a="1"/>
  <c r="BJ73" i="8" a="1"/>
  <c r="BM70" i="15" a="1"/>
  <c r="BM47" i="15" a="1"/>
  <c r="BM39" i="15" a="1"/>
  <c r="BJ65" i="8" a="1"/>
  <c r="BM78" i="15" a="1"/>
  <c r="BJ91" i="8" a="1"/>
  <c r="BJ54" i="8" a="1"/>
  <c r="BM67" i="15" a="1"/>
  <c r="BJ67" i="8" a="1"/>
  <c r="BM75" i="15" a="1"/>
  <c r="BM45" i="15" a="1"/>
  <c r="BM61" i="15" a="1"/>
  <c r="BM77" i="15" a="1"/>
  <c r="BM42" i="15" a="1"/>
  <c r="BM90" i="15" a="1"/>
  <c r="BM88" i="15" a="1"/>
  <c r="BM82" i="15" a="1"/>
  <c r="BM74" i="15" a="1"/>
  <c r="BJ59" i="8" a="1"/>
  <c r="BM40" i="15" a="1"/>
  <c r="BM49" i="15" a="1"/>
  <c r="BM79" i="15" a="1"/>
  <c r="BM43" i="15" a="1"/>
  <c r="BJ89" i="8" a="1"/>
  <c r="BJ63" i="8" a="1"/>
  <c r="BM73" i="15" a="1"/>
  <c r="BJ90" i="8" a="1"/>
  <c r="BM89" i="15" a="1"/>
  <c r="BJ55" i="8" a="1"/>
  <c r="BM66" i="15" a="1"/>
  <c r="BJ58" i="8" a="1"/>
  <c r="BJ57" i="8" a="1"/>
  <c r="BM98" i="15" a="1"/>
  <c r="BJ60" i="8" a="1"/>
  <c r="BM93" i="15" a="1"/>
  <c r="BJ51" i="8" a="1"/>
  <c r="BM86" i="15" a="1"/>
  <c r="BJ70" i="8" a="1"/>
  <c r="BM44" i="15" a="1"/>
  <c r="BJ66" i="8" a="1"/>
  <c r="BM41" i="15" a="1"/>
  <c r="BM84" i="15" a="1"/>
  <c r="BM87" i="15" a="1"/>
  <c r="BJ87" i="8" a="1"/>
  <c r="BM65" i="15" a="1"/>
  <c r="BM97" i="15" a="1"/>
  <c r="BJ69" i="8" a="1"/>
  <c r="BJ71" i="8" a="1"/>
  <c r="BJ61" i="8" a="1"/>
  <c r="BM92" i="15" a="1"/>
  <c r="BM69" i="15" a="1"/>
  <c r="BM53" i="15" a="1"/>
  <c r="BM71" i="15" a="1"/>
  <c r="BM81" i="15" a="1"/>
  <c r="BJ64" i="8" a="1"/>
  <c r="BM94" i="15" a="1"/>
  <c r="BM46" i="15" a="1"/>
  <c r="BM62" i="15" a="1"/>
  <c r="BM59" i="15" a="1"/>
  <c r="BJ72" i="8" a="1"/>
  <c r="BM48" i="15" a="1"/>
  <c r="BM72" i="15" a="1"/>
  <c r="BM91" i="15" a="1"/>
  <c r="BJ52" i="8" a="1"/>
  <c r="BM56" i="15" a="1"/>
  <c r="BM96" i="15" a="1"/>
  <c r="BM63" i="15" a="1"/>
  <c r="BM95" i="15" a="1"/>
  <c r="BM51" i="15" a="1"/>
  <c r="BM52" i="15" a="1"/>
  <c r="BM57" i="15" a="1"/>
  <c r="BM83" i="15" a="1"/>
  <c r="BM76" i="15" a="1"/>
  <c r="BM55" i="15" a="1"/>
  <c r="BJ53" i="8" a="1"/>
  <c r="BM64" i="15" a="1"/>
  <c r="BM60" i="15" a="1"/>
  <c r="BM54" i="15" a="1"/>
  <c r="BM50" i="15" a="1"/>
  <c r="BM68" i="15" a="1"/>
  <c r="BM43" i="15" l="1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42" i="15"/>
  <c r="BM40" i="15"/>
  <c r="BM41" i="15"/>
  <c r="BM39" i="15"/>
  <c r="BM102" i="15" s="1"/>
  <c r="BO38" i="15"/>
  <c r="BI85" i="8"/>
  <c r="BI79" i="8"/>
  <c r="BJ91" i="8"/>
  <c r="BJ73" i="8"/>
  <c r="BJ67" i="8"/>
  <c r="BJ61" i="8"/>
  <c r="BJ55" i="8"/>
  <c r="BI76" i="8"/>
  <c r="BI77" i="8"/>
  <c r="BJ53" i="8"/>
  <c r="BJ54" i="8"/>
  <c r="BJ52" i="8"/>
  <c r="BJ60" i="8"/>
  <c r="BJ59" i="8"/>
  <c r="BJ58" i="8"/>
  <c r="BJ64" i="8"/>
  <c r="BJ65" i="8"/>
  <c r="BJ66" i="8"/>
  <c r="BJ72" i="8"/>
  <c r="BJ71" i="8"/>
  <c r="BJ70" i="8"/>
  <c r="BI78" i="8"/>
  <c r="BI82" i="8"/>
  <c r="BJ89" i="8"/>
  <c r="BJ51" i="8"/>
  <c r="BJ57" i="8"/>
  <c r="BJ69" i="8"/>
  <c r="BJ63" i="8"/>
  <c r="BJ90" i="8"/>
  <c r="BJ88" i="8"/>
  <c r="BJ87" i="8"/>
  <c r="BI81" i="8"/>
  <c r="BI75" i="8"/>
  <c r="BK49" i="8"/>
  <c r="BI83" i="8"/>
  <c r="BI84" i="8"/>
  <c r="BN50" i="15" a="1"/>
  <c r="BN59" i="15" a="1"/>
  <c r="BN45" i="15" a="1"/>
  <c r="BN65" i="15" a="1"/>
  <c r="BN87" i="15" a="1"/>
  <c r="BN71" i="15" a="1"/>
  <c r="BN72" i="15" a="1"/>
  <c r="BK88" i="8" a="1"/>
  <c r="BN91" i="15" a="1"/>
  <c r="BN81" i="15" a="1"/>
  <c r="BN44" i="15" a="1"/>
  <c r="BN79" i="15" a="1"/>
  <c r="BK61" i="8" a="1"/>
  <c r="BK69" i="8" a="1"/>
  <c r="BK89" i="8" a="1"/>
  <c r="BN80" i="15" a="1"/>
  <c r="BN97" i="15" a="1"/>
  <c r="BN53" i="15" a="1"/>
  <c r="BK54" i="8" a="1"/>
  <c r="BN49" i="15" a="1"/>
  <c r="BN90" i="15" a="1"/>
  <c r="BK66" i="8" a="1"/>
  <c r="BN85" i="15" a="1"/>
  <c r="BN39" i="15" a="1"/>
  <c r="BK87" i="8" a="1"/>
  <c r="BN93" i="15" a="1"/>
  <c r="BN41" i="15" a="1"/>
  <c r="BK70" i="8" a="1"/>
  <c r="BN46" i="15" a="1"/>
  <c r="BN47" i="15" a="1"/>
  <c r="BN68" i="15" a="1"/>
  <c r="BN89" i="15" a="1"/>
  <c r="BN63" i="15" a="1"/>
  <c r="BN70" i="15" a="1"/>
  <c r="BN66" i="15" a="1"/>
  <c r="BK53" i="8" a="1"/>
  <c r="BN67" i="15" a="1"/>
  <c r="BK71" i="8" a="1"/>
  <c r="BN61" i="15" a="1"/>
  <c r="BN40" i="15" a="1"/>
  <c r="BN84" i="15" a="1"/>
  <c r="BK90" i="8" a="1"/>
  <c r="BN94" i="15" a="1"/>
  <c r="BK72" i="8" a="1"/>
  <c r="BK60" i="8" a="1"/>
  <c r="BK58" i="8" a="1"/>
  <c r="BN69" i="15" a="1"/>
  <c r="BN51" i="15" a="1"/>
  <c r="BN56" i="15" a="1"/>
  <c r="BN96" i="15" a="1"/>
  <c r="BN74" i="15" a="1"/>
  <c r="BK57" i="8" a="1"/>
  <c r="BK52" i="8" a="1"/>
  <c r="BK51" i="8" a="1"/>
  <c r="BN62" i="15" a="1"/>
  <c r="BN42" i="15" a="1"/>
  <c r="BK65" i="8" a="1"/>
  <c r="BN98" i="15" a="1"/>
  <c r="BN76" i="15" a="1"/>
  <c r="BN92" i="15" a="1"/>
  <c r="BK59" i="8" a="1"/>
  <c r="BN54" i="15" a="1"/>
  <c r="BN88" i="15" a="1"/>
  <c r="BN82" i="15" a="1"/>
  <c r="BN75" i="15" a="1"/>
  <c r="BN99" i="15" a="1"/>
  <c r="BN43" i="15" a="1"/>
  <c r="BN58" i="15" a="1"/>
  <c r="BN77" i="15" a="1"/>
  <c r="BN55" i="15" a="1"/>
  <c r="BN48" i="15" a="1"/>
  <c r="BN86" i="15" a="1"/>
  <c r="BN78" i="15" a="1"/>
  <c r="BN73" i="15" a="1"/>
  <c r="BN95" i="15" a="1"/>
  <c r="BN52" i="15" a="1"/>
  <c r="BN83" i="15" a="1"/>
  <c r="BN60" i="15" a="1"/>
  <c r="BK63" i="8" a="1"/>
  <c r="BK64" i="8" a="1"/>
  <c r="BN64" i="15" a="1"/>
  <c r="BN57" i="15" a="1"/>
  <c r="BK55" i="8" a="1"/>
  <c r="BK91" i="8" a="1"/>
  <c r="BK67" i="8" a="1"/>
  <c r="BK73" i="8" a="1"/>
  <c r="BN44" i="15" l="1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41" i="15"/>
  <c r="BN42" i="15"/>
  <c r="BN40" i="15"/>
  <c r="BN39" i="15"/>
  <c r="BN102" i="15" s="1"/>
  <c r="BP38" i="15"/>
  <c r="BJ79" i="8"/>
  <c r="BJ85" i="8"/>
  <c r="BK91" i="8"/>
  <c r="BK73" i="8"/>
  <c r="BK67" i="8"/>
  <c r="BK61" i="8"/>
  <c r="BK55" i="8"/>
  <c r="BJ78" i="8"/>
  <c r="BJ77" i="8"/>
  <c r="BJ76" i="8"/>
  <c r="BK53" i="8"/>
  <c r="BK52" i="8"/>
  <c r="BK54" i="8"/>
  <c r="BK58" i="8"/>
  <c r="BK59" i="8"/>
  <c r="BK60" i="8"/>
  <c r="BK65" i="8"/>
  <c r="BK64" i="8"/>
  <c r="BK66" i="8"/>
  <c r="BK72" i="8"/>
  <c r="BK70" i="8"/>
  <c r="BK71" i="8"/>
  <c r="BJ83" i="8"/>
  <c r="BK89" i="8"/>
  <c r="BK51" i="8"/>
  <c r="BK57" i="8"/>
  <c r="BK69" i="8"/>
  <c r="BK63" i="8"/>
  <c r="BK90" i="8"/>
  <c r="BK88" i="8"/>
  <c r="BK87" i="8"/>
  <c r="BL49" i="8"/>
  <c r="BJ82" i="8"/>
  <c r="BJ81" i="8"/>
  <c r="BJ75" i="8"/>
  <c r="BJ84" i="8"/>
  <c r="BO71" i="15" a="1"/>
  <c r="BO62" i="15" a="1"/>
  <c r="BO88" i="15" a="1"/>
  <c r="BO52" i="15" a="1"/>
  <c r="BO94" i="15" a="1"/>
  <c r="BL53" i="8" a="1"/>
  <c r="BO99" i="15" a="1"/>
  <c r="BL91" i="8" a="1"/>
  <c r="BO56" i="15" a="1"/>
  <c r="BO53" i="15" a="1"/>
  <c r="BO40" i="15" a="1"/>
  <c r="BL67" i="8" a="1"/>
  <c r="BO70" i="15" a="1"/>
  <c r="BL72" i="8" a="1"/>
  <c r="BL73" i="8" a="1"/>
  <c r="BL58" i="8" a="1"/>
  <c r="BO96" i="15" a="1"/>
  <c r="BL55" i="8" a="1"/>
  <c r="BO69" i="15" a="1"/>
  <c r="BO73" i="15" a="1"/>
  <c r="BO55" i="15" a="1"/>
  <c r="BL89" i="8" a="1"/>
  <c r="BL51" i="8" a="1"/>
  <c r="BO45" i="15" a="1"/>
  <c r="BO72" i="15" a="1"/>
  <c r="BL54" i="8" a="1"/>
  <c r="BL71" i="8" a="1"/>
  <c r="BO54" i="15" a="1"/>
  <c r="BO50" i="15" a="1"/>
  <c r="BL63" i="8" a="1"/>
  <c r="BO82" i="15" a="1"/>
  <c r="BO95" i="15" a="1"/>
  <c r="BO98" i="15" a="1"/>
  <c r="BO91" i="15" a="1"/>
  <c r="BO89" i="15" a="1"/>
  <c r="BL61" i="8" a="1"/>
  <c r="BL64" i="8" a="1"/>
  <c r="BO79" i="15" a="1"/>
  <c r="BO59" i="15" a="1"/>
  <c r="BL88" i="8" a="1"/>
  <c r="BO65" i="15" a="1"/>
  <c r="BL52" i="8" a="1"/>
  <c r="BO44" i="15" a="1"/>
  <c r="BO42" i="15" a="1"/>
  <c r="BO80" i="15" a="1"/>
  <c r="BO83" i="15" a="1"/>
  <c r="BO68" i="15" a="1"/>
  <c r="BO43" i="15" a="1"/>
  <c r="BL69" i="8" a="1"/>
  <c r="BO93" i="15" a="1"/>
  <c r="BO57" i="15" a="1"/>
  <c r="BO64" i="15" a="1"/>
  <c r="BO75" i="15" a="1"/>
  <c r="BO63" i="15" a="1"/>
  <c r="BO41" i="15" a="1"/>
  <c r="BO60" i="15" a="1"/>
  <c r="BO97" i="15" a="1"/>
  <c r="BO86" i="15" a="1"/>
  <c r="BO77" i="15" a="1"/>
  <c r="BO87" i="15" a="1"/>
  <c r="BO85" i="15" a="1"/>
  <c r="BL90" i="8" a="1"/>
  <c r="BL59" i="8" a="1"/>
  <c r="BO76" i="15" a="1"/>
  <c r="BO74" i="15" a="1"/>
  <c r="BO81" i="15" a="1"/>
  <c r="BO47" i="15" a="1"/>
  <c r="BO46" i="15" a="1"/>
  <c r="BO78" i="15" a="1"/>
  <c r="BO66" i="15" a="1"/>
  <c r="BO67" i="15" a="1"/>
  <c r="BO39" i="15" a="1"/>
  <c r="BO58" i="15" a="1"/>
  <c r="BO61" i="15" a="1"/>
  <c r="BL66" i="8" a="1"/>
  <c r="BL87" i="8" a="1"/>
  <c r="BL70" i="8" a="1"/>
  <c r="BO48" i="15" a="1"/>
  <c r="BO90" i="15" a="1"/>
  <c r="BL65" i="8" a="1"/>
  <c r="BO51" i="15" a="1"/>
  <c r="BO84" i="15" a="1"/>
  <c r="BL60" i="8" a="1"/>
  <c r="BL57" i="8" a="1"/>
  <c r="BO49" i="15" a="1"/>
  <c r="BO92" i="15" a="1"/>
  <c r="BO44" i="15" l="1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40" i="15"/>
  <c r="BO41" i="15"/>
  <c r="BO42" i="15"/>
  <c r="BO39" i="15"/>
  <c r="BO102" i="15" s="1"/>
  <c r="BQ38" i="15"/>
  <c r="BK85" i="8"/>
  <c r="BL91" i="8"/>
  <c r="BL73" i="8"/>
  <c r="BL67" i="8"/>
  <c r="BL61" i="8"/>
  <c r="BL55" i="8"/>
  <c r="BK79" i="8"/>
  <c r="BK78" i="8"/>
  <c r="BK76" i="8"/>
  <c r="BL53" i="8"/>
  <c r="BL54" i="8"/>
  <c r="BL52" i="8"/>
  <c r="BL59" i="8"/>
  <c r="BL58" i="8"/>
  <c r="BL60" i="8"/>
  <c r="BL66" i="8"/>
  <c r="BL65" i="8"/>
  <c r="BL64" i="8"/>
  <c r="BL72" i="8"/>
  <c r="BL71" i="8"/>
  <c r="BL70" i="8"/>
  <c r="BK77" i="8"/>
  <c r="BK84" i="8"/>
  <c r="BK83" i="8"/>
  <c r="BL89" i="8"/>
  <c r="BL51" i="8"/>
  <c r="BL57" i="8"/>
  <c r="BL69" i="8"/>
  <c r="BL63" i="8"/>
  <c r="BL90" i="8"/>
  <c r="BL88" i="8"/>
  <c r="BL87" i="8"/>
  <c r="BK82" i="8"/>
  <c r="BK75" i="8"/>
  <c r="BK81" i="8"/>
  <c r="BM49" i="8"/>
  <c r="BP47" i="15" a="1"/>
  <c r="BP80" i="15" a="1"/>
  <c r="BP70" i="15" a="1"/>
  <c r="BP72" i="15" a="1"/>
  <c r="BP66" i="15" a="1"/>
  <c r="BP55" i="15" a="1"/>
  <c r="BP54" i="15" a="1"/>
  <c r="BP91" i="15" a="1"/>
  <c r="BM57" i="8" a="1"/>
  <c r="BP67" i="15" a="1"/>
  <c r="BP84" i="15" a="1"/>
  <c r="BP56" i="15" a="1"/>
  <c r="BM71" i="8" a="1"/>
  <c r="BP94" i="15" a="1"/>
  <c r="BM69" i="8" a="1"/>
  <c r="BM61" i="8" a="1"/>
  <c r="BP59" i="15" a="1"/>
  <c r="BM63" i="8" a="1"/>
  <c r="BP63" i="15" a="1"/>
  <c r="BM53" i="8" a="1"/>
  <c r="BM70" i="8" a="1"/>
  <c r="BM89" i="8" a="1"/>
  <c r="BP97" i="15" a="1"/>
  <c r="BP92" i="15" a="1"/>
  <c r="BP82" i="15" a="1"/>
  <c r="BP42" i="15" a="1"/>
  <c r="BP99" i="15" a="1"/>
  <c r="BP73" i="15" a="1"/>
  <c r="BM60" i="8" a="1"/>
  <c r="BM90" i="8" a="1"/>
  <c r="BP90" i="15" a="1"/>
  <c r="BP48" i="15" a="1"/>
  <c r="BP75" i="15" a="1"/>
  <c r="BP76" i="15" a="1"/>
  <c r="BP44" i="15" a="1"/>
  <c r="BP86" i="15" a="1"/>
  <c r="BM52" i="8" a="1"/>
  <c r="BP88" i="15" a="1"/>
  <c r="BP69" i="15" a="1"/>
  <c r="BM54" i="8" a="1"/>
  <c r="BP89" i="15" a="1"/>
  <c r="BP77" i="15" a="1"/>
  <c r="BP61" i="15" a="1"/>
  <c r="BP49" i="15" a="1"/>
  <c r="BP98" i="15" a="1"/>
  <c r="BP65" i="15" a="1"/>
  <c r="BM91" i="8" a="1"/>
  <c r="BM72" i="8" a="1"/>
  <c r="BP83" i="15" a="1"/>
  <c r="BP95" i="15" a="1"/>
  <c r="BP60" i="15" a="1"/>
  <c r="BP39" i="15" a="1"/>
  <c r="BP40" i="15" a="1"/>
  <c r="BP51" i="15" a="1"/>
  <c r="BM66" i="8" a="1"/>
  <c r="BM87" i="8" a="1"/>
  <c r="BP85" i="15" a="1"/>
  <c r="BP52" i="15" a="1"/>
  <c r="BP58" i="15" a="1"/>
  <c r="BM58" i="8" a="1"/>
  <c r="BP45" i="15" a="1"/>
  <c r="BP93" i="15" a="1"/>
  <c r="BP81" i="15" a="1"/>
  <c r="BP53" i="15" a="1"/>
  <c r="BP46" i="15" a="1"/>
  <c r="BM73" i="8" a="1"/>
  <c r="BP96" i="15" a="1"/>
  <c r="BM51" i="8" a="1"/>
  <c r="BP74" i="15" a="1"/>
  <c r="BP71" i="15" a="1"/>
  <c r="BP62" i="15" a="1"/>
  <c r="BM55" i="8" a="1"/>
  <c r="BP79" i="15" a="1"/>
  <c r="BM64" i="8" a="1"/>
  <c r="BP78" i="15" a="1"/>
  <c r="BP50" i="15" a="1"/>
  <c r="BM88" i="8" a="1"/>
  <c r="BM67" i="8" a="1"/>
  <c r="BM65" i="8" a="1"/>
  <c r="BP68" i="15" a="1"/>
  <c r="BP41" i="15" a="1"/>
  <c r="BP57" i="15" a="1"/>
  <c r="BM59" i="8" a="1"/>
  <c r="BP87" i="15" a="1"/>
  <c r="BP43" i="15" a="1"/>
  <c r="BP64" i="15" a="1"/>
  <c r="BP43" i="15" l="1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40" i="15"/>
  <c r="BP42" i="15"/>
  <c r="BP41" i="15"/>
  <c r="BP39" i="15"/>
  <c r="BP102" i="15" s="1"/>
  <c r="BR38" i="15"/>
  <c r="BL85" i="8"/>
  <c r="BM91" i="8"/>
  <c r="BM73" i="8"/>
  <c r="BM67" i="8"/>
  <c r="BM61" i="8"/>
  <c r="BM55" i="8"/>
  <c r="BL79" i="8"/>
  <c r="BL76" i="8"/>
  <c r="BL78" i="8"/>
  <c r="BM53" i="8"/>
  <c r="BM52" i="8"/>
  <c r="BM54" i="8"/>
  <c r="BM59" i="8"/>
  <c r="BM58" i="8"/>
  <c r="BM60" i="8"/>
  <c r="BM65" i="8"/>
  <c r="BM66" i="8"/>
  <c r="BM64" i="8"/>
  <c r="BM72" i="8"/>
  <c r="BM70" i="8"/>
  <c r="BM71" i="8"/>
  <c r="BL77" i="8"/>
  <c r="BL83" i="8"/>
  <c r="BM89" i="8"/>
  <c r="BM51" i="8"/>
  <c r="BM57" i="8"/>
  <c r="BM69" i="8"/>
  <c r="BM63" i="8"/>
  <c r="BM90" i="8"/>
  <c r="BM88" i="8"/>
  <c r="BM87" i="8"/>
  <c r="BL84" i="8"/>
  <c r="BN49" i="8"/>
  <c r="BL81" i="8"/>
  <c r="BL75" i="8"/>
  <c r="BL82" i="8"/>
  <c r="BQ39" i="15" a="1"/>
  <c r="BQ83" i="15" a="1"/>
  <c r="BN69" i="8" a="1"/>
  <c r="BQ71" i="15" a="1"/>
  <c r="BQ72" i="15" a="1"/>
  <c r="BQ49" i="15" a="1"/>
  <c r="BN52" i="8" a="1"/>
  <c r="BQ40" i="15" a="1"/>
  <c r="BQ61" i="15" a="1"/>
  <c r="BN90" i="8" a="1"/>
  <c r="BQ54" i="15" a="1"/>
  <c r="BQ91" i="15" a="1"/>
  <c r="BN58" i="8" a="1"/>
  <c r="BQ98" i="15" a="1"/>
  <c r="BQ70" i="15" a="1"/>
  <c r="BQ63" i="15" a="1"/>
  <c r="BQ51" i="15" a="1"/>
  <c r="BQ87" i="15" a="1"/>
  <c r="BQ48" i="15" a="1"/>
  <c r="BQ73" i="15" a="1"/>
  <c r="BQ82" i="15" a="1"/>
  <c r="BQ55" i="15" a="1"/>
  <c r="BQ89" i="15" a="1"/>
  <c r="BQ41" i="15" a="1"/>
  <c r="BN63" i="8" a="1"/>
  <c r="BN51" i="8" a="1"/>
  <c r="BQ77" i="15" a="1"/>
  <c r="BN91" i="8" a="1"/>
  <c r="BQ78" i="15" a="1"/>
  <c r="BQ94" i="15" a="1"/>
  <c r="BQ46" i="15" a="1"/>
  <c r="BN70" i="8" a="1"/>
  <c r="BQ65" i="15" a="1"/>
  <c r="BN89" i="8" a="1"/>
  <c r="BN64" i="8" a="1"/>
  <c r="BQ60" i="15" a="1"/>
  <c r="BQ57" i="15" a="1"/>
  <c r="BN53" i="8" a="1"/>
  <c r="BQ69" i="15" a="1"/>
  <c r="BQ43" i="15" a="1"/>
  <c r="BQ81" i="15" a="1"/>
  <c r="BN55" i="8" a="1"/>
  <c r="BN66" i="8" a="1"/>
  <c r="BQ58" i="15" a="1"/>
  <c r="BQ86" i="15" a="1"/>
  <c r="BN65" i="8" a="1"/>
  <c r="BN87" i="8" a="1"/>
  <c r="BQ44" i="15" a="1"/>
  <c r="BQ99" i="15" a="1"/>
  <c r="BN73" i="8" a="1"/>
  <c r="BN59" i="8" a="1"/>
  <c r="BQ47" i="15" a="1"/>
  <c r="BN72" i="8" a="1"/>
  <c r="BN61" i="8" a="1"/>
  <c r="BQ96" i="15" a="1"/>
  <c r="BQ64" i="15" a="1"/>
  <c r="BN88" i="8" a="1"/>
  <c r="BQ50" i="15" a="1"/>
  <c r="BQ45" i="15" a="1"/>
  <c r="BQ75" i="15" a="1"/>
  <c r="BQ85" i="15" a="1"/>
  <c r="BQ62" i="15" a="1"/>
  <c r="BQ80" i="15" a="1"/>
  <c r="BQ76" i="15" a="1"/>
  <c r="BN54" i="8" a="1"/>
  <c r="BQ74" i="15" a="1"/>
  <c r="BQ79" i="15" a="1"/>
  <c r="BQ52" i="15" a="1"/>
  <c r="BQ84" i="15" a="1"/>
  <c r="BQ68" i="15" a="1"/>
  <c r="BQ90" i="15" a="1"/>
  <c r="BQ92" i="15" a="1"/>
  <c r="BN57" i="8" a="1"/>
  <c r="BQ93" i="15" a="1"/>
  <c r="BQ67" i="15" a="1"/>
  <c r="BQ59" i="15" a="1"/>
  <c r="BQ66" i="15" a="1"/>
  <c r="BQ53" i="15" a="1"/>
  <c r="BN71" i="8" a="1"/>
  <c r="BQ95" i="15" a="1"/>
  <c r="BQ56" i="15" a="1"/>
  <c r="BN60" i="8" a="1"/>
  <c r="BQ97" i="15" a="1"/>
  <c r="BN67" i="8" a="1"/>
  <c r="BQ42" i="15" a="1"/>
  <c r="BQ88" i="15" a="1"/>
  <c r="BQ58" i="15" l="1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42" i="15"/>
  <c r="BQ41" i="15"/>
  <c r="BQ40" i="15"/>
  <c r="BQ39" i="15"/>
  <c r="BQ102" i="15" s="1"/>
  <c r="BS38" i="15"/>
  <c r="BM85" i="8"/>
  <c r="BN91" i="8"/>
  <c r="BN73" i="8"/>
  <c r="BN67" i="8"/>
  <c r="BN61" i="8"/>
  <c r="BN55" i="8"/>
  <c r="BM79" i="8"/>
  <c r="BM77" i="8"/>
  <c r="BM76" i="8"/>
  <c r="BN54" i="8"/>
  <c r="BN52" i="8"/>
  <c r="BN53" i="8"/>
  <c r="BN59" i="8"/>
  <c r="BN60" i="8"/>
  <c r="BN58" i="8"/>
  <c r="BN65" i="8"/>
  <c r="BN66" i="8"/>
  <c r="BN64" i="8"/>
  <c r="BN71" i="8"/>
  <c r="BN70" i="8"/>
  <c r="BN72" i="8"/>
  <c r="BM78" i="8"/>
  <c r="BM82" i="8"/>
  <c r="BN89" i="8"/>
  <c r="BN51" i="8"/>
  <c r="BN57" i="8"/>
  <c r="BN69" i="8"/>
  <c r="BN63" i="8"/>
  <c r="BN90" i="8"/>
  <c r="BN88" i="8"/>
  <c r="BN87" i="8"/>
  <c r="BM75" i="8"/>
  <c r="BM81" i="8"/>
  <c r="BO49" i="8"/>
  <c r="BM83" i="8"/>
  <c r="BM84" i="8"/>
  <c r="BO71" i="8" a="1"/>
  <c r="BR92" i="15" a="1"/>
  <c r="BR74" i="15" a="1"/>
  <c r="BR57" i="15" a="1"/>
  <c r="BR66" i="15" a="1"/>
  <c r="BR93" i="15" a="1"/>
  <c r="BR94" i="15" a="1"/>
  <c r="BR87" i="15" a="1"/>
  <c r="BR95" i="15" a="1"/>
  <c r="BR86" i="15" a="1"/>
  <c r="BR77" i="15" a="1"/>
  <c r="BR58" i="15" a="1"/>
  <c r="BR45" i="15" a="1"/>
  <c r="BO53" i="8" a="1"/>
  <c r="BR99" i="15" a="1"/>
  <c r="BO73" i="8" a="1"/>
  <c r="BR51" i="15" a="1"/>
  <c r="BR82" i="15" a="1"/>
  <c r="BO91" i="8" a="1"/>
  <c r="BO65" i="8" a="1"/>
  <c r="BO89" i="8" a="1"/>
  <c r="BO61" i="8" a="1"/>
  <c r="BO60" i="8" a="1"/>
  <c r="BO88" i="8" a="1"/>
  <c r="BR75" i="15" a="1"/>
  <c r="BO58" i="8" a="1"/>
  <c r="BR39" i="15" a="1"/>
  <c r="BR84" i="15" a="1"/>
  <c r="BR42" i="15" a="1"/>
  <c r="BO69" i="8" a="1"/>
  <c r="BR78" i="15" a="1"/>
  <c r="BR97" i="15" a="1"/>
  <c r="BR52" i="15" a="1"/>
  <c r="BR70" i="15" a="1"/>
  <c r="BO51" i="8" a="1"/>
  <c r="BR88" i="15" a="1"/>
  <c r="BR80" i="15" a="1"/>
  <c r="BR43" i="15" a="1"/>
  <c r="BR60" i="15" a="1"/>
  <c r="BR61" i="15" a="1"/>
  <c r="BO87" i="8" a="1"/>
  <c r="BR73" i="15" a="1"/>
  <c r="BR90" i="15" a="1"/>
  <c r="BO64" i="8" a="1"/>
  <c r="BR79" i="15" a="1"/>
  <c r="BO59" i="8" a="1"/>
  <c r="BR56" i="15" a="1"/>
  <c r="BO90" i="8" a="1"/>
  <c r="BR96" i="15" a="1"/>
  <c r="BR83" i="15" a="1"/>
  <c r="BR48" i="15" a="1"/>
  <c r="BR47" i="15" a="1"/>
  <c r="BR81" i="15" a="1"/>
  <c r="BR59" i="15" a="1"/>
  <c r="BR72" i="15" a="1"/>
  <c r="BO70" i="8" a="1"/>
  <c r="BR76" i="15" a="1"/>
  <c r="BO67" i="8" a="1"/>
  <c r="BO66" i="8" a="1"/>
  <c r="BO57" i="8" a="1"/>
  <c r="BO72" i="8" a="1"/>
  <c r="BR63" i="15" a="1"/>
  <c r="BR46" i="15" a="1"/>
  <c r="BR50" i="15" a="1"/>
  <c r="BR49" i="15" a="1"/>
  <c r="BR53" i="15" a="1"/>
  <c r="BR85" i="15" a="1"/>
  <c r="BO52" i="8" a="1"/>
  <c r="BR67" i="15" a="1"/>
  <c r="BO54" i="8" a="1"/>
  <c r="BR55" i="15" a="1"/>
  <c r="BR41" i="15" a="1"/>
  <c r="BR98" i="15" a="1"/>
  <c r="BR54" i="15" a="1"/>
  <c r="BR44" i="15" a="1"/>
  <c r="BR89" i="15" a="1"/>
  <c r="BO55" i="8" a="1"/>
  <c r="BR69" i="15" a="1"/>
  <c r="BR40" i="15" a="1"/>
  <c r="BR62" i="15" a="1"/>
  <c r="BR65" i="15" a="1"/>
  <c r="BR71" i="15" a="1"/>
  <c r="BO63" i="8" a="1"/>
  <c r="BR91" i="15" a="1"/>
  <c r="BR68" i="15" a="1"/>
  <c r="BR64" i="15" a="1"/>
  <c r="BR46" i="15" l="1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41" i="15"/>
  <c r="BR42" i="15"/>
  <c r="BR40" i="15"/>
  <c r="BR39" i="15"/>
  <c r="BR102" i="15" s="1"/>
  <c r="BT38" i="15"/>
  <c r="BN79" i="8"/>
  <c r="BN85" i="8"/>
  <c r="BO91" i="8"/>
  <c r="BO73" i="8"/>
  <c r="BO67" i="8"/>
  <c r="BO61" i="8"/>
  <c r="BO55" i="8"/>
  <c r="BN76" i="8"/>
  <c r="BO54" i="8"/>
  <c r="BO52" i="8"/>
  <c r="BO53" i="8"/>
  <c r="BO60" i="8"/>
  <c r="BO58" i="8"/>
  <c r="BO59" i="8"/>
  <c r="BO64" i="8"/>
  <c r="BO65" i="8"/>
  <c r="BO66" i="8"/>
  <c r="BO72" i="8"/>
  <c r="BO70" i="8"/>
  <c r="BO71" i="8"/>
  <c r="BN77" i="8"/>
  <c r="BN78" i="8"/>
  <c r="BN82" i="8"/>
  <c r="BO89" i="8"/>
  <c r="BO51" i="8"/>
  <c r="BO57" i="8"/>
  <c r="BO69" i="8"/>
  <c r="BO63" i="8"/>
  <c r="BO90" i="8"/>
  <c r="BO88" i="8"/>
  <c r="BO87" i="8"/>
  <c r="BN84" i="8"/>
  <c r="BN75" i="8"/>
  <c r="BN81" i="8"/>
  <c r="BP49" i="8"/>
  <c r="BN83" i="8"/>
  <c r="BS90" i="15" a="1"/>
  <c r="BS88" i="15" a="1"/>
  <c r="BP66" i="8" a="1"/>
  <c r="BS66" i="15" a="1"/>
  <c r="BS95" i="15" a="1"/>
  <c r="BS96" i="15" a="1"/>
  <c r="BS54" i="15" a="1"/>
  <c r="BS73" i="15" a="1"/>
  <c r="BS87" i="15" a="1"/>
  <c r="BS92" i="15" a="1"/>
  <c r="BS83" i="15" a="1"/>
  <c r="BS65" i="15" a="1"/>
  <c r="BS63" i="15" a="1"/>
  <c r="BS47" i="15" a="1"/>
  <c r="BS59" i="15" a="1"/>
  <c r="BS41" i="15" a="1"/>
  <c r="BS94" i="15" a="1"/>
  <c r="BP89" i="8" a="1"/>
  <c r="BS77" i="15" a="1"/>
  <c r="BS56" i="15" a="1"/>
  <c r="BP69" i="8" a="1"/>
  <c r="BS82" i="15" a="1"/>
  <c r="BS45" i="15" a="1"/>
  <c r="BS49" i="15" a="1"/>
  <c r="BS70" i="15" a="1"/>
  <c r="BP53" i="8" a="1"/>
  <c r="BP70" i="8" a="1"/>
  <c r="BS39" i="15" a="1"/>
  <c r="BS69" i="15" a="1"/>
  <c r="BP67" i="8" a="1"/>
  <c r="BS60" i="15" a="1"/>
  <c r="BP90" i="8" a="1"/>
  <c r="BS72" i="15" a="1"/>
  <c r="BS99" i="15" a="1"/>
  <c r="BS71" i="15" a="1"/>
  <c r="BS50" i="15" a="1"/>
  <c r="BP55" i="8" a="1"/>
  <c r="BP64" i="8" a="1"/>
  <c r="BS97" i="15" a="1"/>
  <c r="BS48" i="15" a="1"/>
  <c r="BP87" i="8" a="1"/>
  <c r="BS67" i="15" a="1"/>
  <c r="BP54" i="8" a="1"/>
  <c r="BP52" i="8" a="1"/>
  <c r="BS62" i="15" a="1"/>
  <c r="BP71" i="8" a="1"/>
  <c r="BS42" i="15" a="1"/>
  <c r="BS51" i="15" a="1"/>
  <c r="BS46" i="15" a="1"/>
  <c r="BP51" i="8" a="1"/>
  <c r="BS84" i="15" a="1"/>
  <c r="BP91" i="8" a="1"/>
  <c r="BS93" i="15" a="1"/>
  <c r="BS64" i="15" a="1"/>
  <c r="BS43" i="15" a="1"/>
  <c r="BS61" i="15" a="1"/>
  <c r="BP88" i="8" a="1"/>
  <c r="BS44" i="15" a="1"/>
  <c r="BP61" i="8" a="1"/>
  <c r="BS98" i="15" a="1"/>
  <c r="BS68" i="15" a="1"/>
  <c r="BS74" i="15" a="1"/>
  <c r="BP63" i="8" a="1"/>
  <c r="BP57" i="8" a="1"/>
  <c r="BP73" i="8" a="1"/>
  <c r="BS57" i="15" a="1"/>
  <c r="BS40" i="15" a="1"/>
  <c r="BS75" i="15" a="1"/>
  <c r="BS58" i="15" a="1"/>
  <c r="BS81" i="15" a="1"/>
  <c r="BP60" i="8" a="1"/>
  <c r="BS53" i="15" a="1"/>
  <c r="BS80" i="15" a="1"/>
  <c r="BS79" i="15" a="1"/>
  <c r="BP59" i="8" a="1"/>
  <c r="BP65" i="8" a="1"/>
  <c r="BS91" i="15" a="1"/>
  <c r="BS52" i="15" a="1"/>
  <c r="BS86" i="15" a="1"/>
  <c r="BS85" i="15" a="1"/>
  <c r="BS76" i="15" a="1"/>
  <c r="BS78" i="15" a="1"/>
  <c r="BS89" i="15" a="1"/>
  <c r="BP58" i="8" a="1"/>
  <c r="BP72" i="8" a="1"/>
  <c r="BS55" i="15" a="1"/>
  <c r="BS43" i="15" l="1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42" i="15"/>
  <c r="BS41" i="15"/>
  <c r="BS40" i="15"/>
  <c r="BS39" i="15"/>
  <c r="BS102" i="15" s="1"/>
  <c r="BU38" i="15"/>
  <c r="BO85" i="8"/>
  <c r="BO79" i="8"/>
  <c r="BP91" i="8"/>
  <c r="BP73" i="8"/>
  <c r="BP67" i="8"/>
  <c r="BP61" i="8"/>
  <c r="BP55" i="8"/>
  <c r="BO76" i="8"/>
  <c r="BO77" i="8"/>
  <c r="BP52" i="8"/>
  <c r="BP53" i="8"/>
  <c r="BP54" i="8"/>
  <c r="BP58" i="8"/>
  <c r="BP60" i="8"/>
  <c r="BP59" i="8"/>
  <c r="BP66" i="8"/>
  <c r="BP64" i="8"/>
  <c r="BP65" i="8"/>
  <c r="BP70" i="8"/>
  <c r="BP71" i="8"/>
  <c r="BP72" i="8"/>
  <c r="BO78" i="8"/>
  <c r="BO83" i="8"/>
  <c r="BP89" i="8"/>
  <c r="BP51" i="8"/>
  <c r="BP57" i="8"/>
  <c r="BP69" i="8"/>
  <c r="BP63" i="8"/>
  <c r="BP90" i="8"/>
  <c r="BP88" i="8"/>
  <c r="BP87" i="8"/>
  <c r="BQ49" i="8"/>
  <c r="BO82" i="8"/>
  <c r="BO75" i="8"/>
  <c r="BO81" i="8"/>
  <c r="BO84" i="8"/>
  <c r="BQ72" i="8" a="1"/>
  <c r="BT62" i="15" a="1"/>
  <c r="BT76" i="15" a="1"/>
  <c r="BQ59" i="8" a="1"/>
  <c r="BT79" i="15" a="1"/>
  <c r="BT82" i="15" a="1"/>
  <c r="BQ91" i="8" a="1"/>
  <c r="BQ53" i="8" a="1"/>
  <c r="BQ67" i="8" a="1"/>
  <c r="BT41" i="15" a="1"/>
  <c r="BT98" i="15" a="1"/>
  <c r="BQ90" i="8" a="1"/>
  <c r="BQ58" i="8" a="1"/>
  <c r="BQ57" i="8" a="1"/>
  <c r="BT44" i="15" a="1"/>
  <c r="BT56" i="15" a="1"/>
  <c r="BT77" i="15" a="1"/>
  <c r="BT39" i="15" a="1"/>
  <c r="BT91" i="15" a="1"/>
  <c r="BT75" i="15" a="1"/>
  <c r="BQ70" i="8" a="1"/>
  <c r="BQ52" i="8" a="1"/>
  <c r="BT86" i="15" a="1"/>
  <c r="BT73" i="15" a="1"/>
  <c r="BT69" i="15" a="1"/>
  <c r="BT94" i="15" a="1"/>
  <c r="BT84" i="15" a="1"/>
  <c r="BQ69" i="8" a="1"/>
  <c r="BQ61" i="8" a="1"/>
  <c r="BT67" i="15" a="1"/>
  <c r="BT63" i="15" a="1"/>
  <c r="BT51" i="15" a="1"/>
  <c r="BT61" i="15" a="1"/>
  <c r="BT88" i="15" a="1"/>
  <c r="BQ64" i="8" a="1"/>
  <c r="BT90" i="15" a="1"/>
  <c r="BT92" i="15" a="1"/>
  <c r="BT46" i="15" a="1"/>
  <c r="BT55" i="15" a="1"/>
  <c r="BT52" i="15" a="1"/>
  <c r="BT85" i="15" a="1"/>
  <c r="BT50" i="15" a="1"/>
  <c r="BT72" i="15" a="1"/>
  <c r="BT64" i="15" a="1"/>
  <c r="BT54" i="15" a="1"/>
  <c r="BT81" i="15" a="1"/>
  <c r="BQ54" i="8" a="1"/>
  <c r="BT87" i="15" a="1"/>
  <c r="BT97" i="15" a="1"/>
  <c r="BQ66" i="8" a="1"/>
  <c r="BT70" i="15" a="1"/>
  <c r="BQ73" i="8" a="1"/>
  <c r="BQ71" i="8" a="1"/>
  <c r="BT74" i="15" a="1"/>
  <c r="BT57" i="15" a="1"/>
  <c r="BT45" i="15" a="1"/>
  <c r="BQ51" i="8" a="1"/>
  <c r="BQ63" i="8" a="1"/>
  <c r="BQ88" i="8" a="1"/>
  <c r="BT68" i="15" a="1"/>
  <c r="BT60" i="15" a="1"/>
  <c r="BT53" i="15" a="1"/>
  <c r="BT80" i="15" a="1"/>
  <c r="BT42" i="15" a="1"/>
  <c r="BT99" i="15" a="1"/>
  <c r="BT78" i="15" a="1"/>
  <c r="BT59" i="15" a="1"/>
  <c r="BT65" i="15" a="1"/>
  <c r="BQ65" i="8" a="1"/>
  <c r="BT40" i="15" a="1"/>
  <c r="BQ55" i="8" a="1"/>
  <c r="BT89" i="15" a="1"/>
  <c r="BQ89" i="8" a="1"/>
  <c r="BT49" i="15" a="1"/>
  <c r="BT96" i="15" a="1"/>
  <c r="BT43" i="15" a="1"/>
  <c r="BT95" i="15" a="1"/>
  <c r="BQ60" i="8" a="1"/>
  <c r="BT93" i="15" a="1"/>
  <c r="BT58" i="15" a="1"/>
  <c r="BT71" i="15" a="1"/>
  <c r="BT83" i="15" a="1"/>
  <c r="BT48" i="15" a="1"/>
  <c r="BQ87" i="8" a="1"/>
  <c r="BT47" i="15" a="1"/>
  <c r="BT66" i="15" a="1"/>
  <c r="BT43" i="15" l="1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40" i="15"/>
  <c r="BT42" i="15"/>
  <c r="BT41" i="15"/>
  <c r="BT39" i="15"/>
  <c r="BT102" i="15" s="1"/>
  <c r="BV38" i="15"/>
  <c r="BP85" i="8"/>
  <c r="BP79" i="8"/>
  <c r="BQ91" i="8"/>
  <c r="BQ73" i="8"/>
  <c r="BQ67" i="8"/>
  <c r="BQ61" i="8"/>
  <c r="BQ55" i="8"/>
  <c r="BP78" i="8"/>
  <c r="BP77" i="8"/>
  <c r="BQ52" i="8"/>
  <c r="BQ54" i="8"/>
  <c r="BQ53" i="8"/>
  <c r="BQ58" i="8"/>
  <c r="BQ60" i="8"/>
  <c r="BQ59" i="8"/>
  <c r="BQ65" i="8"/>
  <c r="BQ64" i="8"/>
  <c r="BQ66" i="8"/>
  <c r="BQ71" i="8"/>
  <c r="BQ72" i="8"/>
  <c r="BQ70" i="8"/>
  <c r="BP76" i="8"/>
  <c r="BP82" i="8"/>
  <c r="BP84" i="8"/>
  <c r="BQ89" i="8"/>
  <c r="BQ51" i="8"/>
  <c r="BQ57" i="8"/>
  <c r="BQ69" i="8"/>
  <c r="BQ63" i="8"/>
  <c r="BQ90" i="8"/>
  <c r="BQ88" i="8"/>
  <c r="BQ87" i="8"/>
  <c r="BP75" i="8"/>
  <c r="BP81" i="8"/>
  <c r="BR49" i="8"/>
  <c r="BP83" i="8"/>
  <c r="BR58" i="8" a="1"/>
  <c r="BU54" i="15" a="1"/>
  <c r="BU67" i="15" a="1"/>
  <c r="BU41" i="15" a="1"/>
  <c r="BU64" i="15" a="1"/>
  <c r="BR60" i="8" a="1"/>
  <c r="BU92" i="15" a="1"/>
  <c r="BU60" i="15" a="1"/>
  <c r="BU89" i="15" a="1"/>
  <c r="BU99" i="15" a="1"/>
  <c r="BU44" i="15" a="1"/>
  <c r="BU62" i="15" a="1"/>
  <c r="BR70" i="8" a="1"/>
  <c r="BU80" i="15" a="1"/>
  <c r="BR89" i="8" a="1"/>
  <c r="BU82" i="15" a="1"/>
  <c r="BU53" i="15" a="1"/>
  <c r="BU75" i="15" a="1"/>
  <c r="BR67" i="8" a="1"/>
  <c r="BU79" i="15" a="1"/>
  <c r="BU87" i="15" a="1"/>
  <c r="BR88" i="8" a="1"/>
  <c r="BU45" i="15" a="1"/>
  <c r="BR55" i="8" a="1"/>
  <c r="BU39" i="15" a="1"/>
  <c r="BR72" i="8" a="1"/>
  <c r="BU90" i="15" a="1"/>
  <c r="BR73" i="8" a="1"/>
  <c r="BR91" i="8" a="1"/>
  <c r="BR64" i="8" a="1"/>
  <c r="BR90" i="8" a="1"/>
  <c r="BU43" i="15" a="1"/>
  <c r="BU91" i="15" a="1"/>
  <c r="BU77" i="15" a="1"/>
  <c r="BR71" i="8" a="1"/>
  <c r="BU63" i="15" a="1"/>
  <c r="BU95" i="15" a="1"/>
  <c r="BU81" i="15" a="1"/>
  <c r="BU78" i="15" a="1"/>
  <c r="BR87" i="8" a="1"/>
  <c r="BU76" i="15" a="1"/>
  <c r="BR61" i="8" a="1"/>
  <c r="BU97" i="15" a="1"/>
  <c r="BU84" i="15" a="1"/>
  <c r="BU57" i="15" a="1"/>
  <c r="BU52" i="15" a="1"/>
  <c r="BU69" i="15" a="1"/>
  <c r="BR69" i="8" a="1"/>
  <c r="BU68" i="15" a="1"/>
  <c r="BU65" i="15" a="1"/>
  <c r="BU59" i="15" a="1"/>
  <c r="BR54" i="8" a="1"/>
  <c r="BU51" i="15" a="1"/>
  <c r="BU74" i="15" a="1"/>
  <c r="BU61" i="15" a="1"/>
  <c r="BU71" i="15" a="1"/>
  <c r="BR51" i="8" a="1"/>
  <c r="BU49" i="15" a="1"/>
  <c r="BU50" i="15" a="1"/>
  <c r="BR57" i="8" a="1"/>
  <c r="BU93" i="15" a="1"/>
  <c r="BU48" i="15" a="1"/>
  <c r="BR52" i="8" a="1"/>
  <c r="BR66" i="8" a="1"/>
  <c r="BU72" i="15" a="1"/>
  <c r="BU96" i="15" a="1"/>
  <c r="BR59" i="8" a="1"/>
  <c r="BR65" i="8" a="1"/>
  <c r="BU42" i="15" a="1"/>
  <c r="BU47" i="15" a="1"/>
  <c r="BU86" i="15" a="1"/>
  <c r="BU56" i="15" a="1"/>
  <c r="BU40" i="15" a="1"/>
  <c r="BU88" i="15" a="1"/>
  <c r="BU94" i="15" a="1"/>
  <c r="BU73" i="15" a="1"/>
  <c r="BU46" i="15" a="1"/>
  <c r="BU70" i="15" a="1"/>
  <c r="BU58" i="15" a="1"/>
  <c r="BU83" i="15" a="1"/>
  <c r="BU55" i="15" a="1"/>
  <c r="BV39" i="15" a="1"/>
  <c r="BR63" i="8" a="1"/>
  <c r="BR53" i="8" a="1"/>
  <c r="BU66" i="15" a="1"/>
  <c r="BU98" i="15" a="1"/>
  <c r="BU85" i="15" a="1"/>
  <c r="BU44" i="15" l="1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U40" i="15"/>
  <c r="BU42" i="15"/>
  <c r="BU41" i="15"/>
  <c r="BV39" i="15"/>
  <c r="BV102" i="15" s="1"/>
  <c r="BU39" i="15"/>
  <c r="BU102" i="15" s="1"/>
  <c r="BQ79" i="8"/>
  <c r="BQ85" i="8"/>
  <c r="BR91" i="8"/>
  <c r="BR73" i="8"/>
  <c r="BR67" i="8"/>
  <c r="BR61" i="8"/>
  <c r="BR55" i="8"/>
  <c r="BQ76" i="8"/>
  <c r="BQ78" i="8"/>
  <c r="BR53" i="8"/>
  <c r="BR54" i="8"/>
  <c r="BR52" i="8"/>
  <c r="BR58" i="8"/>
  <c r="BR59" i="8"/>
  <c r="BR60" i="8"/>
  <c r="BR66" i="8"/>
  <c r="BR64" i="8"/>
  <c r="BR65" i="8"/>
  <c r="BR70" i="8"/>
  <c r="BR72" i="8"/>
  <c r="BR71" i="8"/>
  <c r="BQ77" i="8"/>
  <c r="BQ84" i="8"/>
  <c r="BQ83" i="8"/>
  <c r="BR89" i="8"/>
  <c r="BR51" i="8"/>
  <c r="BR57" i="8"/>
  <c r="BR69" i="8"/>
  <c r="BR63" i="8"/>
  <c r="BR90" i="8"/>
  <c r="BR88" i="8"/>
  <c r="BR87" i="8"/>
  <c r="BQ75" i="8"/>
  <c r="BQ81" i="8"/>
  <c r="BS49" i="8"/>
  <c r="BQ82" i="8"/>
  <c r="BS59" i="8" a="1"/>
  <c r="BS91" i="8" a="1"/>
  <c r="BV80" i="15" a="1"/>
  <c r="BV47" i="15" a="1"/>
  <c r="BV86" i="15" a="1"/>
  <c r="BS89" i="8" a="1"/>
  <c r="BV64" i="15" a="1"/>
  <c r="BS63" i="8" a="1"/>
  <c r="BS70" i="8" a="1"/>
  <c r="BV51" i="15" a="1"/>
  <c r="BV66" i="15" a="1"/>
  <c r="BV45" i="15" a="1"/>
  <c r="BS90" i="8" a="1"/>
  <c r="BV63" i="15" a="1"/>
  <c r="BS57" i="8" a="1"/>
  <c r="BV99" i="15" a="1"/>
  <c r="BV70" i="15" a="1"/>
  <c r="BV49" i="15" a="1"/>
  <c r="BV79" i="15" a="1"/>
  <c r="BV67" i="15" a="1"/>
  <c r="BV53" i="15" a="1"/>
  <c r="BS58" i="8" a="1"/>
  <c r="BV54" i="15" a="1"/>
  <c r="BV91" i="15" a="1"/>
  <c r="BS54" i="8" a="1"/>
  <c r="BV56" i="15" a="1"/>
  <c r="BV52" i="15" a="1"/>
  <c r="BV58" i="15" a="1"/>
  <c r="BS71" i="8" a="1"/>
  <c r="BV89" i="15" a="1"/>
  <c r="BS64" i="8" a="1"/>
  <c r="BS60" i="8" a="1"/>
  <c r="BV78" i="15" a="1"/>
  <c r="BV44" i="15" a="1"/>
  <c r="BS55" i="8" a="1"/>
  <c r="BV62" i="15" a="1"/>
  <c r="BV65" i="15" a="1"/>
  <c r="BV88" i="15" a="1"/>
  <c r="BV77" i="15" a="1"/>
  <c r="BV93" i="15" a="1"/>
  <c r="BV48" i="15" a="1"/>
  <c r="BV84" i="15" a="1"/>
  <c r="BV55" i="15" a="1"/>
  <c r="BS67" i="8" a="1"/>
  <c r="BV94" i="15" a="1"/>
  <c r="BV41" i="15" a="1"/>
  <c r="BS88" i="8" a="1"/>
  <c r="BS65" i="8" a="1"/>
  <c r="BV50" i="15" a="1"/>
  <c r="BV59" i="15" a="1"/>
  <c r="BV73" i="15" a="1"/>
  <c r="BV97" i="15" a="1"/>
  <c r="BV46" i="15" a="1"/>
  <c r="BS66" i="8" a="1"/>
  <c r="BS87" i="8" a="1"/>
  <c r="BS69" i="8" a="1"/>
  <c r="BV92" i="15" a="1"/>
  <c r="BV43" i="15" a="1"/>
  <c r="BS73" i="8" a="1"/>
  <c r="BV68" i="15" a="1"/>
  <c r="BV83" i="15" a="1"/>
  <c r="BV82" i="15" a="1"/>
  <c r="BV60" i="15" a="1"/>
  <c r="BV69" i="15" a="1"/>
  <c r="BV74" i="15" a="1"/>
  <c r="BV72" i="15" a="1"/>
  <c r="BS61" i="8" a="1"/>
  <c r="BV61" i="15" a="1"/>
  <c r="BV85" i="15" a="1"/>
  <c r="BV40" i="15" a="1"/>
  <c r="BS53" i="8" a="1"/>
  <c r="BV96" i="15" a="1"/>
  <c r="BV87" i="15" a="1"/>
  <c r="BV81" i="15" a="1"/>
  <c r="BV75" i="15" a="1"/>
  <c r="BV90" i="15" a="1"/>
  <c r="BS72" i="8" a="1"/>
  <c r="BV95" i="15" a="1"/>
  <c r="BV98" i="15" a="1"/>
  <c r="BV57" i="15" a="1"/>
  <c r="BV71" i="15" a="1"/>
  <c r="BS52" i="8" a="1"/>
  <c r="BV42" i="15" a="1"/>
  <c r="BV76" i="15" a="1"/>
  <c r="BS51" i="8" a="1"/>
  <c r="BV53" i="15" l="1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V41" i="15"/>
  <c r="BV42" i="15"/>
  <c r="BV40" i="15"/>
  <c r="BR85" i="8"/>
  <c r="BS91" i="8"/>
  <c r="BS73" i="8"/>
  <c r="BS67" i="8"/>
  <c r="BS61" i="8"/>
  <c r="BS55" i="8"/>
  <c r="BR79" i="8"/>
  <c r="BR77" i="8"/>
  <c r="BR76" i="8"/>
  <c r="BS54" i="8"/>
  <c r="BS53" i="8"/>
  <c r="BS52" i="8"/>
  <c r="BS59" i="8"/>
  <c r="BS58" i="8"/>
  <c r="BS60" i="8"/>
  <c r="BS64" i="8"/>
  <c r="BS65" i="8"/>
  <c r="BS66" i="8"/>
  <c r="BS70" i="8"/>
  <c r="BS72" i="8"/>
  <c r="BS71" i="8"/>
  <c r="BR78" i="8"/>
  <c r="BR84" i="8"/>
  <c r="BS89" i="8"/>
  <c r="BS51" i="8"/>
  <c r="BS57" i="8"/>
  <c r="BS69" i="8"/>
  <c r="BS63" i="8"/>
  <c r="BS90" i="8"/>
  <c r="BS88" i="8"/>
  <c r="BS87" i="8"/>
  <c r="BR83" i="8"/>
  <c r="BR81" i="8"/>
  <c r="BR75" i="8"/>
  <c r="BT49" i="8"/>
  <c r="BR82" i="8"/>
  <c r="BT61" i="8" a="1"/>
  <c r="BT90" i="8" a="1"/>
  <c r="BT88" i="8" a="1"/>
  <c r="BT55" i="8" a="1"/>
  <c r="BT70" i="8" a="1"/>
  <c r="BT51" i="8" a="1"/>
  <c r="BT59" i="8" a="1"/>
  <c r="BT57" i="8" a="1"/>
  <c r="BT89" i="8" a="1"/>
  <c r="BT52" i="8" a="1"/>
  <c r="BT67" i="8" a="1"/>
  <c r="BT91" i="8" a="1"/>
  <c r="BT73" i="8" a="1"/>
  <c r="BT65" i="8" a="1"/>
  <c r="BT72" i="8" a="1"/>
  <c r="BT58" i="8" a="1"/>
  <c r="BT60" i="8" a="1"/>
  <c r="BT53" i="8" a="1"/>
  <c r="BT63" i="8" a="1"/>
  <c r="BT54" i="8" a="1"/>
  <c r="BT66" i="8" a="1"/>
  <c r="BT69" i="8" a="1"/>
  <c r="BT71" i="8" a="1"/>
  <c r="BT87" i="8" a="1"/>
  <c r="BT64" i="8" a="1"/>
  <c r="BS85" i="8" l="1"/>
  <c r="BT91" i="8"/>
  <c r="BT73" i="8"/>
  <c r="BT67" i="8"/>
  <c r="BT61" i="8"/>
  <c r="BT55" i="8"/>
  <c r="BS79" i="8"/>
  <c r="BS76" i="8"/>
  <c r="BT54" i="8"/>
  <c r="BT53" i="8"/>
  <c r="BT52" i="8"/>
  <c r="BT58" i="8"/>
  <c r="BT59" i="8"/>
  <c r="BT60" i="8"/>
  <c r="BT64" i="8"/>
  <c r="BT65" i="8"/>
  <c r="BT66" i="8"/>
  <c r="BT71" i="8"/>
  <c r="BT70" i="8"/>
  <c r="BT72" i="8"/>
  <c r="BS77" i="8"/>
  <c r="BS78" i="8"/>
  <c r="BS84" i="8"/>
  <c r="BS83" i="8"/>
  <c r="BT89" i="8"/>
  <c r="BT51" i="8"/>
  <c r="BT57" i="8"/>
  <c r="BT69" i="8"/>
  <c r="BT63" i="8"/>
  <c r="BT90" i="8"/>
  <c r="BT88" i="8"/>
  <c r="BT87" i="8"/>
  <c r="BS81" i="8"/>
  <c r="BS75" i="8"/>
  <c r="BU49" i="8"/>
  <c r="BS82" i="8"/>
  <c r="BU89" i="8" a="1"/>
  <c r="BU72" i="8" a="1"/>
  <c r="BU88" i="8" a="1"/>
  <c r="BU61" i="8" a="1"/>
  <c r="BU91" i="8" a="1"/>
  <c r="BU90" i="8" a="1"/>
  <c r="BU71" i="8" a="1"/>
  <c r="BU87" i="8" a="1"/>
  <c r="BU59" i="8" a="1"/>
  <c r="BU55" i="8" a="1"/>
  <c r="BU58" i="8" a="1"/>
  <c r="BU64" i="8" a="1"/>
  <c r="BU65" i="8" a="1"/>
  <c r="BU70" i="8" a="1"/>
  <c r="BU51" i="8" a="1"/>
  <c r="BU54" i="8" a="1"/>
  <c r="BU66" i="8" a="1"/>
  <c r="BU63" i="8" a="1"/>
  <c r="BU73" i="8" a="1"/>
  <c r="BU57" i="8" a="1"/>
  <c r="BU60" i="8" a="1"/>
  <c r="BU69" i="8" a="1"/>
  <c r="BU52" i="8" a="1"/>
  <c r="BU53" i="8" a="1"/>
  <c r="BU67" i="8" a="1"/>
  <c r="BT79" i="8" l="1"/>
  <c r="BT85" i="8"/>
  <c r="BU91" i="8"/>
  <c r="BU73" i="8"/>
  <c r="BU67" i="8"/>
  <c r="BU61" i="8"/>
  <c r="BU55" i="8"/>
  <c r="BT76" i="8"/>
  <c r="BU54" i="8"/>
  <c r="BU52" i="8"/>
  <c r="BU53" i="8"/>
  <c r="BU58" i="8"/>
  <c r="BU60" i="8"/>
  <c r="BU59" i="8"/>
  <c r="BU66" i="8"/>
  <c r="BU64" i="8"/>
  <c r="BU65" i="8"/>
  <c r="BU72" i="8"/>
  <c r="BU71" i="8"/>
  <c r="BU70" i="8"/>
  <c r="BT78" i="8"/>
  <c r="BT77" i="8"/>
  <c r="BT84" i="8"/>
  <c r="BT82" i="8"/>
  <c r="BU89" i="8"/>
  <c r="BU51" i="8"/>
  <c r="BU57" i="8"/>
  <c r="BU69" i="8"/>
  <c r="BU63" i="8"/>
  <c r="BU90" i="8"/>
  <c r="BU88" i="8"/>
  <c r="BU87" i="8"/>
  <c r="BT75" i="8"/>
  <c r="BT81" i="8"/>
  <c r="BV49" i="8"/>
  <c r="BT83" i="8"/>
  <c r="BV72" i="8" a="1"/>
  <c r="BV55" i="8" a="1"/>
  <c r="BV69" i="8" a="1"/>
  <c r="BV58" i="8" a="1"/>
  <c r="BV51" i="8" a="1"/>
  <c r="BV64" i="8" a="1"/>
  <c r="BV63" i="8" a="1"/>
  <c r="BV71" i="8" a="1"/>
  <c r="BV70" i="8" a="1"/>
  <c r="BV57" i="8" a="1"/>
  <c r="BV53" i="8" a="1"/>
  <c r="BV59" i="8" a="1"/>
  <c r="BV89" i="8" a="1"/>
  <c r="BV67" i="8" a="1"/>
  <c r="BV66" i="8" a="1"/>
  <c r="BV73" i="8" a="1"/>
  <c r="BV60" i="8" a="1"/>
  <c r="BV90" i="8" a="1"/>
  <c r="BV87" i="8" a="1"/>
  <c r="BV61" i="8" a="1"/>
  <c r="BV65" i="8" a="1"/>
  <c r="BV54" i="8" a="1"/>
  <c r="BV52" i="8" a="1"/>
  <c r="BV91" i="8" a="1"/>
  <c r="BV88" i="8" a="1"/>
  <c r="BU79" i="8" l="1"/>
  <c r="BU85" i="8"/>
  <c r="BV91" i="8"/>
  <c r="BV73" i="8"/>
  <c r="BV67" i="8"/>
  <c r="BV61" i="8"/>
  <c r="BV55" i="8"/>
  <c r="BU76" i="8"/>
  <c r="BU77" i="8"/>
  <c r="BV54" i="8"/>
  <c r="BV52" i="8"/>
  <c r="BV53" i="8"/>
  <c r="BV59" i="8"/>
  <c r="BV58" i="8"/>
  <c r="BV60" i="8"/>
  <c r="BV64" i="8"/>
  <c r="BV66" i="8"/>
  <c r="BV65" i="8"/>
  <c r="BV71" i="8"/>
  <c r="BV70" i="8"/>
  <c r="BV72" i="8"/>
  <c r="BU78" i="8"/>
  <c r="BU83" i="8"/>
  <c r="BV89" i="8"/>
  <c r="BV51" i="8"/>
  <c r="BV57" i="8"/>
  <c r="BV69" i="8"/>
  <c r="BV63" i="8"/>
  <c r="BV90" i="8"/>
  <c r="BV88" i="8"/>
  <c r="BV87" i="8"/>
  <c r="BU82" i="8"/>
  <c r="BU75" i="8"/>
  <c r="BU81" i="8"/>
  <c r="BU84" i="8"/>
  <c r="BV85" i="8" l="1"/>
  <c r="BV79" i="8"/>
  <c r="BV77" i="8"/>
  <c r="BV76" i="8"/>
  <c r="BV78" i="8"/>
  <c r="BV84" i="8"/>
  <c r="BV82" i="8"/>
  <c r="BV81" i="8"/>
  <c r="BV75" i="8"/>
  <c r="BV8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<sst xmlns="http://schemas.openxmlformats.org/spreadsheetml/2006/main" count="616" uniqueCount="186">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</sst>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Dashboard'!$C$52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Dashboard'!$E$70:$BV$70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Dashboard'!$D$76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Dashboard'!$E$76:$BV$76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Dashboard'!$D$58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Dashboard'!$E$58:$BV$58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Dashboard'!$D$82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Dashboard'!$E$82:$BV$82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Dashboard'!$C$53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Dashboard'!$E$71:$BV$71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Dashboard'!$D$77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Dashboard'!$E$77:$BV$77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9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138</c:v>
                </c:pt>
                <c:pt idx="53">
                  <c:v>138</c:v>
                </c:pt>
                <c:pt idx="54">
                  <c:v>268</c:v>
                </c:pt>
                <c:pt idx="55">
                  <c:v>285</c:v>
                </c:pt>
                <c:pt idx="56">
                  <c:v>415</c:v>
                </c:pt>
                <c:pt idx="57">
                  <c:v>507</c:v>
                </c:pt>
                <c:pt idx="58">
                  <c:v>747</c:v>
                </c:pt>
                <c:pt idx="59">
                  <c:v>743</c:v>
                </c:pt>
                <c:pt idx="60">
                  <c:v>736</c:v>
                </c:pt>
                <c:pt idx="61">
                  <c:v>1028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Dashboard'!$D$59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Dashboard'!$E$59:$BV$59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Dashboard'!$D$83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8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Dashboard'!$C$54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Dashboard'!$D$72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Dashboard'!$E$72:$BV$72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17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Dashboard'!$D$78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Dashboard'!$E$78:$BV$78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2111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Dashboard'!$E$60:$BV$60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Dashboard'!$D$84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34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Dashboard'!$C$55</c:f>
          <c:strCache>
            <c:ptCount val="1"/>
            <c:pt idx="0">
              <c:v>Switzerland Berne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Dashboard'!$E$73:$BV$73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Dashboard'!$D$79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Dashboard'!$E$79:$BV$79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122</c:v>
                </c:pt>
                <c:pt idx="55">
                  <c:v>122</c:v>
                </c:pt>
                <c:pt idx="56">
                  <c:v>192</c:v>
                </c:pt>
                <c:pt idx="57">
                  <c:v>281</c:v>
                </c:pt>
                <c:pt idx="58">
                  <c:v>375</c:v>
                </c:pt>
                <c:pt idx="59">
                  <c:v>415</c:v>
                </c:pt>
                <c:pt idx="60">
                  <c:v>415</c:v>
                </c:pt>
                <c:pt idx="61">
                  <c:v>465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Dashboard'!$E$61:$BV$61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Dashboard'!$D$85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General</c:formatCode>
                <c:ptCount val="70"/>
                <c:pt idx="0">
                  <c:v>50</c:v>
                </c:pt>
                <c:pt idx="1">
                  <c:v>70.710678119999997</c:v>
                </c:pt>
                <c:pt idx="2">
                  <c:v>100.0000000038</c:v>
                </c:pt>
                <c:pt idx="3">
                  <c:v>141.42135624540001</c:v>
                </c:pt>
                <c:pt idx="4">
                  <c:v>200.00000001519999</c:v>
                </c:pt>
                <c:pt idx="5">
                  <c:v>282.84271250149999</c:v>
                </c:pt>
                <c:pt idx="6">
                  <c:v>400.00000004560002</c:v>
                </c:pt>
                <c:pt idx="7">
                  <c:v>565.68542502449998</c:v>
                </c:pt>
                <c:pt idx="8">
                  <c:v>800.00000012170005</c:v>
                </c:pt>
                <c:pt idx="9">
                  <c:v>1131.3708500921</c:v>
                </c:pt>
                <c:pt idx="10">
                  <c:v>1600.0000003043001</c:v>
                </c:pt>
                <c:pt idx="11">
                  <c:v>2262.7417002703</c:v>
                </c:pt>
                <c:pt idx="12">
                  <c:v>3200.0000007303001</c:v>
                </c:pt>
                <c:pt idx="13">
                  <c:v>4525.4834007128002</c:v>
                </c:pt>
                <c:pt idx="14">
                  <c:v>6400.0000017041002</c:v>
                </c:pt>
                <c:pt idx="15">
                  <c:v>9050.9668017700005</c:v>
                </c:pt>
                <c:pt idx="16">
                  <c:v>12800.0000038953</c:v>
                </c:pt>
                <c:pt idx="17">
                  <c:v>18101.933604228801</c:v>
                </c:pt>
                <c:pt idx="18">
                  <c:v>25600.000008764699</c:v>
                </c:pt>
                <c:pt idx="19">
                  <c:v>36203.867209835204</c:v>
                </c:pt>
                <c:pt idx="20">
                  <c:v>51200.0000194776</c:v>
                </c:pt>
                <c:pt idx="21">
                  <c:v>72407.734422425507</c:v>
                </c:pt>
                <c:pt idx="22">
                  <c:v>102400.0000428515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50</c:v>
                </c:pt>
                <c:pt idx="1">
                  <c:v>57.434917749999997</c:v>
                </c:pt>
                <c:pt idx="2">
                  <c:v>65.975395539000004</c:v>
                </c:pt>
                <c:pt idx="3">
                  <c:v>75.785828326100003</c:v>
                </c:pt>
                <c:pt idx="4">
                  <c:v>87.055056330499994</c:v>
                </c:pt>
                <c:pt idx="5">
                  <c:v>100.00000000129999</c:v>
                </c:pt>
                <c:pt idx="6">
                  <c:v>114.86983550150001</c:v>
                </c:pt>
                <c:pt idx="7">
                  <c:v>131.9507910797</c:v>
                </c:pt>
                <c:pt idx="8">
                  <c:v>151.57165665420001</c:v>
                </c:pt>
                <c:pt idx="9">
                  <c:v>174.11011266329999</c:v>
                </c:pt>
                <c:pt idx="10">
                  <c:v>200.00000000520001</c:v>
                </c:pt>
                <c:pt idx="11">
                  <c:v>229.73967100600001</c:v>
                </c:pt>
                <c:pt idx="12">
                  <c:v>263.90158216280003</c:v>
                </c:pt>
                <c:pt idx="13">
                  <c:v>303.14331331229999</c:v>
                </c:pt>
                <c:pt idx="14">
                  <c:v>348.22022533109998</c:v>
                </c:pt>
                <c:pt idx="15">
                  <c:v>400.00000001559999</c:v>
                </c:pt>
                <c:pt idx="16">
                  <c:v>459.47934201790002</c:v>
                </c:pt>
                <c:pt idx="17">
                  <c:v>527.8031643324</c:v>
                </c:pt>
                <c:pt idx="18">
                  <c:v>606.28662663240004</c:v>
                </c:pt>
                <c:pt idx="19">
                  <c:v>696.44045067110005</c:v>
                </c:pt>
                <c:pt idx="20">
                  <c:v>800.00000004139997</c:v>
                </c:pt>
                <c:pt idx="21">
                  <c:v>918.95868404759995</c:v>
                </c:pt>
                <c:pt idx="22">
                  <c:v>1055.6063286783999</c:v>
                </c:pt>
                <c:pt idx="23">
                  <c:v>1212.5732532805</c:v>
                </c:pt>
                <c:pt idx="24">
                  <c:v>1392.8809013603</c:v>
                </c:pt>
                <c:pt idx="25">
                  <c:v>1600.0000001035</c:v>
                </c:pt>
                <c:pt idx="26">
                  <c:v>1837.9173681189</c:v>
                </c:pt>
                <c:pt idx="27">
                  <c:v>2111.2126573841001</c:v>
                </c:pt>
                <c:pt idx="28">
                  <c:v>2425.1465065922998</c:v>
                </c:pt>
                <c:pt idx="29">
                  <c:v>2785.7618027566</c:v>
                </c:pt>
                <c:pt idx="30">
                  <c:v>3200.0000002482998</c:v>
                </c:pt>
                <c:pt idx="31">
                  <c:v>3675.8347362852001</c:v>
                </c:pt>
                <c:pt idx="32">
                  <c:v>4222.4253148226999</c:v>
                </c:pt>
                <c:pt idx="33">
                  <c:v>4850.2930132472002</c:v>
                </c:pt>
                <c:pt idx="34">
                  <c:v>5571.5236055851001</c:v>
                </c:pt>
                <c:pt idx="35">
                  <c:v>6400.0000005792999</c:v>
                </c:pt>
                <c:pt idx="36">
                  <c:v>7351.6694726653996</c:v>
                </c:pt>
                <c:pt idx="37">
                  <c:v>8444.8506297544991</c:v>
                </c:pt>
                <c:pt idx="38">
                  <c:v>9700.5860266196996</c:v>
                </c:pt>
                <c:pt idx="39">
                  <c:v>11143.047211314</c:v>
                </c:pt>
                <c:pt idx="40">
                  <c:v>12800.0000013237</c:v>
                </c:pt>
                <c:pt idx="41">
                  <c:v>14703.3389455205</c:v>
                </c:pt>
                <c:pt idx="42">
                  <c:v>16889.7012597268</c:v>
                </c:pt>
                <c:pt idx="43">
                  <c:v>19401.172053489601</c:v>
                </c:pt>
                <c:pt idx="44">
                  <c:v>22286.094422915499</c:v>
                </c:pt>
                <c:pt idx="45">
                  <c:v>25600.0000029777</c:v>
                </c:pt>
                <c:pt idx="46">
                  <c:v>29406.677891420499</c:v>
                </c:pt>
                <c:pt idx="47">
                  <c:v>33779.402519889598</c:v>
                </c:pt>
                <c:pt idx="48">
                  <c:v>38802.344107479999</c:v>
                </c:pt>
                <c:pt idx="49">
                  <c:v>44572.188846406199</c:v>
                </c:pt>
                <c:pt idx="50">
                  <c:v>51200.000006616203</c:v>
                </c:pt>
                <c:pt idx="51">
                  <c:v>58813.355783600004</c:v>
                </c:pt>
                <c:pt idx="52">
                  <c:v>67558.805040651103</c:v>
                </c:pt>
                <c:pt idx="53">
                  <c:v>77604.688215961607</c:v>
                </c:pt>
                <c:pt idx="54">
                  <c:v>89144.377693963004</c:v>
                </c:pt>
                <c:pt idx="55">
                  <c:v>102400.000014554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50</c:v>
                </c:pt>
                <c:pt idx="1">
                  <c:v>53.588673125</c:v>
                </c:pt>
                <c:pt idx="2">
                  <c:v>57.434917746000004</c:v>
                </c:pt>
                <c:pt idx="3">
                  <c:v>61.557220661000002</c:v>
                </c:pt>
                <c:pt idx="4">
                  <c:v>65.975395529699995</c:v>
                </c:pt>
                <c:pt idx="5">
                  <c:v>70.710678106700001</c:v>
                </c:pt>
                <c:pt idx="6">
                  <c:v>75.785828310100001</c:v>
                </c:pt>
                <c:pt idx="7">
                  <c:v>81.225239616300001</c:v>
                </c:pt>
                <c:pt idx="8">
                  <c:v>87.055056305999997</c:v>
                </c:pt>
                <c:pt idx="9">
                  <c:v>93.303299125199999</c:v>
                </c:pt>
                <c:pt idx="10">
                  <c:v>99.999999966100006</c:v>
                </c:pt>
                <c:pt idx="11">
                  <c:v>107.17734621370001</c:v>
                </c:pt>
                <c:pt idx="12">
                  <c:v>114.86983545299999</c:v>
                </c:pt>
                <c:pt idx="13">
                  <c:v>123.1144412803</c:v>
                </c:pt>
                <c:pt idx="14">
                  <c:v>131.9507910147</c:v>
                </c:pt>
                <c:pt idx="15">
                  <c:v>141.4213561654</c:v>
                </c:pt>
                <c:pt idx="16">
                  <c:v>151.57165656879999</c:v>
                </c:pt>
                <c:pt idx="17">
                  <c:v>162.45047917759999</c:v>
                </c:pt>
                <c:pt idx="18">
                  <c:v>174.11011255299999</c:v>
                </c:pt>
                <c:pt idx="19">
                  <c:v>186.60659818720001</c:v>
                </c:pt>
                <c:pt idx="20">
                  <c:v>199.9999998644</c:v>
                </c:pt>
                <c:pt idx="21">
                  <c:v>214.35469235470001</c:v>
                </c:pt>
                <c:pt idx="22">
                  <c:v>229.7396708281</c:v>
                </c:pt>
                <c:pt idx="23">
                  <c:v>246.22888247700001</c:v>
                </c:pt>
                <c:pt idx="24">
                  <c:v>263.90158193989998</c:v>
                </c:pt>
                <c:pt idx="25">
                  <c:v>282.84271223500002</c:v>
                </c:pt>
                <c:pt idx="26">
                  <c:v>303.14331303500001</c:v>
                </c:pt>
                <c:pt idx="27">
                  <c:v>324.9009582452</c:v>
                </c:pt>
                <c:pt idx="28">
                  <c:v>348.22022498799998</c:v>
                </c:pt>
                <c:pt idx="29">
                  <c:v>373.21319624789999</c:v>
                </c:pt>
                <c:pt idx="30">
                  <c:v>399.9999995933</c:v>
                </c:pt>
                <c:pt idx="31">
                  <c:v>428.70938456409999</c:v>
                </c:pt>
                <c:pt idx="32">
                  <c:v>459.47934150050003</c:v>
                </c:pt>
                <c:pt idx="33">
                  <c:v>492.45776478720001</c:v>
                </c:pt>
                <c:pt idx="34">
                  <c:v>527.80316370100002</c:v>
                </c:pt>
                <c:pt idx="35">
                  <c:v>565.68542427830005</c:v>
                </c:pt>
                <c:pt idx="36">
                  <c:v>606.28662586450002</c:v>
                </c:pt>
                <c:pt idx="37">
                  <c:v>649.80191627019997</c:v>
                </c:pt>
                <c:pt idx="38">
                  <c:v>696.44044973999996</c:v>
                </c:pt>
                <c:pt idx="39">
                  <c:v>746.42639224289996</c:v>
                </c:pt>
                <c:pt idx="40">
                  <c:v>799.99999891560003</c:v>
                </c:pt>
                <c:pt idx="41">
                  <c:v>857.41876883780003</c:v>
                </c:pt>
                <c:pt idx="42">
                  <c:v>918.95868268979996</c:v>
                </c:pt>
                <c:pt idx="43">
                  <c:v>984.91552924090001</c:v>
                </c:pt>
                <c:pt idx="44">
                  <c:v>1055.6063270444999</c:v>
                </c:pt>
                <c:pt idx="45">
                  <c:v>1131.3708481734</c:v>
                </c:pt>
                <c:pt idx="46">
                  <c:v>1212.5732513184</c:v>
                </c:pt>
                <c:pt idx="47">
                  <c:v>1299.6038321004</c:v>
                </c:pt>
                <c:pt idx="48">
                  <c:v>1392.8808990084999</c:v>
                </c:pt>
                <c:pt idx="49">
                  <c:v>1492.8527839804999</c:v>
                </c:pt>
                <c:pt idx="50">
                  <c:v>1599.9999972895</c:v>
                </c:pt>
                <c:pt idx="51">
                  <c:v>1714.837537095</c:v>
                </c:pt>
                <c:pt idx="52">
                  <c:v>1837.9173647573</c:v>
                </c:pt>
                <c:pt idx="53">
                  <c:v>1969.8310578148</c:v>
                </c:pt>
                <c:pt idx="54">
                  <c:v>2111.2126533741998</c:v>
                </c:pt>
                <c:pt idx="55">
                  <c:v>2262.7416955806998</c:v>
                </c:pt>
                <c:pt idx="56">
                  <c:v>2425.1465018156</c:v>
                </c:pt>
                <c:pt idx="57">
                  <c:v>2599.2076633206998</c:v>
                </c:pt>
                <c:pt idx="58">
                  <c:v>2785.7617970738002</c:v>
                </c:pt>
                <c:pt idx="59">
                  <c:v>2985.70556695</c:v>
                </c:pt>
                <c:pt idx="60">
                  <c:v>3199.9999934954999</c:v>
                </c:pt>
                <c:pt idx="61">
                  <c:v>3429.6750730285999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52</c:v>
                </c:pt>
                <c:pt idx="1">
                  <c:v>67</c:v>
                </c:pt>
                <c:pt idx="2">
                  <c:v>101</c:v>
                </c:pt>
                <c:pt idx="3">
                  <c:v>118</c:v>
                </c:pt>
                <c:pt idx="4">
                  <c:v>168</c:v>
                </c:pt>
                <c:pt idx="5">
                  <c:v>168</c:v>
                </c:pt>
                <c:pt idx="6">
                  <c:v>232</c:v>
                </c:pt>
                <c:pt idx="7">
                  <c:v>241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73</c:v>
                </c:pt>
                <c:pt idx="1">
                  <c:v>92</c:v>
                </c:pt>
                <c:pt idx="2">
                  <c:v>100</c:v>
                </c:pt>
                <c:pt idx="3">
                  <c:v>100</c:v>
                </c:pt>
                <c:pt idx="4">
                  <c:v>144</c:v>
                </c:pt>
                <c:pt idx="5">
                  <c:v>165</c:v>
                </c:pt>
                <c:pt idx="6">
                  <c:v>182</c:v>
                </c:pt>
                <c:pt idx="7">
                  <c:v>222</c:v>
                </c:pt>
                <c:pt idx="8">
                  <c:v>272</c:v>
                </c:pt>
                <c:pt idx="9">
                  <c:v>299</c:v>
                </c:pt>
                <c:pt idx="10">
                  <c:v>358</c:v>
                </c:pt>
                <c:pt idx="11">
                  <c:v>376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54</c:v>
                </c:pt>
                <c:pt idx="1">
                  <c:v>76</c:v>
                </c:pt>
                <c:pt idx="2">
                  <c:v>89</c:v>
                </c:pt>
                <c:pt idx="3">
                  <c:v>116</c:v>
                </c:pt>
                <c:pt idx="4">
                  <c:v>134</c:v>
                </c:pt>
                <c:pt idx="5">
                  <c:v>184</c:v>
                </c:pt>
                <c:pt idx="6">
                  <c:v>282</c:v>
                </c:pt>
                <c:pt idx="7">
                  <c:v>289</c:v>
                </c:pt>
                <c:pt idx="8">
                  <c:v>302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123</c:v>
                </c:pt>
                <c:pt idx="1">
                  <c:v>123</c:v>
                </c:pt>
                <c:pt idx="2">
                  <c:v>193</c:v>
                </c:pt>
                <c:pt idx="3">
                  <c:v>282</c:v>
                </c:pt>
                <c:pt idx="4">
                  <c:v>377</c:v>
                </c:pt>
                <c:pt idx="5">
                  <c:v>418</c:v>
                </c:pt>
                <c:pt idx="6">
                  <c:v>418</c:v>
                </c:pt>
                <c:pt idx="7">
                  <c:v>470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59</c:v>
                </c:pt>
                <c:pt idx="1">
                  <c:v>66</c:v>
                </c:pt>
                <c:pt idx="2">
                  <c:v>80</c:v>
                </c:pt>
                <c:pt idx="3">
                  <c:v>104</c:v>
                </c:pt>
                <c:pt idx="4">
                  <c:v>196</c:v>
                </c:pt>
                <c:pt idx="5">
                  <c:v>281</c:v>
                </c:pt>
                <c:pt idx="6">
                  <c:v>373</c:v>
                </c:pt>
                <c:pt idx="7">
                  <c:v>495</c:v>
                </c:pt>
                <c:pt idx="8">
                  <c:v>629</c:v>
                </c:pt>
                <c:pt idx="9">
                  <c:v>826</c:v>
                </c:pt>
                <c:pt idx="10">
                  <c:v>994</c:v>
                </c:pt>
                <c:pt idx="11">
                  <c:v>1128</c:v>
                </c:pt>
                <c:pt idx="12">
                  <c:v>1203</c:v>
                </c:pt>
                <c:pt idx="13">
                  <c:v>1509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266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51</c:v>
                </c:pt>
                <c:pt idx="1">
                  <c:v>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95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61</c:v>
                </c:pt>
                <c:pt idx="1">
                  <c:v>85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200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56</c:v>
                </c:pt>
                <c:pt idx="1">
                  <c:v>75</c:v>
                </c:pt>
                <c:pt idx="2">
                  <c:v>81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180</c:v>
                </c:pt>
                <c:pt idx="1">
                  <c:v>258</c:v>
                </c:pt>
                <c:pt idx="2">
                  <c:v>265</c:v>
                </c:pt>
                <c:pt idx="3">
                  <c:v>291</c:v>
                </c:pt>
                <c:pt idx="4">
                  <c:v>330</c:v>
                </c:pt>
                <c:pt idx="5">
                  <c:v>422</c:v>
                </c:pt>
                <c:pt idx="6">
                  <c:v>511</c:v>
                </c:pt>
                <c:pt idx="7">
                  <c:v>638</c:v>
                </c:pt>
                <c:pt idx="8">
                  <c:v>834</c:v>
                </c:pt>
                <c:pt idx="9">
                  <c:v>918</c:v>
                </c:pt>
                <c:pt idx="10">
                  <c:v>939</c:v>
                </c:pt>
                <c:pt idx="11">
                  <c:v>1165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95</c:v>
                </c:pt>
                <c:pt idx="1">
                  <c:v>95</c:v>
                </c:pt>
                <c:pt idx="2">
                  <c:v>232</c:v>
                </c:pt>
                <c:pt idx="3">
                  <c:v>282</c:v>
                </c:pt>
                <c:pt idx="4">
                  <c:v>359</c:v>
                </c:pt>
                <c:pt idx="5">
                  <c:v>432</c:v>
                </c:pt>
                <c:pt idx="6">
                  <c:v>492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51</c:v>
                </c:pt>
                <c:pt idx="1">
                  <c:v>77</c:v>
                </c:pt>
                <c:pt idx="2">
                  <c:v>108</c:v>
                </c:pt>
                <c:pt idx="3">
                  <c:v>156</c:v>
                </c:pt>
                <c:pt idx="4">
                  <c:v>204</c:v>
                </c:pt>
                <c:pt idx="5">
                  <c:v>350</c:v>
                </c:pt>
                <c:pt idx="6">
                  <c:v>406</c:v>
                </c:pt>
                <c:pt idx="7">
                  <c:v>508</c:v>
                </c:pt>
                <c:pt idx="8">
                  <c:v>608</c:v>
                </c:pt>
                <c:pt idx="9">
                  <c:v>796</c:v>
                </c:pt>
                <c:pt idx="10">
                  <c:v>1212</c:v>
                </c:pt>
                <c:pt idx="11">
                  <c:v>1432</c:v>
                </c:pt>
                <c:pt idx="12">
                  <c:v>1676</c:v>
                </c:pt>
                <c:pt idx="13">
                  <c:v>1782</c:v>
                </c:pt>
                <c:pt idx="14">
                  <c:v>2162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62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59</c:v>
                </c:pt>
                <c:pt idx="1">
                  <c:v>92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270</c:v>
                </c:pt>
                <c:pt idx="6">
                  <c:v>294</c:v>
                </c:pt>
                <c:pt idx="7">
                  <c:v>424</c:v>
                </c:pt>
                <c:pt idx="8">
                  <c:v>526</c:v>
                </c:pt>
                <c:pt idx="9">
                  <c:v>773</c:v>
                </c:pt>
                <c:pt idx="10">
                  <c:v>773</c:v>
                </c:pt>
                <c:pt idx="11">
                  <c:v>773</c:v>
                </c:pt>
                <c:pt idx="12">
                  <c:v>1068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6.9714819705134407E-2"/>
          <c:w val="0.21617675283467058"/>
          <c:h val="0.90762042172866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7.6765571231806931</c:v>
                </c:pt>
                <c:pt idx="1">
                  <c:v>9.890948601021277</c:v>
                </c:pt>
                <c:pt idx="2">
                  <c:v>14.91023595079327</c:v>
                </c:pt>
                <c:pt idx="3">
                  <c:v>17.419879625679265</c:v>
                </c:pt>
                <c:pt idx="4">
                  <c:v>24.801184551814547</c:v>
                </c:pt>
                <c:pt idx="5">
                  <c:v>24.801184551814547</c:v>
                </c:pt>
                <c:pt idx="6">
                  <c:v>34.249254857267701</c:v>
                </c:pt>
                <c:pt idx="7">
                  <c:v>35.577889743972058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37.48087448527977</c:v>
                </c:pt>
                <c:pt idx="1">
                  <c:v>47.236170584188201</c:v>
                </c:pt>
                <c:pt idx="2">
                  <c:v>51.343663678465447</c:v>
                </c:pt>
                <c:pt idx="3">
                  <c:v>51.343663678465447</c:v>
                </c:pt>
                <c:pt idx="4">
                  <c:v>73.934875696990233</c:v>
                </c:pt>
                <c:pt idx="5">
                  <c:v>84.717045069467972</c:v>
                </c:pt>
                <c:pt idx="6">
                  <c:v>93.445467894807095</c:v>
                </c:pt>
                <c:pt idx="7">
                  <c:v>113.98293336619327</c:v>
                </c:pt>
                <c:pt idx="8">
                  <c:v>139.654765205426</c:v>
                </c:pt>
                <c:pt idx="9">
                  <c:v>153.51755439861168</c:v>
                </c:pt>
                <c:pt idx="10">
                  <c:v>183.81031596890628</c:v>
                </c:pt>
                <c:pt idx="11">
                  <c:v>193.05217543103007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18.741410186997626</c:v>
                </c:pt>
                <c:pt idx="1">
                  <c:v>26.376799522441107</c:v>
                </c:pt>
                <c:pt idx="2">
                  <c:v>30.888620493384977</c:v>
                </c:pt>
                <c:pt idx="3">
                  <c:v>40.25932558688379</c:v>
                </c:pt>
                <c:pt idx="4">
                  <c:v>46.506462315882999</c:v>
                </c:pt>
                <c:pt idx="5">
                  <c:v>63.859619896436364</c:v>
                </c:pt>
                <c:pt idx="6">
                  <c:v>97.871808754320938</c:v>
                </c:pt>
                <c:pt idx="7">
                  <c:v>100.30125081559841</c:v>
                </c:pt>
                <c:pt idx="8">
                  <c:v>104.81307178654227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11.884322067060427</c:v>
                </c:pt>
                <c:pt idx="1">
                  <c:v>11.884322067060427</c:v>
                </c:pt>
                <c:pt idx="2">
                  <c:v>18.647757389777745</c:v>
                </c:pt>
                <c:pt idx="3">
                  <c:v>27.246982300089758</c:v>
                </c:pt>
                <c:pt idx="4">
                  <c:v>36.425930238063259</c:v>
                </c:pt>
                <c:pt idx="5">
                  <c:v>40.387370927083403</c:v>
                </c:pt>
                <c:pt idx="6">
                  <c:v>40.387370927083403</c:v>
                </c:pt>
                <c:pt idx="7">
                  <c:v>45.41163716681627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11.812284776167214</c:v>
                </c:pt>
                <c:pt idx="1">
                  <c:v>13.213742291983662</c:v>
                </c:pt>
                <c:pt idx="2">
                  <c:v>16.016657323616563</c:v>
                </c:pt>
                <c:pt idx="3">
                  <c:v>20.821654520701529</c:v>
                </c:pt>
                <c:pt idx="4">
                  <c:v>39.240810442860578</c:v>
                </c:pt>
                <c:pt idx="5">
                  <c:v>56.258508849203174</c:v>
                </c:pt>
                <c:pt idx="6">
                  <c:v>74.677664771362217</c:v>
                </c:pt>
                <c:pt idx="7">
                  <c:v>99.103067189877464</c:v>
                </c:pt>
                <c:pt idx="8">
                  <c:v>125.9309682069352</c:v>
                </c:pt>
                <c:pt idx="9">
                  <c:v>165.37198686634099</c:v>
                </c:pt>
                <c:pt idx="10">
                  <c:v>199.00696724593578</c:v>
                </c:pt>
                <c:pt idx="11">
                  <c:v>225.8348682629935</c:v>
                </c:pt>
                <c:pt idx="12">
                  <c:v>240.85048450388402</c:v>
                </c:pt>
                <c:pt idx="13">
                  <c:v>302.11419876671738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134.08677329757685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69.464307604298611</c:v>
                </c:pt>
                <c:pt idx="1">
                  <c:v>77.636579087157273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15.870806749732029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24.158656485867187</c:v>
                </c:pt>
                <c:pt idx="1">
                  <c:v>24.158656485867187</c:v>
                </c:pt>
                <c:pt idx="2">
                  <c:v>24.158656485867187</c:v>
                </c:pt>
                <c:pt idx="3">
                  <c:v>34.773823729657309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12.015040467050229</c:v>
                </c:pt>
                <c:pt idx="1">
                  <c:v>16.742269503266712</c:v>
                </c:pt>
                <c:pt idx="2">
                  <c:v>19.302851897883972</c:v>
                </c:pt>
                <c:pt idx="3">
                  <c:v>19.302851897883972</c:v>
                </c:pt>
                <c:pt idx="4">
                  <c:v>19.302851897883972</c:v>
                </c:pt>
                <c:pt idx="5">
                  <c:v>39.393575301804027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20.255215718047399</c:v>
                </c:pt>
                <c:pt idx="1">
                  <c:v>27.127521050956336</c:v>
                </c:pt>
                <c:pt idx="2">
                  <c:v>29.297722735032842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50.942002530119467</c:v>
                </c:pt>
                <c:pt idx="1">
                  <c:v>73.016870293171223</c:v>
                </c:pt>
                <c:pt idx="2">
                  <c:v>74.997948169342536</c:v>
                </c:pt>
                <c:pt idx="3">
                  <c:v>82.35623742369313</c:v>
                </c:pt>
                <c:pt idx="4">
                  <c:v>93.393671305219016</c:v>
                </c:pt>
                <c:pt idx="5">
                  <c:v>119.43069482061341</c:v>
                </c:pt>
                <c:pt idx="6">
                  <c:v>144.61868496050579</c:v>
                </c:pt>
                <c:pt idx="7">
                  <c:v>180.56109785675676</c:v>
                </c:pt>
                <c:pt idx="8">
                  <c:v>236.03127838955351</c:v>
                </c:pt>
                <c:pt idx="9">
                  <c:v>259.8042129036092</c:v>
                </c:pt>
                <c:pt idx="10">
                  <c:v>265.74744653212315</c:v>
                </c:pt>
                <c:pt idx="11">
                  <c:v>329.70796081993984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27.619892137052812</c:v>
                </c:pt>
                <c:pt idx="1">
                  <c:v>27.619892137052812</c:v>
                </c:pt>
                <c:pt idx="2">
                  <c:v>67.450683955750023</c:v>
                </c:pt>
                <c:pt idx="3">
                  <c:v>81.987469291040981</c:v>
                </c:pt>
                <c:pt idx="4">
                  <c:v>104.37411870738904</c:v>
                </c:pt>
                <c:pt idx="5">
                  <c:v>125.59782529691383</c:v>
                </c:pt>
                <c:pt idx="6">
                  <c:v>143.04196769926298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6.3818205707349733</c:v>
                </c:pt>
                <c:pt idx="1">
                  <c:v>9.6352977244429976</c:v>
                </c:pt>
                <c:pt idx="2">
                  <c:v>13.514443561556416</c:v>
                </c:pt>
                <c:pt idx="3">
                  <c:v>19.520862922248153</c:v>
                </c:pt>
                <c:pt idx="4">
                  <c:v>25.527282282939893</c:v>
                </c:pt>
                <c:pt idx="5">
                  <c:v>43.796807838377269</c:v>
                </c:pt>
                <c:pt idx="6">
                  <c:v>50.804297092517629</c:v>
                </c:pt>
                <c:pt idx="7">
                  <c:v>63.567938233987576</c:v>
                </c:pt>
                <c:pt idx="8">
                  <c:v>76.081311902095365</c:v>
                </c:pt>
                <c:pt idx="9">
                  <c:v>99.606454398138013</c:v>
                </c:pt>
                <c:pt idx="10">
                  <c:v>151.66208885746641</c:v>
                </c:pt>
                <c:pt idx="11">
                  <c:v>179.19151092730357</c:v>
                </c:pt>
                <c:pt idx="12">
                  <c:v>209.72414267748655</c:v>
                </c:pt>
                <c:pt idx="13">
                  <c:v>222.98831876568082</c:v>
                </c:pt>
                <c:pt idx="14">
                  <c:v>270.53913870449043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48.881635484913701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3.8791085677016217</c:v>
                </c:pt>
                <c:pt idx="1">
                  <c:v>6.0487794615008337</c:v>
                </c:pt>
                <c:pt idx="2">
                  <c:v>9.2046643979360514</c:v>
                </c:pt>
                <c:pt idx="3">
                  <c:v>9.2046643979360514</c:v>
                </c:pt>
                <c:pt idx="4">
                  <c:v>9.2046643979360514</c:v>
                </c:pt>
                <c:pt idx="5">
                  <c:v>17.751852767448099</c:v>
                </c:pt>
                <c:pt idx="6">
                  <c:v>19.329795235665706</c:v>
                </c:pt>
                <c:pt idx="7">
                  <c:v>27.876983605177756</c:v>
                </c:pt>
                <c:pt idx="8">
                  <c:v>34.583239095102591</c:v>
                </c:pt>
                <c:pt idx="9">
                  <c:v>50.822896997175484</c:v>
                </c:pt>
                <c:pt idx="10">
                  <c:v>50.822896997175484</c:v>
                </c:pt>
                <c:pt idx="11">
                  <c:v>50.822896997175484</c:v>
                </c:pt>
                <c:pt idx="12">
                  <c:v>70.218439835683597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56590</xdr:colOff>
      <xdr:row>13</xdr:row>
      <xdr:rowOff>60232</xdr:rowOff>
    </xdr:from>
    <xdr:to>
      <xdr:col>7</xdr:col>
      <xdr:colOff>511165</xdr:colOff>
      <xdr:row>28</xdr:row>
      <xdr:rowOff>82732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733425</xdr:colOff>
      <xdr:row>13</xdr:row>
      <xdr:rowOff>66675</xdr:rowOff>
    </xdr:from>
    <xdr:to>
      <xdr:col>14</xdr:col>
      <xdr:colOff>559350</xdr:colOff>
      <xdr:row>28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66675</xdr:colOff>
      <xdr:row>28</xdr:row>
      <xdr:rowOff>145957</xdr:rowOff>
    </xdr:from>
    <xdr:to>
      <xdr:col>7</xdr:col>
      <xdr:colOff>521250</xdr:colOff>
      <xdr:row>43</xdr:row>
      <xdr:rowOff>168457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753035</xdr:colOff>
      <xdr:row>28</xdr:row>
      <xdr:rowOff>161925</xdr:rowOff>
    </xdr:from>
    <xdr:to>
      <xdr:col>14</xdr:col>
      <xdr:colOff>578960</xdr:colOff>
      <xdr:row>43</xdr:row>
      <xdr:rowOff>184425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94"/>
  <sheetViews>
    <sheetView tabSelected="1" topLeftCell="C13" zoomScaleNormal="100" workbookViewId="0">
      <selection activeCell="L8" sqref="L8"/>
    </sheetView>
  </sheetViews>
  <sheetFormatPr baseColWidth="10" defaultRowHeight="15" x14ac:dyDescent="0.25"/>
  <cols>
    <col min="3" max="4" width="20.7109375" customWidth="1"/>
    <col min="5" max="15" width="12.7109375" customWidth="1"/>
    <col min="16" max="74" width="10.7109375" customWidth="1"/>
  </cols>
  <sheetData>
    <row r="4" spans="1:15" s="1" customFormat="1" x14ac:dyDescent="0.25">
      <c r="B4" s="1" t="s">
        <v>134</v>
      </c>
      <c r="E4" s="1" t="s">
        <v>134</v>
      </c>
      <c r="F4" s="1" t="s">
        <v>134</v>
      </c>
      <c r="G4" s="1" t="s">
        <v>134</v>
      </c>
      <c r="H4" s="1" t="s">
        <v>134</v>
      </c>
      <c r="I4" s="1" t="s">
        <v>139</v>
      </c>
      <c r="J4" s="1" t="s">
        <v>139</v>
      </c>
      <c r="K4" s="1" t="s">
        <v>137</v>
      </c>
      <c r="L4" s="1" t="s">
        <v>137</v>
      </c>
      <c r="M4" s="1" t="s">
        <v>137</v>
      </c>
    </row>
    <row r="5" spans="1:15" s="1" customFormat="1" x14ac:dyDescent="0.25"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f ca="1">MATCH("Last Trend",INDIRECT("'Confirmed Trend'!1:1"),0)</f>
        <v>69</v>
      </c>
      <c r="L5" s="1">
        <f ca="1">K5-1</f>
        <v>68</v>
      </c>
      <c r="M5" s="1">
        <f ca="1">L5-7</f>
        <v>61</v>
      </c>
    </row>
    <row r="6" spans="1:15" s="1" customFormat="1" x14ac:dyDescent="0.25">
      <c r="C6" s="7" t="s">
        <v>156</v>
      </c>
      <c r="D6" s="8"/>
      <c r="E6" s="8"/>
      <c r="F6" s="9"/>
      <c r="G6" s="7" t="s">
        <v>155</v>
      </c>
      <c r="H6" s="9"/>
      <c r="I6" s="7" t="s">
        <v>154</v>
      </c>
      <c r="J6" s="9"/>
      <c r="K6" s="7" t="s">
        <v>153</v>
      </c>
      <c r="L6" s="8"/>
      <c r="M6" s="9"/>
    </row>
    <row r="7" spans="1:15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10" t="s">
        <v>63</v>
      </c>
      <c r="H7" s="11" t="s">
        <v>147</v>
      </c>
      <c r="I7" s="10" t="s">
        <v>139</v>
      </c>
      <c r="J7" s="11" t="s">
        <v>149</v>
      </c>
      <c r="K7" s="10" t="s">
        <v>150</v>
      </c>
      <c r="L7" s="6" t="s">
        <v>151</v>
      </c>
      <c r="M7" s="11" t="s">
        <v>152</v>
      </c>
      <c r="N7" s="6"/>
      <c r="O7" s="6"/>
    </row>
    <row r="8" spans="1:15" s="1" customFormat="1" x14ac:dyDescent="0.25">
      <c r="A8" s="1">
        <v>6</v>
      </c>
      <c r="B8" s="1">
        <f ca="1">MATCH($C8,INDIRECT("'"&amp;$E$4&amp;"'!A:A"),0)</f>
        <v>23</v>
      </c>
      <c r="C8" s="15" t="s">
        <v>165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1165</v>
      </c>
      <c r="H8" s="9" cm="1">
        <f t="array" aca="1" ref="H8" ca="1">INDIRECT(ADDRESS($B8,H$5,1,1,H$4))</f>
        <v>329.70796081989999</v>
      </c>
      <c r="I8" s="12" cm="1">
        <f t="array" aca="1" ref="I8" ca="1">INDIRECT(ADDRESS($B8,I$5,1,1,I$4))</f>
        <v>4.1201716700000002E-2</v>
      </c>
      <c r="J8" s="14" cm="1">
        <f t="array" aca="1" ref="J8" ca="1">INDIRECT(ADDRESS($B8,J$5,1,1,J$4))</f>
        <v>0.1137440758</v>
      </c>
      <c r="K8" s="12" cm="1">
        <f t="array" aca="1" ref="K8" ca="1">INDIRECT(ADDRESS($B8,K$5,1,1,K$4))</f>
        <v>0.24068157609999999</v>
      </c>
      <c r="L8" s="13" cm="1">
        <f t="array" aca="1" ref="L8" ca="1">INDIRECT(ADDRESS($B8,L$5,1,1,L$4))</f>
        <v>0.17768615300000001</v>
      </c>
      <c r="M8" s="14" cm="1">
        <f t="array" aca="1" ref="M8" ca="1">INDIRECT(ADDRESS($B8,M$5,1,1,M$4))</f>
        <v>0.46950148819999998</v>
      </c>
    </row>
    <row r="9" spans="1:15" s="1" customFormat="1" x14ac:dyDescent="0.25">
      <c r="A9" s="1">
        <v>6</v>
      </c>
      <c r="B9" s="1">
        <f ca="1">MATCH($C9,INDIRECT("'"&amp;$E$4&amp;"'!A:A"),0)</f>
        <v>28</v>
      </c>
      <c r="C9" s="15" t="s">
        <v>160</v>
      </c>
      <c r="D9" s="8"/>
      <c r="E9" s="8" cm="1">
        <f t="array" aca="1" ref="E9" ca="1">INDIRECT(ADDRESS($B9,E$5,1,1,E$4))</f>
        <v>1520968</v>
      </c>
      <c r="F9" s="9" cm="1">
        <f t="array" aca="1" ref="F9" ca="1">INDIRECT(ADDRESS($B9,F$5,1,1,F$4))</f>
        <v>1729</v>
      </c>
      <c r="G9" s="15" cm="1">
        <f t="array" aca="1" ref="G9" ca="1">INDIRECT(ADDRESS($B9,G$5,1,1,G$4))</f>
        <v>1068</v>
      </c>
      <c r="H9" s="9" cm="1">
        <f t="array" aca="1" ref="H9" ca="1">INDIRECT(ADDRESS($B9,H$5,1,1,H$4))</f>
        <v>70.218439835699996</v>
      </c>
      <c r="I9" s="12" cm="1">
        <f t="array" aca="1" ref="I9" ca="1">INDIRECT(ADDRESS($B9,I$5,1,1,I$4))</f>
        <v>4.6816478999999996E-3</v>
      </c>
      <c r="J9" s="14" cm="1">
        <f t="array" aca="1" ref="J9" ca="1">INDIRECT(ADDRESS($B9,J$5,1,1,J$4))</f>
        <v>1.70068027E-2</v>
      </c>
      <c r="K9" s="12" cm="1">
        <f t="array" aca="1" ref="K9" ca="1">INDIRECT(ADDRESS($B9,K$5,1,1,K$4))</f>
        <v>0.38163001289999998</v>
      </c>
      <c r="L9" s="13" cm="1">
        <f t="array" aca="1" ref="L9" ca="1">INDIRECT(ADDRESS($B9,L$5,1,1,L$4))</f>
        <v>0.2039856223</v>
      </c>
      <c r="M9" s="14" cm="1">
        <f t="array" aca="1" ref="M9" ca="1">INDIRECT(ADDRESS($B9,M$5,1,1,M$4))</f>
        <v>0.28775478850000002</v>
      </c>
    </row>
    <row r="10" spans="1:15" s="1" customFormat="1" x14ac:dyDescent="0.25">
      <c r="A10" s="1">
        <v>6</v>
      </c>
      <c r="B10" s="1">
        <f ca="1">MATCH($C10,INDIRECT("'"&amp;$E$4&amp;"'!A:A"),0)</f>
        <v>26</v>
      </c>
      <c r="C10" s="15" t="s">
        <v>162</v>
      </c>
      <c r="D10" s="8"/>
      <c r="E10" s="8" cm="1">
        <f t="array" aca="1" ref="E10" ca="1">INDIRECT(ADDRESS($B10,E$5,1,1,E$4))</f>
        <v>799145</v>
      </c>
      <c r="F10" s="9" cm="1">
        <f t="array" aca="1" ref="F10" ca="1">INDIRECT(ADDRESS($B10,F$5,1,1,F$4))</f>
        <v>3212</v>
      </c>
      <c r="G10" s="15" cm="1">
        <f t="array" aca="1" ref="G10" ca="1">INDIRECT(ADDRESS($B10,G$5,1,1,G$4))</f>
        <v>2162</v>
      </c>
      <c r="H10" s="9" cm="1">
        <f t="array" aca="1" ref="H10" ca="1">INDIRECT(ADDRESS($B10,H$5,1,1,H$4))</f>
        <v>270.53913870449998</v>
      </c>
      <c r="I10" s="12" cm="1">
        <f t="array" aca="1" ref="I10" ca="1">INDIRECT(ADDRESS($B10,I$5,1,1,I$4))</f>
        <v>7.8630897000000009E-3</v>
      </c>
      <c r="J10" s="14" cm="1">
        <f t="array" aca="1" ref="J10" ca="1">INDIRECT(ADDRESS($B10,J$5,1,1,J$4))</f>
        <v>2.79605263E-2</v>
      </c>
      <c r="K10" s="12" cm="1">
        <f t="array" aca="1" ref="K10" ca="1">INDIRECT(ADDRESS($B10,K$5,1,1,K$4))</f>
        <v>0.2132435466</v>
      </c>
      <c r="L10" s="13" cm="1">
        <f t="array" aca="1" ref="L10" ca="1">INDIRECT(ADDRESS($B10,L$5,1,1,L$4))</f>
        <v>0.2106668307</v>
      </c>
      <c r="M10" s="14" cm="1">
        <f t="array" aca="1" ref="M10" ca="1">INDIRECT(ADDRESS($B10,M$5,1,1,M$4))</f>
        <v>0.38754850470000002</v>
      </c>
    </row>
    <row r="11" spans="1:15" s="1" customFormat="1" x14ac:dyDescent="0.25">
      <c r="A11" s="1">
        <v>6</v>
      </c>
      <c r="B11" s="1">
        <f ca="1">MATCH($C11,INDIRECT("'"&amp;$E$4&amp;"'!A:A"),0)</f>
        <v>8</v>
      </c>
      <c r="C11" s="15" t="s">
        <v>180</v>
      </c>
      <c r="D11" s="8"/>
      <c r="E11" s="8" cm="1">
        <f t="array" aca="1" ref="E11" ca="1">INDIRECT(ADDRESS($B11,E$5,1,1,E$4))</f>
        <v>1034977</v>
      </c>
      <c r="F11" s="9" cm="1">
        <f t="array" aca="1" ref="F11" ca="1">INDIRECT(ADDRESS($B11,F$5,1,1,F$4))</f>
        <v>5959</v>
      </c>
      <c r="G11" s="15" cm="1">
        <f t="array" aca="1" ref="G11" ca="1">INDIRECT(ADDRESS($B11,G$5,1,1,G$4))</f>
        <v>470</v>
      </c>
      <c r="H11" s="9" cm="1">
        <f t="array" aca="1" ref="H11" ca="1">INDIRECT(ADDRESS($B11,H$5,1,1,H$4))</f>
        <v>45.411637166799999</v>
      </c>
      <c r="I11" s="12" cm="1">
        <f t="array" aca="1" ref="I11" ca="1">INDIRECT(ADDRESS($B11,I$5,1,1,I$4))</f>
        <v>1.06382979E-2</v>
      </c>
      <c r="J11" s="14" cm="1">
        <f t="array" aca="1" ref="J11" ca="1">INDIRECT(ADDRESS($B11,J$5,1,1,J$4))</f>
        <v>4.06504065E-2</v>
      </c>
      <c r="K11" s="12" cm="1">
        <f t="array" aca="1" ref="K11" ca="1">INDIRECT(ADDRESS($B11,K$5,1,1,K$4))</f>
        <v>0.12440191389999999</v>
      </c>
      <c r="L11" s="13" cm="1">
        <f t="array" aca="1" ref="L11" ca="1">INDIRECT(ADDRESS($B11,L$5,1,1,L$4))</f>
        <v>0.215655441</v>
      </c>
      <c r="M11" s="14" cm="1">
        <f t="array" aca="1" ref="M11" ca="1">INDIRECT(ADDRESS($B11,M$5,1,1,M$4))</f>
        <v>0</v>
      </c>
    </row>
    <row r="12" spans="1:15" s="1" customFormat="1" x14ac:dyDescent="0.25">
      <c r="C12" s="15"/>
      <c r="D12" s="8"/>
      <c r="E12" s="8"/>
      <c r="F12" s="9"/>
      <c r="G12" s="15"/>
      <c r="H12" s="9"/>
      <c r="I12" s="15"/>
      <c r="J12" s="9"/>
      <c r="K12" s="15"/>
      <c r="L12" s="8"/>
      <c r="M12" s="9"/>
    </row>
    <row r="13" spans="1:15" s="1" customFormat="1" x14ac:dyDescent="0.25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5" s="1" customFormat="1" x14ac:dyDescent="0.25"/>
    <row r="49" spans="1:74" x14ac:dyDescent="0.25">
      <c r="A49" t="s">
        <v>140</v>
      </c>
      <c r="B49" t="s">
        <v>141</v>
      </c>
      <c r="C49" t="s">
        <v>142</v>
      </c>
      <c r="E49">
        <v>1</v>
      </c>
      <c r="F49">
        <f t="shared" ref="F49:AK49" si="0">E49+1</f>
        <v>2</v>
      </c>
      <c r="G49">
        <f t="shared" si="0"/>
        <v>3</v>
      </c>
      <c r="H49">
        <f t="shared" si="0"/>
        <v>4</v>
      </c>
      <c r="I49">
        <f t="shared" si="0"/>
        <v>5</v>
      </c>
      <c r="J49">
        <f t="shared" si="0"/>
        <v>6</v>
      </c>
      <c r="K49">
        <f t="shared" si="0"/>
        <v>7</v>
      </c>
      <c r="L49">
        <f t="shared" si="0"/>
        <v>8</v>
      </c>
      <c r="M49">
        <f t="shared" si="0"/>
        <v>9</v>
      </c>
      <c r="N49">
        <f t="shared" si="0"/>
        <v>10</v>
      </c>
      <c r="O49">
        <f t="shared" si="0"/>
        <v>11</v>
      </c>
      <c r="P49">
        <f t="shared" si="0"/>
        <v>12</v>
      </c>
      <c r="Q49">
        <f t="shared" si="0"/>
        <v>13</v>
      </c>
      <c r="R49">
        <f t="shared" si="0"/>
        <v>14</v>
      </c>
      <c r="S49">
        <f t="shared" si="0"/>
        <v>15</v>
      </c>
      <c r="T49">
        <f t="shared" si="0"/>
        <v>16</v>
      </c>
      <c r="U49">
        <f t="shared" si="0"/>
        <v>17</v>
      </c>
      <c r="V49">
        <f t="shared" si="0"/>
        <v>18</v>
      </c>
      <c r="W49">
        <f t="shared" si="0"/>
        <v>19</v>
      </c>
      <c r="X49">
        <f t="shared" si="0"/>
        <v>20</v>
      </c>
      <c r="Y49">
        <f t="shared" si="0"/>
        <v>21</v>
      </c>
      <c r="Z49">
        <f t="shared" si="0"/>
        <v>22</v>
      </c>
      <c r="AA49">
        <f t="shared" si="0"/>
        <v>23</v>
      </c>
      <c r="AB49">
        <f t="shared" si="0"/>
        <v>24</v>
      </c>
      <c r="AC49">
        <f t="shared" si="0"/>
        <v>25</v>
      </c>
      <c r="AD49">
        <f t="shared" si="0"/>
        <v>26</v>
      </c>
      <c r="AE49">
        <f t="shared" si="0"/>
        <v>27</v>
      </c>
      <c r="AF49">
        <f t="shared" si="0"/>
        <v>28</v>
      </c>
      <c r="AG49">
        <f t="shared" si="0"/>
        <v>29</v>
      </c>
      <c r="AH49">
        <f t="shared" si="0"/>
        <v>30</v>
      </c>
      <c r="AI49">
        <f t="shared" si="0"/>
        <v>31</v>
      </c>
      <c r="AJ49">
        <f t="shared" si="0"/>
        <v>32</v>
      </c>
      <c r="AK49">
        <f t="shared" si="0"/>
        <v>33</v>
      </c>
      <c r="AL49">
        <f t="shared" ref="AL49:BV49" si="1">AK49+1</f>
        <v>34</v>
      </c>
      <c r="AM49">
        <f t="shared" si="1"/>
        <v>35</v>
      </c>
      <c r="AN49">
        <f t="shared" si="1"/>
        <v>36</v>
      </c>
      <c r="AO49">
        <f t="shared" si="1"/>
        <v>37</v>
      </c>
      <c r="AP49">
        <f t="shared" si="1"/>
        <v>38</v>
      </c>
      <c r="AQ49">
        <f t="shared" si="1"/>
        <v>39</v>
      </c>
      <c r="AR49">
        <f t="shared" si="1"/>
        <v>40</v>
      </c>
      <c r="AS49">
        <f t="shared" si="1"/>
        <v>41</v>
      </c>
      <c r="AT49">
        <f t="shared" si="1"/>
        <v>42</v>
      </c>
      <c r="AU49">
        <f t="shared" si="1"/>
        <v>43</v>
      </c>
      <c r="AV49">
        <f t="shared" si="1"/>
        <v>44</v>
      </c>
      <c r="AW49">
        <f t="shared" si="1"/>
        <v>45</v>
      </c>
      <c r="AX49">
        <f t="shared" si="1"/>
        <v>46</v>
      </c>
      <c r="AY49">
        <f t="shared" si="1"/>
        <v>47</v>
      </c>
      <c r="AZ49">
        <f t="shared" si="1"/>
        <v>48</v>
      </c>
      <c r="BA49">
        <f t="shared" si="1"/>
        <v>49</v>
      </c>
      <c r="BB49">
        <f t="shared" si="1"/>
        <v>50</v>
      </c>
      <c r="BC49">
        <f t="shared" si="1"/>
        <v>51</v>
      </c>
      <c r="BD49">
        <f t="shared" si="1"/>
        <v>52</v>
      </c>
      <c r="BE49">
        <f t="shared" si="1"/>
        <v>53</v>
      </c>
      <c r="BF49">
        <f t="shared" si="1"/>
        <v>54</v>
      </c>
      <c r="BG49">
        <f t="shared" si="1"/>
        <v>55</v>
      </c>
      <c r="BH49">
        <f t="shared" si="1"/>
        <v>56</v>
      </c>
      <c r="BI49">
        <f t="shared" si="1"/>
        <v>57</v>
      </c>
      <c r="BJ49">
        <f t="shared" si="1"/>
        <v>58</v>
      </c>
      <c r="BK49">
        <f t="shared" si="1"/>
        <v>59</v>
      </c>
      <c r="BL49">
        <f t="shared" si="1"/>
        <v>60</v>
      </c>
      <c r="BM49">
        <f t="shared" si="1"/>
        <v>61</v>
      </c>
      <c r="BN49">
        <f t="shared" si="1"/>
        <v>62</v>
      </c>
      <c r="BO49">
        <f t="shared" si="1"/>
        <v>63</v>
      </c>
      <c r="BP49">
        <f t="shared" si="1"/>
        <v>64</v>
      </c>
      <c r="BQ49">
        <f t="shared" si="1"/>
        <v>65</v>
      </c>
      <c r="BR49">
        <f t="shared" si="1"/>
        <v>66</v>
      </c>
      <c r="BS49">
        <f t="shared" si="1"/>
        <v>67</v>
      </c>
      <c r="BT49">
        <f t="shared" si="1"/>
        <v>68</v>
      </c>
      <c r="BU49">
        <f t="shared" si="1"/>
        <v>69</v>
      </c>
      <c r="BV49">
        <f t="shared" si="1"/>
        <v>70</v>
      </c>
    </row>
    <row r="51" spans="1:74" x14ac:dyDescent="0.25">
      <c r="A51">
        <v>6</v>
      </c>
      <c r="B51">
        <f ca="1">MATCH("Country/Region",INDIRECT("'Confirmed'!A:A"),0)</f>
        <v>1</v>
      </c>
      <c r="C51" s="4" t="s">
        <v>134</v>
      </c>
      <c r="D51" s="4"/>
      <c r="E51" s="5" t="str" cm="1">
        <f t="array" aca="1" ref="E51" ca="1">INDIRECT(ADDRESS($B51,E$49+$A51,1,1,$C51))</f>
        <v>2020-01-22</v>
      </c>
      <c r="F51" s="5" t="str" cm="1">
        <f t="array" aca="1" ref="F51" ca="1">INDIRECT(ADDRESS($B51,F$49+$A51,1,1,$C51))</f>
        <v>2020-01-23</v>
      </c>
      <c r="G51" s="5" t="str" cm="1">
        <f t="array" aca="1" ref="G51" ca="1">INDIRECT(ADDRESS($B51,G$49+$A51,1,1,$C51))</f>
        <v>2020-01-24</v>
      </c>
      <c r="H51" s="5" t="str" cm="1">
        <f t="array" aca="1" ref="H51" ca="1">INDIRECT(ADDRESS($B51,H$49+$A51,1,1,$C51))</f>
        <v>2020-01-25</v>
      </c>
      <c r="I51" s="5" t="str" cm="1">
        <f t="array" aca="1" ref="I51" ca="1">INDIRECT(ADDRESS($B51,I$49+$A51,1,1,$C51))</f>
        <v>2020-01-26</v>
      </c>
      <c r="J51" s="5" t="str" cm="1">
        <f t="array" aca="1" ref="J51" ca="1">INDIRECT(ADDRESS($B51,J$49+$A51,1,1,$C51))</f>
        <v>2020-01-27</v>
      </c>
      <c r="K51" s="5" t="str" cm="1">
        <f t="array" aca="1" ref="K51" ca="1">INDIRECT(ADDRESS($B51,K$49+$A51,1,1,$C51))</f>
        <v>2020-01-28</v>
      </c>
      <c r="L51" s="5" t="str" cm="1">
        <f t="array" aca="1" ref="L51" ca="1">INDIRECT(ADDRESS($B51,L$49+$A51,1,1,$C51))</f>
        <v>2020-01-29</v>
      </c>
      <c r="M51" s="5" t="str" cm="1">
        <f t="array" aca="1" ref="M51" ca="1">INDIRECT(ADDRESS($B51,M$49+$A51,1,1,$C51))</f>
        <v>2020-01-30</v>
      </c>
      <c r="N51" s="5" t="str" cm="1">
        <f t="array" aca="1" ref="N51" ca="1">INDIRECT(ADDRESS($B51,N$49+$A51,1,1,$C51))</f>
        <v>2020-01-31</v>
      </c>
      <c r="O51" s="5" t="str" cm="1">
        <f t="array" aca="1" ref="O51" ca="1">INDIRECT(ADDRESS($B51,O$49+$A51,1,1,$C51))</f>
        <v>2020-02-01</v>
      </c>
      <c r="P51" s="5" t="str" cm="1">
        <f t="array" aca="1" ref="P51" ca="1">INDIRECT(ADDRESS($B51,P$49+$A51,1,1,$C51))</f>
        <v>2020-02-02</v>
      </c>
      <c r="Q51" s="5" t="str" cm="1">
        <f t="array" aca="1" ref="Q51" ca="1">INDIRECT(ADDRESS($B51,Q$49+$A51,1,1,$C51))</f>
        <v>2020-02-03</v>
      </c>
      <c r="R51" s="5" t="str" cm="1">
        <f t="array" aca="1" ref="R51" ca="1">INDIRECT(ADDRESS($B51,R$49+$A51,1,1,$C51))</f>
        <v>2020-02-04</v>
      </c>
      <c r="S51" s="5" t="str" cm="1">
        <f t="array" aca="1" ref="S51" ca="1">INDIRECT(ADDRESS($B51,S$49+$A51,1,1,$C51))</f>
        <v>2020-02-05</v>
      </c>
      <c r="T51" s="5" t="str" cm="1">
        <f t="array" aca="1" ref="T51" ca="1">INDIRECT(ADDRESS($B51,T$49+$A51,1,1,$C51))</f>
        <v>2020-02-06</v>
      </c>
      <c r="U51" s="5" t="str" cm="1">
        <f t="array" aca="1" ref="U51" ca="1">INDIRECT(ADDRESS($B51,U$49+$A51,1,1,$C51))</f>
        <v>2020-02-07</v>
      </c>
      <c r="V51" s="5" t="str" cm="1">
        <f t="array" aca="1" ref="V51" ca="1">INDIRECT(ADDRESS($B51,V$49+$A51,1,1,$C51))</f>
        <v>2020-02-08</v>
      </c>
      <c r="W51" s="5" t="str" cm="1">
        <f t="array" aca="1" ref="W51" ca="1">INDIRECT(ADDRESS($B51,W$49+$A51,1,1,$C51))</f>
        <v>2020-02-09</v>
      </c>
      <c r="X51" s="5" t="str" cm="1">
        <f t="array" aca="1" ref="X51" ca="1">INDIRECT(ADDRESS($B51,X$49+$A51,1,1,$C51))</f>
        <v>2020-02-10</v>
      </c>
      <c r="Y51" s="5" t="str" cm="1">
        <f t="array" aca="1" ref="Y51" ca="1">INDIRECT(ADDRESS($B51,Y$49+$A51,1,1,$C51))</f>
        <v>2020-02-11</v>
      </c>
      <c r="Z51" s="5" t="str" cm="1">
        <f t="array" aca="1" ref="Z51" ca="1">INDIRECT(ADDRESS($B51,Z$49+$A51,1,1,$C51))</f>
        <v>2020-02-12</v>
      </c>
      <c r="AA51" s="5" t="str" cm="1">
        <f t="array" aca="1" ref="AA51" ca="1">INDIRECT(ADDRESS($B51,AA$49+$A51,1,1,$C51))</f>
        <v>2020-02-13</v>
      </c>
      <c r="AB51" s="5" t="str" cm="1">
        <f t="array" aca="1" ref="AB51" ca="1">INDIRECT(ADDRESS($B51,AB$49+$A51,1,1,$C51))</f>
        <v>2020-02-14</v>
      </c>
      <c r="AC51" s="5" t="str" cm="1">
        <f t="array" aca="1" ref="AC51" ca="1">INDIRECT(ADDRESS($B51,AC$49+$A51,1,1,$C51))</f>
        <v>2020-02-15</v>
      </c>
      <c r="AD51" s="5" t="str" cm="1">
        <f t="array" aca="1" ref="AD51" ca="1">INDIRECT(ADDRESS($B51,AD$49+$A51,1,1,$C51))</f>
        <v>2020-02-16</v>
      </c>
      <c r="AE51" s="5" t="str" cm="1">
        <f t="array" aca="1" ref="AE51" ca="1">INDIRECT(ADDRESS($B51,AE$49+$A51,1,1,$C51))</f>
        <v>2020-02-17</v>
      </c>
      <c r="AF51" s="5" t="str" cm="1">
        <f t="array" aca="1" ref="AF51" ca="1">INDIRECT(ADDRESS($B51,AF$49+$A51,1,1,$C51))</f>
        <v>2020-02-18</v>
      </c>
      <c r="AG51" s="5" t="str" cm="1">
        <f t="array" aca="1" ref="AG51" ca="1">INDIRECT(ADDRESS($B51,AG$49+$A51,1,1,$C51))</f>
        <v>2020-02-19</v>
      </c>
      <c r="AH51" s="5" t="str" cm="1">
        <f t="array" aca="1" ref="AH51" ca="1">INDIRECT(ADDRESS($B51,AH$49+$A51,1,1,$C51))</f>
        <v>2020-02-20</v>
      </c>
      <c r="AI51" s="5" t="str" cm="1">
        <f t="array" aca="1" ref="AI51" ca="1">INDIRECT(ADDRESS($B51,AI$49+$A51,1,1,$C51))</f>
        <v>2020-02-21</v>
      </c>
      <c r="AJ51" s="5" t="str" cm="1">
        <f t="array" aca="1" ref="AJ51" ca="1">INDIRECT(ADDRESS($B51,AJ$49+$A51,1,1,$C51))</f>
        <v>2020-02-22</v>
      </c>
      <c r="AK51" s="5" t="str" cm="1">
        <f t="array" aca="1" ref="AK51" ca="1">INDIRECT(ADDRESS($B51,AK$49+$A51,1,1,$C51))</f>
        <v>2020-02-23</v>
      </c>
      <c r="AL51" s="5" t="str" cm="1">
        <f t="array" aca="1" ref="AL51" ca="1">INDIRECT(ADDRESS($B51,AL$49+$A51,1,1,$C51))</f>
        <v>2020-02-24</v>
      </c>
      <c r="AM51" s="5" t="str" cm="1">
        <f t="array" aca="1" ref="AM51" ca="1">INDIRECT(ADDRESS($B51,AM$49+$A51,1,1,$C51))</f>
        <v>2020-02-25</v>
      </c>
      <c r="AN51" s="5" t="str" cm="1">
        <f t="array" aca="1" ref="AN51" ca="1">INDIRECT(ADDRESS($B51,AN$49+$A51,1,1,$C51))</f>
        <v>2020-02-26</v>
      </c>
      <c r="AO51" s="5" t="str" cm="1">
        <f t="array" aca="1" ref="AO51" ca="1">INDIRECT(ADDRESS($B51,AO$49+$A51,1,1,$C51))</f>
        <v>2020-02-27</v>
      </c>
      <c r="AP51" s="5" t="str" cm="1">
        <f t="array" aca="1" ref="AP51" ca="1">INDIRECT(ADDRESS($B51,AP$49+$A51,1,1,$C51))</f>
        <v>2020-02-28</v>
      </c>
      <c r="AQ51" s="5" t="str" cm="1">
        <f t="array" aca="1" ref="AQ51" ca="1">INDIRECT(ADDRESS($B51,AQ$49+$A51,1,1,$C51))</f>
        <v>2020-02-29</v>
      </c>
      <c r="AR51" s="5" t="str" cm="1">
        <f t="array" aca="1" ref="AR51" ca="1">INDIRECT(ADDRESS($B51,AR$49+$A51,1,1,$C51))</f>
        <v>2020-03-01</v>
      </c>
      <c r="AS51" s="5" t="str" cm="1">
        <f t="array" aca="1" ref="AS51" ca="1">INDIRECT(ADDRESS($B51,AS$49+$A51,1,1,$C51))</f>
        <v>2020-03-02</v>
      </c>
      <c r="AT51" s="5" t="str" cm="1">
        <f t="array" aca="1" ref="AT51" ca="1">INDIRECT(ADDRESS($B51,AT$49+$A51,1,1,$C51))</f>
        <v>2020-03-03</v>
      </c>
      <c r="AU51" s="5" t="str" cm="1">
        <f t="array" aca="1" ref="AU51" ca="1">INDIRECT(ADDRESS($B51,AU$49+$A51,1,1,$C51))</f>
        <v>2020-03-04</v>
      </c>
      <c r="AV51" s="5" t="str" cm="1">
        <f t="array" aca="1" ref="AV51" ca="1">INDIRECT(ADDRESS($B51,AV$49+$A51,1,1,$C51))</f>
        <v>2020-03-05</v>
      </c>
      <c r="AW51" s="5" t="str" cm="1">
        <f t="array" aca="1" ref="AW51" ca="1">INDIRECT(ADDRESS($B51,AW$49+$A51,1,1,$C51))</f>
        <v>2020-03-06</v>
      </c>
      <c r="AX51" s="5" t="str" cm="1">
        <f t="array" aca="1" ref="AX51" ca="1">INDIRECT(ADDRESS($B51,AX$49+$A51,1,1,$C51))</f>
        <v>2020-03-07</v>
      </c>
      <c r="AY51" s="5" t="str" cm="1">
        <f t="array" aca="1" ref="AY51" ca="1">INDIRECT(ADDRESS($B51,AY$49+$A51,1,1,$C51))</f>
        <v>2020-03-08</v>
      </c>
      <c r="AZ51" s="5" t="str" cm="1">
        <f t="array" aca="1" ref="AZ51" ca="1">INDIRECT(ADDRESS($B51,AZ$49+$A51,1,1,$C51))</f>
        <v>2020-03-09</v>
      </c>
      <c r="BA51" s="5" t="str" cm="1">
        <f t="array" aca="1" ref="BA51" ca="1">INDIRECT(ADDRESS($B51,BA$49+$A51,1,1,$C51))</f>
        <v>2020-03-10</v>
      </c>
      <c r="BB51" s="5" t="str" cm="1">
        <f t="array" aca="1" ref="BB51" ca="1">INDIRECT(ADDRESS($B51,BB$49+$A51,1,1,$C51))</f>
        <v>2020-03-11</v>
      </c>
      <c r="BC51" s="5" t="str" cm="1">
        <f t="array" aca="1" ref="BC51" ca="1">INDIRECT(ADDRESS($B51,BC$49+$A51,1,1,$C51))</f>
        <v>2020-03-12</v>
      </c>
      <c r="BD51" s="5" t="str" cm="1">
        <f t="array" aca="1" ref="BD51" ca="1">INDIRECT(ADDRESS($B51,BD$49+$A51,1,1,$C51))</f>
        <v>2020-03-13</v>
      </c>
      <c r="BE51" s="5" t="str" cm="1">
        <f t="array" aca="1" ref="BE51" ca="1">INDIRECT(ADDRESS($B51,BE$49+$A51,1,1,$C51))</f>
        <v>2020-03-14</v>
      </c>
      <c r="BF51" s="5" t="str" cm="1">
        <f t="array" aca="1" ref="BF51" ca="1">INDIRECT(ADDRESS($B51,BF$49+$A51,1,1,$C51))</f>
        <v>2020-03-15</v>
      </c>
      <c r="BG51" s="5" t="str" cm="1">
        <f t="array" aca="1" ref="BG51" ca="1">INDIRECT(ADDRESS($B51,BG$49+$A51,1,1,$C51))</f>
        <v>2020-03-16</v>
      </c>
      <c r="BH51" s="5" t="str" cm="1">
        <f t="array" aca="1" ref="BH51" ca="1">INDIRECT(ADDRESS($B51,BH$49+$A51,1,1,$C51))</f>
        <v>2020-03-17</v>
      </c>
      <c r="BI51" s="5" t="str" cm="1">
        <f t="array" aca="1" ref="BI51" ca="1">INDIRECT(ADDRESS($B51,BI$49+$A51,1,1,$C51))</f>
        <v>2020-03-18</v>
      </c>
      <c r="BJ51" s="5" t="str" cm="1">
        <f t="array" aca="1" ref="BJ51" ca="1">INDIRECT(ADDRESS($B51,BJ$49+$A51,1,1,$C51))</f>
        <v>2020-03-19</v>
      </c>
      <c r="BK51" s="5" t="str" cm="1">
        <f t="array" aca="1" ref="BK51" ca="1">INDIRECT(ADDRESS($B51,BK$49+$A51,1,1,$C51))</f>
        <v>2020-03-20</v>
      </c>
      <c r="BL51" s="5" t="str" cm="1">
        <f t="array" aca="1" ref="BL51" ca="1">INDIRECT(ADDRESS($B51,BL$49+$A51,1,1,$C51))</f>
        <v>2020-03-21</v>
      </c>
      <c r="BM51" s="5" t="str" cm="1">
        <f t="array" aca="1" ref="BM51" ca="1">INDIRECT(ADDRESS($B51,BM$49+$A51,1,1,$C51))</f>
        <v>2020-03-22</v>
      </c>
      <c r="BN51" s="5" t="str" cm="1">
        <f t="array" aca="1" ref="BN51" ca="1">INDIRECT(ADDRESS($B51,BN$49+$A51,1,1,$C51))</f>
        <v>2020-03-23</v>
      </c>
      <c r="BO51" s="5" cm="1">
        <f t="array" aca="1" ref="BO51" ca="1">INDIRECT(ADDRESS($B51,BO$49+$A51,1,1,$C51))</f>
        <v>0</v>
      </c>
      <c r="BP51" s="5" cm="1">
        <f t="array" aca="1" ref="BP51" ca="1">INDIRECT(ADDRESS($B51,BP$49+$A51,1,1,$C51))</f>
        <v>0</v>
      </c>
      <c r="BQ51" s="5" cm="1">
        <f t="array" aca="1" ref="BQ51" ca="1">INDIRECT(ADDRESS($B51,BQ$49+$A51,1,1,$C51))</f>
        <v>0</v>
      </c>
      <c r="BR51" s="5" cm="1">
        <f t="array" aca="1" ref="BR51" ca="1">INDIRECT(ADDRESS($B51,BR$49+$A51,1,1,$C51))</f>
        <v>0</v>
      </c>
      <c r="BS51" s="5" cm="1">
        <f t="array" aca="1" ref="BS51" ca="1">INDIRECT(ADDRESS($B51,BS$49+$A51,1,1,$C51))</f>
        <v>0</v>
      </c>
      <c r="BT51" s="5" cm="1">
        <f t="array" aca="1" ref="BT51" ca="1">INDIRECT(ADDRESS($B51,BT$49+$A51,1,1,$C51))</f>
        <v>0</v>
      </c>
      <c r="BU51" s="5" cm="1">
        <f t="array" aca="1" ref="BU51" ca="1">INDIRECT(ADDRESS($B51,BU$49+$A51,1,1,$C51))</f>
        <v>0</v>
      </c>
      <c r="BV51" s="5" cm="1">
        <f t="array" aca="1" ref="BV51" ca="1">INDIRECT(ADDRESS($B51,BV$49+$A51,1,1,$C51))</f>
        <v>0</v>
      </c>
    </row>
    <row r="52" spans="1:74" x14ac:dyDescent="0.25">
      <c r="A52">
        <v>6</v>
      </c>
      <c r="B52">
        <f ca="1">MATCH($C52,INDIRECT("'"&amp;$C$51&amp;"'!A:A"),0)</f>
        <v>23</v>
      </c>
      <c r="C52" s="1" t="str">
        <f>C8</f>
        <v>Switzerland Ticino</v>
      </c>
      <c r="D52" t="str">
        <f>C51</f>
        <v>Confirmed</v>
      </c>
      <c r="E52" s="1" cm="1">
        <f t="array" aca="1" ref="E52" ca="1">INDIRECT(ADDRESS($B52,E$49+$A52,1,1,$D52))</f>
        <v>0</v>
      </c>
      <c r="F52" s="1" cm="1">
        <f t="array" aca="1" ref="F52" ca="1">INDIRECT(ADDRESS($B52,F$49+$A52,1,1,$D52))</f>
        <v>0</v>
      </c>
      <c r="G52" s="1" cm="1">
        <f t="array" aca="1" ref="G52" ca="1">INDIRECT(ADDRESS($B52,G$49+$A52,1,1,$D52))</f>
        <v>0</v>
      </c>
      <c r="H52" s="1" cm="1">
        <f t="array" aca="1" ref="H52" ca="1">INDIRECT(ADDRESS($B52,H$49+$A52,1,1,$D52))</f>
        <v>0</v>
      </c>
      <c r="I52" s="1" cm="1">
        <f t="array" aca="1" ref="I52" ca="1">INDIRECT(ADDRESS($B52,I$49+$A52,1,1,$D52))</f>
        <v>0</v>
      </c>
      <c r="J52" s="1" cm="1">
        <f t="array" aca="1" ref="J52" ca="1">INDIRECT(ADDRESS($B52,J$49+$A52,1,1,$D52))</f>
        <v>0</v>
      </c>
      <c r="K52" s="1" cm="1">
        <f t="array" aca="1" ref="K52" ca="1">INDIRECT(ADDRESS($B52,K$49+$A52,1,1,$D52))</f>
        <v>0</v>
      </c>
      <c r="L52" s="1" cm="1">
        <f t="array" aca="1" ref="L52" ca="1">INDIRECT(ADDRESS($B52,L$49+$A52,1,1,$D52))</f>
        <v>0</v>
      </c>
      <c r="M52" s="1" cm="1">
        <f t="array" aca="1" ref="M52" ca="1">INDIRECT(ADDRESS($B52,M$49+$A52,1,1,$D52))</f>
        <v>0</v>
      </c>
      <c r="N52" s="1" cm="1">
        <f t="array" aca="1" ref="N52" ca="1">INDIRECT(ADDRESS($B52,N$49+$A52,1,1,$D52))</f>
        <v>0</v>
      </c>
      <c r="O52" s="1" cm="1">
        <f t="array" aca="1" ref="O52" ca="1">INDIRECT(ADDRESS($B52,O$49+$A52,1,1,$D52))</f>
        <v>0</v>
      </c>
      <c r="P52" s="1" cm="1">
        <f t="array" aca="1" ref="P52" ca="1">INDIRECT(ADDRESS($B52,P$49+$A52,1,1,$D52))</f>
        <v>0</v>
      </c>
      <c r="Q52" s="1" cm="1">
        <f t="array" aca="1" ref="Q52" ca="1">INDIRECT(ADDRESS($B52,Q$49+$A52,1,1,$D52))</f>
        <v>0</v>
      </c>
      <c r="R52" s="1" cm="1">
        <f t="array" aca="1" ref="R52" ca="1">INDIRECT(ADDRESS($B52,R$49+$A52,1,1,$D52))</f>
        <v>0</v>
      </c>
      <c r="S52" s="1" cm="1">
        <f t="array" aca="1" ref="S52" ca="1">INDIRECT(ADDRESS($B52,S$49+$A52,1,1,$D52))</f>
        <v>0</v>
      </c>
      <c r="T52" s="1" cm="1">
        <f t="array" aca="1" ref="T52" ca="1">INDIRECT(ADDRESS($B52,T$49+$A52,1,1,$D52))</f>
        <v>0</v>
      </c>
      <c r="U52" s="1" cm="1">
        <f t="array" aca="1" ref="U52" ca="1">INDIRECT(ADDRESS($B52,U$49+$A52,1,1,$D52))</f>
        <v>0</v>
      </c>
      <c r="V52" s="1" cm="1">
        <f t="array" aca="1" ref="V52" ca="1">INDIRECT(ADDRESS($B52,V$49+$A52,1,1,$D52))</f>
        <v>0</v>
      </c>
      <c r="W52" s="1" cm="1">
        <f t="array" aca="1" ref="W52" ca="1">INDIRECT(ADDRESS($B52,W$49+$A52,1,1,$D52))</f>
        <v>0</v>
      </c>
      <c r="X52" s="1" cm="1">
        <f t="array" aca="1" ref="X52" ca="1">INDIRECT(ADDRESS($B52,X$49+$A52,1,1,$D52))</f>
        <v>0</v>
      </c>
      <c r="Y52" s="1" cm="1">
        <f t="array" aca="1" ref="Y52" ca="1">INDIRECT(ADDRESS($B52,Y$49+$A52,1,1,$D52))</f>
        <v>0</v>
      </c>
      <c r="Z52" s="1" cm="1">
        <f t="array" aca="1" ref="Z52" ca="1">INDIRECT(ADDRESS($B52,Z$49+$A52,1,1,$D52))</f>
        <v>0</v>
      </c>
      <c r="AA52" s="1" cm="1">
        <f t="array" aca="1" ref="AA52" ca="1">INDIRECT(ADDRESS($B52,AA$49+$A52,1,1,$D52))</f>
        <v>0</v>
      </c>
      <c r="AB52" s="1" cm="1">
        <f t="array" aca="1" ref="AB52" ca="1">INDIRECT(ADDRESS($B52,AB$49+$A52,1,1,$D52))</f>
        <v>0</v>
      </c>
      <c r="AC52" s="1" cm="1">
        <f t="array" aca="1" ref="AC52" ca="1">INDIRECT(ADDRESS($B52,AC$49+$A52,1,1,$D52))</f>
        <v>0</v>
      </c>
      <c r="AD52" s="1" cm="1">
        <f t="array" aca="1" ref="AD52" ca="1">INDIRECT(ADDRESS($B52,AD$49+$A52,1,1,$D52))</f>
        <v>0</v>
      </c>
      <c r="AE52" s="1" cm="1">
        <f t="array" aca="1" ref="AE52" ca="1">INDIRECT(ADDRESS($B52,AE$49+$A52,1,1,$D52))</f>
        <v>0</v>
      </c>
      <c r="AF52" s="1" cm="1">
        <f t="array" aca="1" ref="AF52" ca="1">INDIRECT(ADDRESS($B52,AF$49+$A52,1,1,$D52))</f>
        <v>0</v>
      </c>
      <c r="AG52" s="1" cm="1">
        <f t="array" aca="1" ref="AG52" ca="1">INDIRECT(ADDRESS($B52,AG$49+$A52,1,1,$D52))</f>
        <v>0</v>
      </c>
      <c r="AH52" s="1" cm="1">
        <f t="array" aca="1" ref="AH52" ca="1">INDIRECT(ADDRESS($B52,AH$49+$A52,1,1,$D52))</f>
        <v>0</v>
      </c>
      <c r="AI52" s="1" cm="1">
        <f t="array" aca="1" ref="AI52" ca="1">INDIRECT(ADDRESS($B52,AI$49+$A52,1,1,$D52))</f>
        <v>0</v>
      </c>
      <c r="AJ52" s="1" cm="1">
        <f t="array" aca="1" ref="AJ52" ca="1">INDIRECT(ADDRESS($B52,AJ$49+$A52,1,1,$D52))</f>
        <v>0</v>
      </c>
      <c r="AK52" s="1" cm="1">
        <f t="array" aca="1" ref="AK52" ca="1">INDIRECT(ADDRESS($B52,AK$49+$A52,1,1,$D52))</f>
        <v>0</v>
      </c>
      <c r="AL52" s="1" cm="1">
        <f t="array" aca="1" ref="AL52" ca="1">INDIRECT(ADDRESS($B52,AL$49+$A52,1,1,$D52))</f>
        <v>0</v>
      </c>
      <c r="AM52" s="1" cm="1">
        <f t="array" aca="1" ref="AM52" ca="1">INDIRECT(ADDRESS($B52,AM$49+$A52,1,1,$D52))</f>
        <v>1</v>
      </c>
      <c r="AN52" s="1" cm="1">
        <f t="array" aca="1" ref="AN52" ca="1">INDIRECT(ADDRESS($B52,AN$49+$A52,1,1,$D52))</f>
        <v>1</v>
      </c>
      <c r="AO52" s="1" cm="1">
        <f t="array" aca="1" ref="AO52" ca="1">INDIRECT(ADDRESS($B52,AO$49+$A52,1,1,$D52))</f>
        <v>1</v>
      </c>
      <c r="AP52" s="1" cm="1">
        <f t="array" aca="1" ref="AP52" ca="1">INDIRECT(ADDRESS($B52,AP$49+$A52,1,1,$D52))</f>
        <v>1</v>
      </c>
      <c r="AQ52" s="1" cm="1">
        <f t="array" aca="1" ref="AQ52" ca="1">INDIRECT(ADDRESS($B52,AQ$49+$A52,1,1,$D52))</f>
        <v>1</v>
      </c>
      <c r="AR52" s="1" cm="1">
        <f t="array" aca="1" ref="AR52" ca="1">INDIRECT(ADDRESS($B52,AR$49+$A52,1,1,$D52))</f>
        <v>1</v>
      </c>
      <c r="AS52" s="1" cm="1">
        <f t="array" aca="1" ref="AS52" ca="1">INDIRECT(ADDRESS($B52,AS$49+$A52,1,1,$D52))</f>
        <v>2</v>
      </c>
      <c r="AT52" s="1" cm="1">
        <f t="array" aca="1" ref="AT52" ca="1">INDIRECT(ADDRESS($B52,AT$49+$A52,1,1,$D52))</f>
        <v>4</v>
      </c>
      <c r="AU52" s="1" cm="1">
        <f t="array" aca="1" ref="AU52" ca="1">INDIRECT(ADDRESS($B52,AU$49+$A52,1,1,$D52))</f>
        <v>5</v>
      </c>
      <c r="AV52" s="1" cm="1">
        <f t="array" aca="1" ref="AV52" ca="1">INDIRECT(ADDRESS($B52,AV$49+$A52,1,1,$D52))</f>
        <v>5</v>
      </c>
      <c r="AW52" s="1" cm="1">
        <f t="array" aca="1" ref="AW52" ca="1">INDIRECT(ADDRESS($B52,AW$49+$A52,1,1,$D52))</f>
        <v>5</v>
      </c>
      <c r="AX52" s="1" cm="1">
        <f t="array" aca="1" ref="AX52" ca="1">INDIRECT(ADDRESS($B52,AX$49+$A52,1,1,$D52))</f>
        <v>5</v>
      </c>
      <c r="AY52" s="1" cm="1">
        <f t="array" aca="1" ref="AY52" ca="1">INDIRECT(ADDRESS($B52,AY$49+$A52,1,1,$D52))</f>
        <v>5</v>
      </c>
      <c r="AZ52" s="1" cm="1">
        <f t="array" aca="1" ref="AZ52" ca="1">INDIRECT(ADDRESS($B52,AZ$49+$A52,1,1,$D52))</f>
        <v>5</v>
      </c>
      <c r="BA52" s="1" cm="1">
        <f t="array" aca="1" ref="BA52" ca="1">INDIRECT(ADDRESS($B52,BA$49+$A52,1,1,$D52))</f>
        <v>5</v>
      </c>
      <c r="BB52" s="1" cm="1">
        <f t="array" aca="1" ref="BB52" ca="1">INDIRECT(ADDRESS($B52,BB$49+$A52,1,1,$D52))</f>
        <v>5</v>
      </c>
      <c r="BC52" s="1" cm="1">
        <f t="array" aca="1" ref="BC52" ca="1">INDIRECT(ADDRESS($B52,BC$49+$A52,1,1,$D52))</f>
        <v>180</v>
      </c>
      <c r="BD52" s="1" cm="1">
        <f t="array" aca="1" ref="BD52" ca="1">INDIRECT(ADDRESS($B52,BD$49+$A52,1,1,$D52))</f>
        <v>258</v>
      </c>
      <c r="BE52" s="1" cm="1">
        <f t="array" aca="1" ref="BE52" ca="1">INDIRECT(ADDRESS($B52,BE$49+$A52,1,1,$D52))</f>
        <v>265</v>
      </c>
      <c r="BF52" s="1" cm="1">
        <f t="array" aca="1" ref="BF52" ca="1">INDIRECT(ADDRESS($B52,BF$49+$A52,1,1,$D52))</f>
        <v>291</v>
      </c>
      <c r="BG52" s="1" cm="1">
        <f t="array" aca="1" ref="BG52" ca="1">INDIRECT(ADDRESS($B52,BG$49+$A52,1,1,$D52))</f>
        <v>330</v>
      </c>
      <c r="BH52" s="1" cm="1">
        <f t="array" aca="1" ref="BH52" ca="1">INDIRECT(ADDRESS($B52,BH$49+$A52,1,1,$D52))</f>
        <v>422</v>
      </c>
      <c r="BI52" s="1" cm="1">
        <f t="array" aca="1" ref="BI52" ca="1">INDIRECT(ADDRESS($B52,BI$49+$A52,1,1,$D52))</f>
        <v>511</v>
      </c>
      <c r="BJ52" s="1" cm="1">
        <f t="array" aca="1" ref="BJ52" ca="1">INDIRECT(ADDRESS($B52,BJ$49+$A52,1,1,$D52))</f>
        <v>638</v>
      </c>
      <c r="BK52" s="1" cm="1">
        <f t="array" aca="1" ref="BK52" ca="1">INDIRECT(ADDRESS($B52,BK$49+$A52,1,1,$D52))</f>
        <v>834</v>
      </c>
      <c r="BL52" s="1" cm="1">
        <f t="array" aca="1" ref="BL52" ca="1">INDIRECT(ADDRESS($B52,BL$49+$A52,1,1,$D52))</f>
        <v>918</v>
      </c>
      <c r="BM52" s="1" cm="1">
        <f t="array" aca="1" ref="BM52" ca="1">INDIRECT(ADDRESS($B52,BM$49+$A52,1,1,$D52))</f>
        <v>939</v>
      </c>
      <c r="BN52" s="1" cm="1">
        <f t="array" aca="1" ref="BN52" ca="1">INDIRECT(ADDRESS($B52,BN$49+$A52,1,1,$D52))</f>
        <v>1165</v>
      </c>
      <c r="BO52" s="1" cm="1">
        <f t="array" aca="1" ref="BO52" ca="1">INDIRECT(ADDRESS($B52,BO$49+$A52,1,1,$D52))</f>
        <v>0</v>
      </c>
      <c r="BP52" s="1" cm="1">
        <f t="array" aca="1" ref="BP52" ca="1">INDIRECT(ADDRESS($B52,BP$49+$A52,1,1,$D52))</f>
        <v>0</v>
      </c>
      <c r="BQ52" s="1" cm="1">
        <f t="array" aca="1" ref="BQ52" ca="1">INDIRECT(ADDRESS($B52,BQ$49+$A52,1,1,$D52))</f>
        <v>0</v>
      </c>
      <c r="BR52" s="1" cm="1">
        <f t="array" aca="1" ref="BR52" ca="1">INDIRECT(ADDRESS($B52,BR$49+$A52,1,1,$D52))</f>
        <v>0</v>
      </c>
      <c r="BS52" s="1" cm="1">
        <f t="array" aca="1" ref="BS52" ca="1">INDIRECT(ADDRESS($B52,BS$49+$A52,1,1,$D52))</f>
        <v>0</v>
      </c>
      <c r="BT52" s="1" cm="1">
        <f t="array" aca="1" ref="BT52" ca="1">INDIRECT(ADDRESS($B52,BT$49+$A52,1,1,$D52))</f>
        <v>0</v>
      </c>
      <c r="BU52" s="1" cm="1">
        <f t="array" aca="1" ref="BU52" ca="1">INDIRECT(ADDRESS($B52,BU$49+$A52,1,1,$D52))</f>
        <v>0</v>
      </c>
      <c r="BV52" s="1" cm="1">
        <f t="array" aca="1" ref="BV52" ca="1">INDIRECT(ADDRESS($B52,BV$49+$A52,1,1,$D52))</f>
        <v>0</v>
      </c>
    </row>
    <row r="53" spans="1:74" x14ac:dyDescent="0.25">
      <c r="A53">
        <v>6</v>
      </c>
      <c r="B53">
        <f ca="1">MATCH($C53,INDIRECT("'"&amp;$C$87&amp;"'!A:A"),0)</f>
        <v>28</v>
      </c>
      <c r="C53" s="1" t="str">
        <f>C9</f>
        <v>Switzerland Zurich</v>
      </c>
      <c r="D53" t="str">
        <f>D52</f>
        <v>Confirmed</v>
      </c>
      <c r="E53" s="1" cm="1">
        <f t="array" aca="1" ref="E53" ca="1">INDIRECT(ADDRESS($B53,E$49+$A53,1,1,$D53))</f>
        <v>0</v>
      </c>
      <c r="F53" s="1" cm="1">
        <f t="array" aca="1" ref="F53" ca="1">INDIRECT(ADDRESS($B53,F$49+$A53,1,1,$D53))</f>
        <v>0</v>
      </c>
      <c r="G53" s="1" cm="1">
        <f t="array" aca="1" ref="G53" ca="1">INDIRECT(ADDRESS($B53,G$49+$A53,1,1,$D53))</f>
        <v>0</v>
      </c>
      <c r="H53" s="1" cm="1">
        <f t="array" aca="1" ref="H53" ca="1">INDIRECT(ADDRESS($B53,H$49+$A53,1,1,$D53))</f>
        <v>0</v>
      </c>
      <c r="I53" s="1" cm="1">
        <f t="array" aca="1" ref="I53" ca="1">INDIRECT(ADDRESS($B53,I$49+$A53,1,1,$D53))</f>
        <v>0</v>
      </c>
      <c r="J53" s="1" cm="1">
        <f t="array" aca="1" ref="J53" ca="1">INDIRECT(ADDRESS($B53,J$49+$A53,1,1,$D53))</f>
        <v>0</v>
      </c>
      <c r="K53" s="1" cm="1">
        <f t="array" aca="1" ref="K53" ca="1">INDIRECT(ADDRESS($B53,K$49+$A53,1,1,$D53))</f>
        <v>0</v>
      </c>
      <c r="L53" s="1" cm="1">
        <f t="array" aca="1" ref="L53" ca="1">INDIRECT(ADDRESS($B53,L$49+$A53,1,1,$D53))</f>
        <v>0</v>
      </c>
      <c r="M53" s="1" cm="1">
        <f t="array" aca="1" ref="M53" ca="1">INDIRECT(ADDRESS($B53,M$49+$A53,1,1,$D53))</f>
        <v>0</v>
      </c>
      <c r="N53" s="1" cm="1">
        <f t="array" aca="1" ref="N53" ca="1">INDIRECT(ADDRESS($B53,N$49+$A53,1,1,$D53))</f>
        <v>0</v>
      </c>
      <c r="O53" s="1" cm="1">
        <f t="array" aca="1" ref="O53" ca="1">INDIRECT(ADDRESS($B53,O$49+$A53,1,1,$D53))</f>
        <v>0</v>
      </c>
      <c r="P53" s="1" cm="1">
        <f t="array" aca="1" ref="P53" ca="1">INDIRECT(ADDRESS($B53,P$49+$A53,1,1,$D53))</f>
        <v>0</v>
      </c>
      <c r="Q53" s="1" cm="1">
        <f t="array" aca="1" ref="Q53" ca="1">INDIRECT(ADDRESS($B53,Q$49+$A53,1,1,$D53))</f>
        <v>0</v>
      </c>
      <c r="R53" s="1" cm="1">
        <f t="array" aca="1" ref="R53" ca="1">INDIRECT(ADDRESS($B53,R$49+$A53,1,1,$D53))</f>
        <v>0</v>
      </c>
      <c r="S53" s="1" cm="1">
        <f t="array" aca="1" ref="S53" ca="1">INDIRECT(ADDRESS($B53,S$49+$A53,1,1,$D53))</f>
        <v>0</v>
      </c>
      <c r="T53" s="1" cm="1">
        <f t="array" aca="1" ref="T53" ca="1">INDIRECT(ADDRESS($B53,T$49+$A53,1,1,$D53))</f>
        <v>0</v>
      </c>
      <c r="U53" s="1" cm="1">
        <f t="array" aca="1" ref="U53" ca="1">INDIRECT(ADDRESS($B53,U$49+$A53,1,1,$D53))</f>
        <v>0</v>
      </c>
      <c r="V53" s="1" cm="1">
        <f t="array" aca="1" ref="V53" ca="1">INDIRECT(ADDRESS($B53,V$49+$A53,1,1,$D53))</f>
        <v>0</v>
      </c>
      <c r="W53" s="1" cm="1">
        <f t="array" aca="1" ref="W53" ca="1">INDIRECT(ADDRESS($B53,W$49+$A53,1,1,$D53))</f>
        <v>0</v>
      </c>
      <c r="X53" s="1" cm="1">
        <f t="array" aca="1" ref="X53" ca="1">INDIRECT(ADDRESS($B53,X$49+$A53,1,1,$D53))</f>
        <v>0</v>
      </c>
      <c r="Y53" s="1" cm="1">
        <f t="array" aca="1" ref="Y53" ca="1">INDIRECT(ADDRESS($B53,Y$49+$A53,1,1,$D53))</f>
        <v>0</v>
      </c>
      <c r="Z53" s="1" cm="1">
        <f t="array" aca="1" ref="Z53" ca="1">INDIRECT(ADDRESS($B53,Z$49+$A53,1,1,$D53))</f>
        <v>0</v>
      </c>
      <c r="AA53" s="1" cm="1">
        <f t="array" aca="1" ref="AA53" ca="1">INDIRECT(ADDRESS($B53,AA$49+$A53,1,1,$D53))</f>
        <v>0</v>
      </c>
      <c r="AB53" s="1" cm="1">
        <f t="array" aca="1" ref="AB53" ca="1">INDIRECT(ADDRESS($B53,AB$49+$A53,1,1,$D53))</f>
        <v>0</v>
      </c>
      <c r="AC53" s="1" cm="1">
        <f t="array" aca="1" ref="AC53" ca="1">INDIRECT(ADDRESS($B53,AC$49+$A53,1,1,$D53))</f>
        <v>0</v>
      </c>
      <c r="AD53" s="1" cm="1">
        <f t="array" aca="1" ref="AD53" ca="1">INDIRECT(ADDRESS($B53,AD$49+$A53,1,1,$D53))</f>
        <v>0</v>
      </c>
      <c r="AE53" s="1" cm="1">
        <f t="array" aca="1" ref="AE53" ca="1">INDIRECT(ADDRESS($B53,AE$49+$A53,1,1,$D53))</f>
        <v>0</v>
      </c>
      <c r="AF53" s="1" cm="1">
        <f t="array" aca="1" ref="AF53" ca="1">INDIRECT(ADDRESS($B53,AF$49+$A53,1,1,$D53))</f>
        <v>0</v>
      </c>
      <c r="AG53" s="1" cm="1">
        <f t="array" aca="1" ref="AG53" ca="1">INDIRECT(ADDRESS($B53,AG$49+$A53,1,1,$D53))</f>
        <v>0</v>
      </c>
      <c r="AH53" s="1" cm="1">
        <f t="array" aca="1" ref="AH53" ca="1">INDIRECT(ADDRESS($B53,AH$49+$A53,1,1,$D53))</f>
        <v>0</v>
      </c>
      <c r="AI53" s="1" cm="1">
        <f t="array" aca="1" ref="AI53" ca="1">INDIRECT(ADDRESS($B53,AI$49+$A53,1,1,$D53))</f>
        <v>0</v>
      </c>
      <c r="AJ53" s="1" cm="1">
        <f t="array" aca="1" ref="AJ53" ca="1">INDIRECT(ADDRESS($B53,AJ$49+$A53,1,1,$D53))</f>
        <v>0</v>
      </c>
      <c r="AK53" s="1" cm="1">
        <f t="array" aca="1" ref="AK53" ca="1">INDIRECT(ADDRESS($B53,AK$49+$A53,1,1,$D53))</f>
        <v>0</v>
      </c>
      <c r="AL53" s="1" cm="1">
        <f t="array" aca="1" ref="AL53" ca="1">INDIRECT(ADDRESS($B53,AL$49+$A53,1,1,$D53))</f>
        <v>0</v>
      </c>
      <c r="AM53" s="1" cm="1">
        <f t="array" aca="1" ref="AM53" ca="1">INDIRECT(ADDRESS($B53,AM$49+$A53,1,1,$D53))</f>
        <v>0</v>
      </c>
      <c r="AN53" s="1" cm="1">
        <f t="array" aca="1" ref="AN53" ca="1">INDIRECT(ADDRESS($B53,AN$49+$A53,1,1,$D53))</f>
        <v>0</v>
      </c>
      <c r="AO53" s="1" cm="1">
        <f t="array" aca="1" ref="AO53" ca="1">INDIRECT(ADDRESS($B53,AO$49+$A53,1,1,$D53))</f>
        <v>1</v>
      </c>
      <c r="AP53" s="1" cm="1">
        <f t="array" aca="1" ref="AP53" ca="1">INDIRECT(ADDRESS($B53,AP$49+$A53,1,1,$D53))</f>
        <v>2</v>
      </c>
      <c r="AQ53" s="1" cm="1">
        <f t="array" aca="1" ref="AQ53" ca="1">INDIRECT(ADDRESS($B53,AQ$49+$A53,1,1,$D53))</f>
        <v>2</v>
      </c>
      <c r="AR53" s="1" cm="1">
        <f t="array" aca="1" ref="AR53" ca="1">INDIRECT(ADDRESS($B53,AR$49+$A53,1,1,$D53))</f>
        <v>2</v>
      </c>
      <c r="AS53" s="1" cm="1">
        <f t="array" aca="1" ref="AS53" ca="1">INDIRECT(ADDRESS($B53,AS$49+$A53,1,1,$D53))</f>
        <v>2</v>
      </c>
      <c r="AT53" s="1" cm="1">
        <f t="array" aca="1" ref="AT53" ca="1">INDIRECT(ADDRESS($B53,AT$49+$A53,1,1,$D53))</f>
        <v>9</v>
      </c>
      <c r="AU53" s="1" cm="1">
        <f t="array" aca="1" ref="AU53" ca="1">INDIRECT(ADDRESS($B53,AU$49+$A53,1,1,$D53))</f>
        <v>9</v>
      </c>
      <c r="AV53" s="1" cm="1">
        <f t="array" aca="1" ref="AV53" ca="1">INDIRECT(ADDRESS($B53,AV$49+$A53,1,1,$D53))</f>
        <v>19</v>
      </c>
      <c r="AW53" s="1" cm="1">
        <f t="array" aca="1" ref="AW53" ca="1">INDIRECT(ADDRESS($B53,AW$49+$A53,1,1,$D53))</f>
        <v>26</v>
      </c>
      <c r="AX53" s="1" cm="1">
        <f t="array" aca="1" ref="AX53" ca="1">INDIRECT(ADDRESS($B53,AX$49+$A53,1,1,$D53))</f>
        <v>30</v>
      </c>
      <c r="AY53" s="1" cm="1">
        <f t="array" aca="1" ref="AY53" ca="1">INDIRECT(ADDRESS($B53,AY$49+$A53,1,1,$D53))</f>
        <v>37</v>
      </c>
      <c r="AZ53" s="1" cm="1">
        <f t="array" aca="1" ref="AZ53" ca="1">INDIRECT(ADDRESS($B53,AZ$49+$A53,1,1,$D53))</f>
        <v>40</v>
      </c>
      <c r="BA53" s="1" cm="1">
        <f t="array" aca="1" ref="BA53" ca="1">INDIRECT(ADDRESS($B53,BA$49+$A53,1,1,$D53))</f>
        <v>49</v>
      </c>
      <c r="BB53" s="1" cm="1">
        <f t="array" aca="1" ref="BB53" ca="1">INDIRECT(ADDRESS($B53,BB$49+$A53,1,1,$D53))</f>
        <v>59</v>
      </c>
      <c r="BC53" s="1" cm="1">
        <f t="array" aca="1" ref="BC53" ca="1">INDIRECT(ADDRESS($B53,BC$49+$A53,1,1,$D53))</f>
        <v>92</v>
      </c>
      <c r="BD53" s="1" cm="1">
        <f t="array" aca="1" ref="BD53" ca="1">INDIRECT(ADDRESS($B53,BD$49+$A53,1,1,$D53))</f>
        <v>140</v>
      </c>
      <c r="BE53" s="1" cm="1">
        <f t="array" aca="1" ref="BE53" ca="1">INDIRECT(ADDRESS($B53,BE$49+$A53,1,1,$D53))</f>
        <v>140</v>
      </c>
      <c r="BF53" s="1" cm="1">
        <f t="array" aca="1" ref="BF53" ca="1">INDIRECT(ADDRESS($B53,BF$49+$A53,1,1,$D53))</f>
        <v>140</v>
      </c>
      <c r="BG53" s="1" cm="1">
        <f t="array" aca="1" ref="BG53" ca="1">INDIRECT(ADDRESS($B53,BG$49+$A53,1,1,$D53))</f>
        <v>270</v>
      </c>
      <c r="BH53" s="1" cm="1">
        <f t="array" aca="1" ref="BH53" ca="1">INDIRECT(ADDRESS($B53,BH$49+$A53,1,1,$D53))</f>
        <v>294</v>
      </c>
      <c r="BI53" s="1" cm="1">
        <f t="array" aca="1" ref="BI53" ca="1">INDIRECT(ADDRESS($B53,BI$49+$A53,1,1,$D53))</f>
        <v>424</v>
      </c>
      <c r="BJ53" s="1" cm="1">
        <f t="array" aca="1" ref="BJ53" ca="1">INDIRECT(ADDRESS($B53,BJ$49+$A53,1,1,$D53))</f>
        <v>526</v>
      </c>
      <c r="BK53" s="1" cm="1">
        <f t="array" aca="1" ref="BK53" ca="1">INDIRECT(ADDRESS($B53,BK$49+$A53,1,1,$D53))</f>
        <v>773</v>
      </c>
      <c r="BL53" s="1" cm="1">
        <f t="array" aca="1" ref="BL53" ca="1">INDIRECT(ADDRESS($B53,BL$49+$A53,1,1,$D53))</f>
        <v>773</v>
      </c>
      <c r="BM53" s="1" cm="1">
        <f t="array" aca="1" ref="BM53" ca="1">INDIRECT(ADDRESS($B53,BM$49+$A53,1,1,$D53))</f>
        <v>773</v>
      </c>
      <c r="BN53" s="1" cm="1">
        <f t="array" aca="1" ref="BN53" ca="1">INDIRECT(ADDRESS($B53,BN$49+$A53,1,1,$D53))</f>
        <v>1068</v>
      </c>
      <c r="BO53" s="1" cm="1">
        <f t="array" aca="1" ref="BO53" ca="1">INDIRECT(ADDRESS($B53,BO$49+$A53,1,1,$D53))</f>
        <v>0</v>
      </c>
      <c r="BP53" s="1" cm="1">
        <f t="array" aca="1" ref="BP53" ca="1">INDIRECT(ADDRESS($B53,BP$49+$A53,1,1,$D53))</f>
        <v>0</v>
      </c>
      <c r="BQ53" s="1" cm="1">
        <f t="array" aca="1" ref="BQ53" ca="1">INDIRECT(ADDRESS($B53,BQ$49+$A53,1,1,$D53))</f>
        <v>0</v>
      </c>
      <c r="BR53" s="1" cm="1">
        <f t="array" aca="1" ref="BR53" ca="1">INDIRECT(ADDRESS($B53,BR$49+$A53,1,1,$D53))</f>
        <v>0</v>
      </c>
      <c r="BS53" s="1" cm="1">
        <f t="array" aca="1" ref="BS53" ca="1">INDIRECT(ADDRESS($B53,BS$49+$A53,1,1,$D53))</f>
        <v>0</v>
      </c>
      <c r="BT53" s="1" cm="1">
        <f t="array" aca="1" ref="BT53" ca="1">INDIRECT(ADDRESS($B53,BT$49+$A53,1,1,$D53))</f>
        <v>0</v>
      </c>
      <c r="BU53" s="1" cm="1">
        <f t="array" aca="1" ref="BU53" ca="1">INDIRECT(ADDRESS($B53,BU$49+$A53,1,1,$D53))</f>
        <v>0</v>
      </c>
      <c r="BV53" s="1" cm="1">
        <f t="array" aca="1" ref="BV53" ca="1">INDIRECT(ADDRESS($B53,BV$49+$A53,1,1,$D53))</f>
        <v>0</v>
      </c>
    </row>
    <row r="54" spans="1:74" x14ac:dyDescent="0.25">
      <c r="A54">
        <v>6</v>
      </c>
      <c r="B54">
        <f ca="1">MATCH($C54,INDIRECT("'"&amp;$C$87&amp;"'!A:A"),0)</f>
        <v>26</v>
      </c>
      <c r="C54" s="1" t="str">
        <f>C10</f>
        <v>Switzerland Vaud</v>
      </c>
      <c r="D54" t="str">
        <f>D53</f>
        <v>Confirmed</v>
      </c>
      <c r="E54" s="1" cm="1">
        <f t="array" aca="1" ref="E54" ca="1">INDIRECT(ADDRESS($B54,E$49+$A54,1,1,$D54))</f>
        <v>0</v>
      </c>
      <c r="F54" s="1" cm="1">
        <f t="array" aca="1" ref="F54" ca="1">INDIRECT(ADDRESS($B54,F$49+$A54,1,1,$D54))</f>
        <v>0</v>
      </c>
      <c r="G54" s="1" cm="1">
        <f t="array" aca="1" ref="G54" ca="1">INDIRECT(ADDRESS($B54,G$49+$A54,1,1,$D54))</f>
        <v>0</v>
      </c>
      <c r="H54" s="1" cm="1">
        <f t="array" aca="1" ref="H54" ca="1">INDIRECT(ADDRESS($B54,H$49+$A54,1,1,$D54))</f>
        <v>0</v>
      </c>
      <c r="I54" s="1" cm="1">
        <f t="array" aca="1" ref="I54" ca="1">INDIRECT(ADDRESS($B54,I$49+$A54,1,1,$D54))</f>
        <v>0</v>
      </c>
      <c r="J54" s="1" cm="1">
        <f t="array" aca="1" ref="J54" ca="1">INDIRECT(ADDRESS($B54,J$49+$A54,1,1,$D54))</f>
        <v>0</v>
      </c>
      <c r="K54" s="1" cm="1">
        <f t="array" aca="1" ref="K54" ca="1">INDIRECT(ADDRESS($B54,K$49+$A54,1,1,$D54))</f>
        <v>0</v>
      </c>
      <c r="L54" s="1" cm="1">
        <f t="array" aca="1" ref="L54" ca="1">INDIRECT(ADDRESS($B54,L$49+$A54,1,1,$D54))</f>
        <v>0</v>
      </c>
      <c r="M54" s="1" cm="1">
        <f t="array" aca="1" ref="M54" ca="1">INDIRECT(ADDRESS($B54,M$49+$A54,1,1,$D54))</f>
        <v>0</v>
      </c>
      <c r="N54" s="1" cm="1">
        <f t="array" aca="1" ref="N54" ca="1">INDIRECT(ADDRESS($B54,N$49+$A54,1,1,$D54))</f>
        <v>0</v>
      </c>
      <c r="O54" s="1" cm="1">
        <f t="array" aca="1" ref="O54" ca="1">INDIRECT(ADDRESS($B54,O$49+$A54,1,1,$D54))</f>
        <v>0</v>
      </c>
      <c r="P54" s="1" cm="1">
        <f t="array" aca="1" ref="P54" ca="1">INDIRECT(ADDRESS($B54,P$49+$A54,1,1,$D54))</f>
        <v>0</v>
      </c>
      <c r="Q54" s="1" cm="1">
        <f t="array" aca="1" ref="Q54" ca="1">INDIRECT(ADDRESS($B54,Q$49+$A54,1,1,$D54))</f>
        <v>0</v>
      </c>
      <c r="R54" s="1" cm="1">
        <f t="array" aca="1" ref="R54" ca="1">INDIRECT(ADDRESS($B54,R$49+$A54,1,1,$D54))</f>
        <v>0</v>
      </c>
      <c r="S54" s="1" cm="1">
        <f t="array" aca="1" ref="S54" ca="1">INDIRECT(ADDRESS($B54,S$49+$A54,1,1,$D54))</f>
        <v>0</v>
      </c>
      <c r="T54" s="1" cm="1">
        <f t="array" aca="1" ref="T54" ca="1">INDIRECT(ADDRESS($B54,T$49+$A54,1,1,$D54))</f>
        <v>0</v>
      </c>
      <c r="U54" s="1" cm="1">
        <f t="array" aca="1" ref="U54" ca="1">INDIRECT(ADDRESS($B54,U$49+$A54,1,1,$D54))</f>
        <v>0</v>
      </c>
      <c r="V54" s="1" cm="1">
        <f t="array" aca="1" ref="V54" ca="1">INDIRECT(ADDRESS($B54,V$49+$A54,1,1,$D54))</f>
        <v>0</v>
      </c>
      <c r="W54" s="1" cm="1">
        <f t="array" aca="1" ref="W54" ca="1">INDIRECT(ADDRESS($B54,W$49+$A54,1,1,$D54))</f>
        <v>0</v>
      </c>
      <c r="X54" s="1" cm="1">
        <f t="array" aca="1" ref="X54" ca="1">INDIRECT(ADDRESS($B54,X$49+$A54,1,1,$D54))</f>
        <v>0</v>
      </c>
      <c r="Y54" s="1" cm="1">
        <f t="array" aca="1" ref="Y54" ca="1">INDIRECT(ADDRESS($B54,Y$49+$A54,1,1,$D54))</f>
        <v>0</v>
      </c>
      <c r="Z54" s="1" cm="1">
        <f t="array" aca="1" ref="Z54" ca="1">INDIRECT(ADDRESS($B54,Z$49+$A54,1,1,$D54))</f>
        <v>0</v>
      </c>
      <c r="AA54" s="1" cm="1">
        <f t="array" aca="1" ref="AA54" ca="1">INDIRECT(ADDRESS($B54,AA$49+$A54,1,1,$D54))</f>
        <v>0</v>
      </c>
      <c r="AB54" s="1" cm="1">
        <f t="array" aca="1" ref="AB54" ca="1">INDIRECT(ADDRESS($B54,AB$49+$A54,1,1,$D54))</f>
        <v>0</v>
      </c>
      <c r="AC54" s="1" cm="1">
        <f t="array" aca="1" ref="AC54" ca="1">INDIRECT(ADDRESS($B54,AC$49+$A54,1,1,$D54))</f>
        <v>0</v>
      </c>
      <c r="AD54" s="1" cm="1">
        <f t="array" aca="1" ref="AD54" ca="1">INDIRECT(ADDRESS($B54,AD$49+$A54,1,1,$D54))</f>
        <v>0</v>
      </c>
      <c r="AE54" s="1" cm="1">
        <f t="array" aca="1" ref="AE54" ca="1">INDIRECT(ADDRESS($B54,AE$49+$A54,1,1,$D54))</f>
        <v>0</v>
      </c>
      <c r="AF54" s="1" cm="1">
        <f t="array" aca="1" ref="AF54" ca="1">INDIRECT(ADDRESS($B54,AF$49+$A54,1,1,$D54))</f>
        <v>0</v>
      </c>
      <c r="AG54" s="1" cm="1">
        <f t="array" aca="1" ref="AG54" ca="1">INDIRECT(ADDRESS($B54,AG$49+$A54,1,1,$D54))</f>
        <v>0</v>
      </c>
      <c r="AH54" s="1" cm="1">
        <f t="array" aca="1" ref="AH54" ca="1">INDIRECT(ADDRESS($B54,AH$49+$A54,1,1,$D54))</f>
        <v>0</v>
      </c>
      <c r="AI54" s="1" cm="1">
        <f t="array" aca="1" ref="AI54" ca="1">INDIRECT(ADDRESS($B54,AI$49+$A54,1,1,$D54))</f>
        <v>0</v>
      </c>
      <c r="AJ54" s="1" cm="1">
        <f t="array" aca="1" ref="AJ54" ca="1">INDIRECT(ADDRESS($B54,AJ$49+$A54,1,1,$D54))</f>
        <v>0</v>
      </c>
      <c r="AK54" s="1" cm="1">
        <f t="array" aca="1" ref="AK54" ca="1">INDIRECT(ADDRESS($B54,AK$49+$A54,1,1,$D54))</f>
        <v>0</v>
      </c>
      <c r="AL54" s="1" cm="1">
        <f t="array" aca="1" ref="AL54" ca="1">INDIRECT(ADDRESS($B54,AL$49+$A54,1,1,$D54))</f>
        <v>0</v>
      </c>
      <c r="AM54" s="1" cm="1">
        <f t="array" aca="1" ref="AM54" ca="1">INDIRECT(ADDRESS($B54,AM$49+$A54,1,1,$D54))</f>
        <v>0</v>
      </c>
      <c r="AN54" s="1" cm="1">
        <f t="array" aca="1" ref="AN54" ca="1">INDIRECT(ADDRESS($B54,AN$49+$A54,1,1,$D54))</f>
        <v>0</v>
      </c>
      <c r="AO54" s="1" cm="1">
        <f t="array" aca="1" ref="AO54" ca="1">INDIRECT(ADDRESS($B54,AO$49+$A54,1,1,$D54))</f>
        <v>0</v>
      </c>
      <c r="AP54" s="1" cm="1">
        <f t="array" aca="1" ref="AP54" ca="1">INDIRECT(ADDRESS($B54,AP$49+$A54,1,1,$D54))</f>
        <v>0</v>
      </c>
      <c r="AQ54" s="1" cm="1">
        <f t="array" aca="1" ref="AQ54" ca="1">INDIRECT(ADDRESS($B54,AQ$49+$A54,1,1,$D54))</f>
        <v>0</v>
      </c>
      <c r="AR54" s="1" cm="1">
        <f t="array" aca="1" ref="AR54" ca="1">INDIRECT(ADDRESS($B54,AR$49+$A54,1,1,$D54))</f>
        <v>0</v>
      </c>
      <c r="AS54" s="1" cm="1">
        <f t="array" aca="1" ref="AS54" ca="1">INDIRECT(ADDRESS($B54,AS$49+$A54,1,1,$D54))</f>
        <v>0</v>
      </c>
      <c r="AT54" s="1" cm="1">
        <f t="array" aca="1" ref="AT54" ca="1">INDIRECT(ADDRESS($B54,AT$49+$A54,1,1,$D54))</f>
        <v>0</v>
      </c>
      <c r="AU54" s="1" cm="1">
        <f t="array" aca="1" ref="AU54" ca="1">INDIRECT(ADDRESS($B54,AU$49+$A54,1,1,$D54))</f>
        <v>0</v>
      </c>
      <c r="AV54" s="1" cm="1">
        <f t="array" aca="1" ref="AV54" ca="1">INDIRECT(ADDRESS($B54,AV$49+$A54,1,1,$D54))</f>
        <v>0</v>
      </c>
      <c r="AW54" s="1" cm="1">
        <f t="array" aca="1" ref="AW54" ca="1">INDIRECT(ADDRESS($B54,AW$49+$A54,1,1,$D54))</f>
        <v>23</v>
      </c>
      <c r="AX54" s="1" cm="1">
        <f t="array" aca="1" ref="AX54" ca="1">INDIRECT(ADDRESS($B54,AX$49+$A54,1,1,$D54))</f>
        <v>30</v>
      </c>
      <c r="AY54" s="1" cm="1">
        <f t="array" aca="1" ref="AY54" ca="1">INDIRECT(ADDRESS($B54,AY$49+$A54,1,1,$D54))</f>
        <v>40</v>
      </c>
      <c r="AZ54" s="1" cm="1">
        <f t="array" aca="1" ref="AZ54" ca="1">INDIRECT(ADDRESS($B54,AZ$49+$A54,1,1,$D54))</f>
        <v>51</v>
      </c>
      <c r="BA54" s="1" cm="1">
        <f t="array" aca="1" ref="BA54" ca="1">INDIRECT(ADDRESS($B54,BA$49+$A54,1,1,$D54))</f>
        <v>77</v>
      </c>
      <c r="BB54" s="1" cm="1">
        <f t="array" aca="1" ref="BB54" ca="1">INDIRECT(ADDRESS($B54,BB$49+$A54,1,1,$D54))</f>
        <v>108</v>
      </c>
      <c r="BC54" s="1" cm="1">
        <f t="array" aca="1" ref="BC54" ca="1">INDIRECT(ADDRESS($B54,BC$49+$A54,1,1,$D54))</f>
        <v>156</v>
      </c>
      <c r="BD54" s="1" cm="1">
        <f t="array" aca="1" ref="BD54" ca="1">INDIRECT(ADDRESS($B54,BD$49+$A54,1,1,$D54))</f>
        <v>204</v>
      </c>
      <c r="BE54" s="1" cm="1">
        <f t="array" aca="1" ref="BE54" ca="1">INDIRECT(ADDRESS($B54,BE$49+$A54,1,1,$D54))</f>
        <v>350</v>
      </c>
      <c r="BF54" s="1" cm="1">
        <f t="array" aca="1" ref="BF54" ca="1">INDIRECT(ADDRESS($B54,BF$49+$A54,1,1,$D54))</f>
        <v>406</v>
      </c>
      <c r="BG54" s="1" cm="1">
        <f t="array" aca="1" ref="BG54" ca="1">INDIRECT(ADDRESS($B54,BG$49+$A54,1,1,$D54))</f>
        <v>508</v>
      </c>
      <c r="BH54" s="1" cm="1">
        <f t="array" aca="1" ref="BH54" ca="1">INDIRECT(ADDRESS($B54,BH$49+$A54,1,1,$D54))</f>
        <v>608</v>
      </c>
      <c r="BI54" s="1" cm="1">
        <f t="array" aca="1" ref="BI54" ca="1">INDIRECT(ADDRESS($B54,BI$49+$A54,1,1,$D54))</f>
        <v>796</v>
      </c>
      <c r="BJ54" s="1" cm="1">
        <f t="array" aca="1" ref="BJ54" ca="1">INDIRECT(ADDRESS($B54,BJ$49+$A54,1,1,$D54))</f>
        <v>1212</v>
      </c>
      <c r="BK54" s="1" cm="1">
        <f t="array" aca="1" ref="BK54" ca="1">INDIRECT(ADDRESS($B54,BK$49+$A54,1,1,$D54))</f>
        <v>1432</v>
      </c>
      <c r="BL54" s="1" cm="1">
        <f t="array" aca="1" ref="BL54" ca="1">INDIRECT(ADDRESS($B54,BL$49+$A54,1,1,$D54))</f>
        <v>1676</v>
      </c>
      <c r="BM54" s="1" cm="1">
        <f t="array" aca="1" ref="BM54" ca="1">INDIRECT(ADDRESS($B54,BM$49+$A54,1,1,$D54))</f>
        <v>1782</v>
      </c>
      <c r="BN54" s="1" cm="1">
        <f t="array" aca="1" ref="BN54" ca="1">INDIRECT(ADDRESS($B54,BN$49+$A54,1,1,$D54))</f>
        <v>2162</v>
      </c>
      <c r="BO54" s="1" cm="1">
        <f t="array" aca="1" ref="BO54" ca="1">INDIRECT(ADDRESS($B54,BO$49+$A54,1,1,$D54))</f>
        <v>0</v>
      </c>
      <c r="BP54" s="1" cm="1">
        <f t="array" aca="1" ref="BP54" ca="1">INDIRECT(ADDRESS($B54,BP$49+$A54,1,1,$D54))</f>
        <v>0</v>
      </c>
      <c r="BQ54" s="1" cm="1">
        <f t="array" aca="1" ref="BQ54" ca="1">INDIRECT(ADDRESS($B54,BQ$49+$A54,1,1,$D54))</f>
        <v>0</v>
      </c>
      <c r="BR54" s="1" cm="1">
        <f t="array" aca="1" ref="BR54" ca="1">INDIRECT(ADDRESS($B54,BR$49+$A54,1,1,$D54))</f>
        <v>0</v>
      </c>
      <c r="BS54" s="1" cm="1">
        <f t="array" aca="1" ref="BS54" ca="1">INDIRECT(ADDRESS($B54,BS$49+$A54,1,1,$D54))</f>
        <v>0</v>
      </c>
      <c r="BT54" s="1" cm="1">
        <f t="array" aca="1" ref="BT54" ca="1">INDIRECT(ADDRESS($B54,BT$49+$A54,1,1,$D54))</f>
        <v>0</v>
      </c>
      <c r="BU54" s="1" cm="1">
        <f t="array" aca="1" ref="BU54" ca="1">INDIRECT(ADDRESS($B54,BU$49+$A54,1,1,$D54))</f>
        <v>0</v>
      </c>
      <c r="BV54" s="1" cm="1">
        <f t="array" aca="1" ref="BV54" ca="1">INDIRECT(ADDRESS($B54,BV$49+$A54,1,1,$D54))</f>
        <v>0</v>
      </c>
    </row>
    <row r="55" spans="1:74" x14ac:dyDescent="0.25">
      <c r="A55">
        <v>6</v>
      </c>
      <c r="B55">
        <f ca="1">MATCH($C55,INDIRECT("'"&amp;$C$87&amp;"'!A:A"),0)</f>
        <v>8</v>
      </c>
      <c r="C55" s="1" t="str">
        <f>C11</f>
        <v>Switzerland Berne</v>
      </c>
      <c r="D55" t="str">
        <f>D54</f>
        <v>Confirmed</v>
      </c>
      <c r="E55" s="1" cm="1">
        <f t="array" aca="1" ref="E55" ca="1">INDIRECT(ADDRESS($B55,E$49+$A55,1,1,$D55))</f>
        <v>0</v>
      </c>
      <c r="F55" s="1" cm="1">
        <f t="array" aca="1" ref="F55" ca="1">INDIRECT(ADDRESS($B55,F$49+$A55,1,1,$D55))</f>
        <v>0</v>
      </c>
      <c r="G55" s="1" cm="1">
        <f t="array" aca="1" ref="G55" ca="1">INDIRECT(ADDRESS($B55,G$49+$A55,1,1,$D55))</f>
        <v>0</v>
      </c>
      <c r="H55" s="1" cm="1">
        <f t="array" aca="1" ref="H55" ca="1">INDIRECT(ADDRESS($B55,H$49+$A55,1,1,$D55))</f>
        <v>0</v>
      </c>
      <c r="I55" s="1" cm="1">
        <f t="array" aca="1" ref="I55" ca="1">INDIRECT(ADDRESS($B55,I$49+$A55,1,1,$D55))</f>
        <v>0</v>
      </c>
      <c r="J55" s="1" cm="1">
        <f t="array" aca="1" ref="J55" ca="1">INDIRECT(ADDRESS($B55,J$49+$A55,1,1,$D55))</f>
        <v>0</v>
      </c>
      <c r="K55" s="1" cm="1">
        <f t="array" aca="1" ref="K55" ca="1">INDIRECT(ADDRESS($B55,K$49+$A55,1,1,$D55))</f>
        <v>0</v>
      </c>
      <c r="L55" s="1" cm="1">
        <f t="array" aca="1" ref="L55" ca="1">INDIRECT(ADDRESS($B55,L$49+$A55,1,1,$D55))</f>
        <v>0</v>
      </c>
      <c r="M55" s="1" cm="1">
        <f t="array" aca="1" ref="M55" ca="1">INDIRECT(ADDRESS($B55,M$49+$A55,1,1,$D55))</f>
        <v>0</v>
      </c>
      <c r="N55" s="1" cm="1">
        <f t="array" aca="1" ref="N55" ca="1">INDIRECT(ADDRESS($B55,N$49+$A55,1,1,$D55))</f>
        <v>0</v>
      </c>
      <c r="O55" s="1" cm="1">
        <f t="array" aca="1" ref="O55" ca="1">INDIRECT(ADDRESS($B55,O$49+$A55,1,1,$D55))</f>
        <v>0</v>
      </c>
      <c r="P55" s="1" cm="1">
        <f t="array" aca="1" ref="P55" ca="1">INDIRECT(ADDRESS($B55,P$49+$A55,1,1,$D55))</f>
        <v>0</v>
      </c>
      <c r="Q55" s="1" cm="1">
        <f t="array" aca="1" ref="Q55" ca="1">INDIRECT(ADDRESS($B55,Q$49+$A55,1,1,$D55))</f>
        <v>0</v>
      </c>
      <c r="R55" s="1" cm="1">
        <f t="array" aca="1" ref="R55" ca="1">INDIRECT(ADDRESS($B55,R$49+$A55,1,1,$D55))</f>
        <v>0</v>
      </c>
      <c r="S55" s="1" cm="1">
        <f t="array" aca="1" ref="S55" ca="1">INDIRECT(ADDRESS($B55,S$49+$A55,1,1,$D55))</f>
        <v>0</v>
      </c>
      <c r="T55" s="1" cm="1">
        <f t="array" aca="1" ref="T55" ca="1">INDIRECT(ADDRESS($B55,T$49+$A55,1,1,$D55))</f>
        <v>0</v>
      </c>
      <c r="U55" s="1" cm="1">
        <f t="array" aca="1" ref="U55" ca="1">INDIRECT(ADDRESS($B55,U$49+$A55,1,1,$D55))</f>
        <v>0</v>
      </c>
      <c r="V55" s="1" cm="1">
        <f t="array" aca="1" ref="V55" ca="1">INDIRECT(ADDRESS($B55,V$49+$A55,1,1,$D55))</f>
        <v>0</v>
      </c>
      <c r="W55" s="1" cm="1">
        <f t="array" aca="1" ref="W55" ca="1">INDIRECT(ADDRESS($B55,W$49+$A55,1,1,$D55))</f>
        <v>0</v>
      </c>
      <c r="X55" s="1" cm="1">
        <f t="array" aca="1" ref="X55" ca="1">INDIRECT(ADDRESS($B55,X$49+$A55,1,1,$D55))</f>
        <v>0</v>
      </c>
      <c r="Y55" s="1" cm="1">
        <f t="array" aca="1" ref="Y55" ca="1">INDIRECT(ADDRESS($B55,Y$49+$A55,1,1,$D55))</f>
        <v>0</v>
      </c>
      <c r="Z55" s="1" cm="1">
        <f t="array" aca="1" ref="Z55" ca="1">INDIRECT(ADDRESS($B55,Z$49+$A55,1,1,$D55))</f>
        <v>0</v>
      </c>
      <c r="AA55" s="1" cm="1">
        <f t="array" aca="1" ref="AA55" ca="1">INDIRECT(ADDRESS($B55,AA$49+$A55,1,1,$D55))</f>
        <v>0</v>
      </c>
      <c r="AB55" s="1" cm="1">
        <f t="array" aca="1" ref="AB55" ca="1">INDIRECT(ADDRESS($B55,AB$49+$A55,1,1,$D55))</f>
        <v>0</v>
      </c>
      <c r="AC55" s="1" cm="1">
        <f t="array" aca="1" ref="AC55" ca="1">INDIRECT(ADDRESS($B55,AC$49+$A55,1,1,$D55))</f>
        <v>0</v>
      </c>
      <c r="AD55" s="1" cm="1">
        <f t="array" aca="1" ref="AD55" ca="1">INDIRECT(ADDRESS($B55,AD$49+$A55,1,1,$D55))</f>
        <v>0</v>
      </c>
      <c r="AE55" s="1" cm="1">
        <f t="array" aca="1" ref="AE55" ca="1">INDIRECT(ADDRESS($B55,AE$49+$A55,1,1,$D55))</f>
        <v>0</v>
      </c>
      <c r="AF55" s="1" cm="1">
        <f t="array" aca="1" ref="AF55" ca="1">INDIRECT(ADDRESS($B55,AF$49+$A55,1,1,$D55))</f>
        <v>0</v>
      </c>
      <c r="AG55" s="1" cm="1">
        <f t="array" aca="1" ref="AG55" ca="1">INDIRECT(ADDRESS($B55,AG$49+$A55,1,1,$D55))</f>
        <v>0</v>
      </c>
      <c r="AH55" s="1" cm="1">
        <f t="array" aca="1" ref="AH55" ca="1">INDIRECT(ADDRESS($B55,AH$49+$A55,1,1,$D55))</f>
        <v>0</v>
      </c>
      <c r="AI55" s="1" cm="1">
        <f t="array" aca="1" ref="AI55" ca="1">INDIRECT(ADDRESS($B55,AI$49+$A55,1,1,$D55))</f>
        <v>0</v>
      </c>
      <c r="AJ55" s="1" cm="1">
        <f t="array" aca="1" ref="AJ55" ca="1">INDIRECT(ADDRESS($B55,AJ$49+$A55,1,1,$D55))</f>
        <v>0</v>
      </c>
      <c r="AK55" s="1" cm="1">
        <f t="array" aca="1" ref="AK55" ca="1">INDIRECT(ADDRESS($B55,AK$49+$A55,1,1,$D55))</f>
        <v>0</v>
      </c>
      <c r="AL55" s="1" cm="1">
        <f t="array" aca="1" ref="AL55" ca="1">INDIRECT(ADDRESS($B55,AL$49+$A55,1,1,$D55))</f>
        <v>0</v>
      </c>
      <c r="AM55" s="1" cm="1">
        <f t="array" aca="1" ref="AM55" ca="1">INDIRECT(ADDRESS($B55,AM$49+$A55,1,1,$D55))</f>
        <v>0</v>
      </c>
      <c r="AN55" s="1" cm="1">
        <f t="array" aca="1" ref="AN55" ca="1">INDIRECT(ADDRESS($B55,AN$49+$A55,1,1,$D55))</f>
        <v>0</v>
      </c>
      <c r="AO55" s="1" cm="1">
        <f t="array" aca="1" ref="AO55" ca="1">INDIRECT(ADDRESS($B55,AO$49+$A55,1,1,$D55))</f>
        <v>0</v>
      </c>
      <c r="AP55" s="1" cm="1">
        <f t="array" aca="1" ref="AP55" ca="1">INDIRECT(ADDRESS($B55,AP$49+$A55,1,1,$D55))</f>
        <v>0</v>
      </c>
      <c r="AQ55" s="1" cm="1">
        <f t="array" aca="1" ref="AQ55" ca="1">INDIRECT(ADDRESS($B55,AQ$49+$A55,1,1,$D55))</f>
        <v>0</v>
      </c>
      <c r="AR55" s="1" cm="1">
        <f t="array" aca="1" ref="AR55" ca="1">INDIRECT(ADDRESS($B55,AR$49+$A55,1,1,$D55))</f>
        <v>0</v>
      </c>
      <c r="AS55" s="1" cm="1">
        <f t="array" aca="1" ref="AS55" ca="1">INDIRECT(ADDRESS($B55,AS$49+$A55,1,1,$D55))</f>
        <v>0</v>
      </c>
      <c r="AT55" s="1" cm="1">
        <f t="array" aca="1" ref="AT55" ca="1">INDIRECT(ADDRESS($B55,AT$49+$A55,1,1,$D55))</f>
        <v>0</v>
      </c>
      <c r="AU55" s="1" cm="1">
        <f t="array" aca="1" ref="AU55" ca="1">INDIRECT(ADDRESS($B55,AU$49+$A55,1,1,$D55))</f>
        <v>0</v>
      </c>
      <c r="AV55" s="1" cm="1">
        <f t="array" aca="1" ref="AV55" ca="1">INDIRECT(ADDRESS($B55,AV$49+$A55,1,1,$D55))</f>
        <v>0</v>
      </c>
      <c r="AW55" s="1" cm="1">
        <f t="array" aca="1" ref="AW55" ca="1">INDIRECT(ADDRESS($B55,AW$49+$A55,1,1,$D55))</f>
        <v>0</v>
      </c>
      <c r="AX55" s="1" cm="1">
        <f t="array" aca="1" ref="AX55" ca="1">INDIRECT(ADDRESS($B55,AX$49+$A55,1,1,$D55))</f>
        <v>0</v>
      </c>
      <c r="AY55" s="1" cm="1">
        <f t="array" aca="1" ref="AY55" ca="1">INDIRECT(ADDRESS($B55,AY$49+$A55,1,1,$D55))</f>
        <v>0</v>
      </c>
      <c r="AZ55" s="1" cm="1">
        <f t="array" aca="1" ref="AZ55" ca="1">INDIRECT(ADDRESS($B55,AZ$49+$A55,1,1,$D55))</f>
        <v>0</v>
      </c>
      <c r="BA55" s="1" cm="1">
        <f t="array" aca="1" ref="BA55" ca="1">INDIRECT(ADDRESS($B55,BA$49+$A55,1,1,$D55))</f>
        <v>0</v>
      </c>
      <c r="BB55" s="1" cm="1">
        <f t="array" aca="1" ref="BB55" ca="1">INDIRECT(ADDRESS($B55,BB$49+$A55,1,1,$D55))</f>
        <v>0</v>
      </c>
      <c r="BC55" s="1" cm="1">
        <f t="array" aca="1" ref="BC55" ca="1">INDIRECT(ADDRESS($B55,BC$49+$A55,1,1,$D55))</f>
        <v>0</v>
      </c>
      <c r="BD55" s="1" cm="1">
        <f t="array" aca="1" ref="BD55" ca="1">INDIRECT(ADDRESS($B55,BD$49+$A55,1,1,$D55))</f>
        <v>0</v>
      </c>
      <c r="BE55" s="1" cm="1">
        <f t="array" aca="1" ref="BE55" ca="1">INDIRECT(ADDRESS($B55,BE$49+$A55,1,1,$D55))</f>
        <v>0</v>
      </c>
      <c r="BF55" s="1" cm="1">
        <f t="array" aca="1" ref="BF55" ca="1">INDIRECT(ADDRESS($B55,BF$49+$A55,1,1,$D55))</f>
        <v>0</v>
      </c>
      <c r="BG55" s="1" cm="1">
        <f t="array" aca="1" ref="BG55" ca="1">INDIRECT(ADDRESS($B55,BG$49+$A55,1,1,$D55))</f>
        <v>123</v>
      </c>
      <c r="BH55" s="1" cm="1">
        <f t="array" aca="1" ref="BH55" ca="1">INDIRECT(ADDRESS($B55,BH$49+$A55,1,1,$D55))</f>
        <v>123</v>
      </c>
      <c r="BI55" s="1" cm="1">
        <f t="array" aca="1" ref="BI55" ca="1">INDIRECT(ADDRESS($B55,BI$49+$A55,1,1,$D55))</f>
        <v>193</v>
      </c>
      <c r="BJ55" s="1" cm="1">
        <f t="array" aca="1" ref="BJ55" ca="1">INDIRECT(ADDRESS($B55,BJ$49+$A55,1,1,$D55))</f>
        <v>282</v>
      </c>
      <c r="BK55" s="1" cm="1">
        <f t="array" aca="1" ref="BK55" ca="1">INDIRECT(ADDRESS($B55,BK$49+$A55,1,1,$D55))</f>
        <v>377</v>
      </c>
      <c r="BL55" s="1" cm="1">
        <f t="array" aca="1" ref="BL55" ca="1">INDIRECT(ADDRESS($B55,BL$49+$A55,1,1,$D55))</f>
        <v>418</v>
      </c>
      <c r="BM55" s="1" cm="1">
        <f t="array" aca="1" ref="BM55" ca="1">INDIRECT(ADDRESS($B55,BM$49+$A55,1,1,$D55))</f>
        <v>418</v>
      </c>
      <c r="BN55" s="1" cm="1">
        <f t="array" aca="1" ref="BN55" ca="1">INDIRECT(ADDRESS($B55,BN$49+$A55,1,1,$D55))</f>
        <v>470</v>
      </c>
      <c r="BO55" s="1" cm="1">
        <f t="array" aca="1" ref="BO55" ca="1">INDIRECT(ADDRESS($B55,BO$49+$A55,1,1,$D55))</f>
        <v>0</v>
      </c>
      <c r="BP55" s="1" cm="1">
        <f t="array" aca="1" ref="BP55" ca="1">INDIRECT(ADDRESS($B55,BP$49+$A55,1,1,$D55))</f>
        <v>0</v>
      </c>
      <c r="BQ55" s="1" cm="1">
        <f t="array" aca="1" ref="BQ55" ca="1">INDIRECT(ADDRESS($B55,BQ$49+$A55,1,1,$D55))</f>
        <v>0</v>
      </c>
      <c r="BR55" s="1" cm="1">
        <f t="array" aca="1" ref="BR55" ca="1">INDIRECT(ADDRESS($B55,BR$49+$A55,1,1,$D55))</f>
        <v>0</v>
      </c>
      <c r="BS55" s="1" cm="1">
        <f t="array" aca="1" ref="BS55" ca="1">INDIRECT(ADDRESS($B55,BS$49+$A55,1,1,$D55))</f>
        <v>0</v>
      </c>
      <c r="BT55" s="1" cm="1">
        <f t="array" aca="1" ref="BT55" ca="1">INDIRECT(ADDRESS($B55,BT$49+$A55,1,1,$D55))</f>
        <v>0</v>
      </c>
      <c r="BU55" s="1" cm="1">
        <f t="array" aca="1" ref="BU55" ca="1">INDIRECT(ADDRESS($B55,BU$49+$A55,1,1,$D55))</f>
        <v>0</v>
      </c>
      <c r="BV55" s="1" cm="1">
        <f t="array" aca="1" ref="BV55" ca="1">INDIRECT(ADDRESS($B55,BV$49+$A55,1,1,$D55))</f>
        <v>0</v>
      </c>
    </row>
    <row r="56" spans="1:7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>
        <v>6</v>
      </c>
      <c r="B57">
        <f ca="1">MATCH("Country/Region",INDIRECT("'Confirmed'!A:A"),0)</f>
        <v>1</v>
      </c>
      <c r="C57" s="4" t="s">
        <v>136</v>
      </c>
      <c r="D57" s="4"/>
      <c r="E57" s="5" t="str" cm="1">
        <f t="array" aca="1" ref="E57" ca="1">INDIRECT(ADDRESS($B57,E$49+$A57,1,1,$C57))</f>
        <v>2020-01-22</v>
      </c>
      <c r="F57" s="5" t="str" cm="1">
        <f t="array" aca="1" ref="F57" ca="1">INDIRECT(ADDRESS($B57,F$49+$A57,1,1,$C57))</f>
        <v>2020-01-23</v>
      </c>
      <c r="G57" s="5" t="str" cm="1">
        <f t="array" aca="1" ref="G57" ca="1">INDIRECT(ADDRESS($B57,G$49+$A57,1,1,$C57))</f>
        <v>2020-01-24</v>
      </c>
      <c r="H57" s="5" t="str" cm="1">
        <f t="array" aca="1" ref="H57" ca="1">INDIRECT(ADDRESS($B57,H$49+$A57,1,1,$C57))</f>
        <v>2020-01-25</v>
      </c>
      <c r="I57" s="5" t="str" cm="1">
        <f t="array" aca="1" ref="I57" ca="1">INDIRECT(ADDRESS($B57,I$49+$A57,1,1,$C57))</f>
        <v>2020-01-26</v>
      </c>
      <c r="J57" s="5" t="str" cm="1">
        <f t="array" aca="1" ref="J57" ca="1">INDIRECT(ADDRESS($B57,J$49+$A57,1,1,$C57))</f>
        <v>2020-01-27</v>
      </c>
      <c r="K57" s="5" t="str" cm="1">
        <f t="array" aca="1" ref="K57" ca="1">INDIRECT(ADDRESS($B57,K$49+$A57,1,1,$C57))</f>
        <v>2020-01-28</v>
      </c>
      <c r="L57" s="5" t="str" cm="1">
        <f t="array" aca="1" ref="L57" ca="1">INDIRECT(ADDRESS($B57,L$49+$A57,1,1,$C57))</f>
        <v>2020-01-29</v>
      </c>
      <c r="M57" s="5" t="str" cm="1">
        <f t="array" aca="1" ref="M57" ca="1">INDIRECT(ADDRESS($B57,M$49+$A57,1,1,$C57))</f>
        <v>2020-01-30</v>
      </c>
      <c r="N57" s="5" t="str" cm="1">
        <f t="array" aca="1" ref="N57" ca="1">INDIRECT(ADDRESS($B57,N$49+$A57,1,1,$C57))</f>
        <v>2020-01-31</v>
      </c>
      <c r="O57" s="5" t="str" cm="1">
        <f t="array" aca="1" ref="O57" ca="1">INDIRECT(ADDRESS($B57,O$49+$A57,1,1,$C57))</f>
        <v>2020-02-01</v>
      </c>
      <c r="P57" s="5" t="str" cm="1">
        <f t="array" aca="1" ref="P57" ca="1">INDIRECT(ADDRESS($B57,P$49+$A57,1,1,$C57))</f>
        <v>2020-02-02</v>
      </c>
      <c r="Q57" s="5" t="str" cm="1">
        <f t="array" aca="1" ref="Q57" ca="1">INDIRECT(ADDRESS($B57,Q$49+$A57,1,1,$C57))</f>
        <v>2020-02-03</v>
      </c>
      <c r="R57" s="5" t="str" cm="1">
        <f t="array" aca="1" ref="R57" ca="1">INDIRECT(ADDRESS($B57,R$49+$A57,1,1,$C57))</f>
        <v>2020-02-04</v>
      </c>
      <c r="S57" s="5" t="str" cm="1">
        <f t="array" aca="1" ref="S57" ca="1">INDIRECT(ADDRESS($B57,S$49+$A57,1,1,$C57))</f>
        <v>2020-02-05</v>
      </c>
      <c r="T57" s="5" t="str" cm="1">
        <f t="array" aca="1" ref="T57" ca="1">INDIRECT(ADDRESS($B57,T$49+$A57,1,1,$C57))</f>
        <v>2020-02-06</v>
      </c>
      <c r="U57" s="5" t="str" cm="1">
        <f t="array" aca="1" ref="U57" ca="1">INDIRECT(ADDRESS($B57,U$49+$A57,1,1,$C57))</f>
        <v>2020-02-07</v>
      </c>
      <c r="V57" s="5" t="str" cm="1">
        <f t="array" aca="1" ref="V57" ca="1">INDIRECT(ADDRESS($B57,V$49+$A57,1,1,$C57))</f>
        <v>2020-02-08</v>
      </c>
      <c r="W57" s="5" t="str" cm="1">
        <f t="array" aca="1" ref="W57" ca="1">INDIRECT(ADDRESS($B57,W$49+$A57,1,1,$C57))</f>
        <v>2020-02-09</v>
      </c>
      <c r="X57" s="5" t="str" cm="1">
        <f t="array" aca="1" ref="X57" ca="1">INDIRECT(ADDRESS($B57,X$49+$A57,1,1,$C57))</f>
        <v>2020-02-10</v>
      </c>
      <c r="Y57" s="5" t="str" cm="1">
        <f t="array" aca="1" ref="Y57" ca="1">INDIRECT(ADDRESS($B57,Y$49+$A57,1,1,$C57))</f>
        <v>2020-02-11</v>
      </c>
      <c r="Z57" s="5" t="str" cm="1">
        <f t="array" aca="1" ref="Z57" ca="1">INDIRECT(ADDRESS($B57,Z$49+$A57,1,1,$C57))</f>
        <v>2020-02-12</v>
      </c>
      <c r="AA57" s="5" t="str" cm="1">
        <f t="array" aca="1" ref="AA57" ca="1">INDIRECT(ADDRESS($B57,AA$49+$A57,1,1,$C57))</f>
        <v>2020-02-13</v>
      </c>
      <c r="AB57" s="5" t="str" cm="1">
        <f t="array" aca="1" ref="AB57" ca="1">INDIRECT(ADDRESS($B57,AB$49+$A57,1,1,$C57))</f>
        <v>2020-02-14</v>
      </c>
      <c r="AC57" s="5" t="str" cm="1">
        <f t="array" aca="1" ref="AC57" ca="1">INDIRECT(ADDRESS($B57,AC$49+$A57,1,1,$C57))</f>
        <v>2020-02-15</v>
      </c>
      <c r="AD57" s="5" t="str" cm="1">
        <f t="array" aca="1" ref="AD57" ca="1">INDIRECT(ADDRESS($B57,AD$49+$A57,1,1,$C57))</f>
        <v>2020-02-16</v>
      </c>
      <c r="AE57" s="5" t="str" cm="1">
        <f t="array" aca="1" ref="AE57" ca="1">INDIRECT(ADDRESS($B57,AE$49+$A57,1,1,$C57))</f>
        <v>2020-02-17</v>
      </c>
      <c r="AF57" s="5" t="str" cm="1">
        <f t="array" aca="1" ref="AF57" ca="1">INDIRECT(ADDRESS($B57,AF$49+$A57,1,1,$C57))</f>
        <v>2020-02-18</v>
      </c>
      <c r="AG57" s="5" t="str" cm="1">
        <f t="array" aca="1" ref="AG57" ca="1">INDIRECT(ADDRESS($B57,AG$49+$A57,1,1,$C57))</f>
        <v>2020-02-19</v>
      </c>
      <c r="AH57" s="5" t="str" cm="1">
        <f t="array" aca="1" ref="AH57" ca="1">INDIRECT(ADDRESS($B57,AH$49+$A57,1,1,$C57))</f>
        <v>2020-02-20</v>
      </c>
      <c r="AI57" s="5" t="str" cm="1">
        <f t="array" aca="1" ref="AI57" ca="1">INDIRECT(ADDRESS($B57,AI$49+$A57,1,1,$C57))</f>
        <v>2020-02-21</v>
      </c>
      <c r="AJ57" s="5" t="str" cm="1">
        <f t="array" aca="1" ref="AJ57" ca="1">INDIRECT(ADDRESS($B57,AJ$49+$A57,1,1,$C57))</f>
        <v>2020-02-22</v>
      </c>
      <c r="AK57" s="5" t="str" cm="1">
        <f t="array" aca="1" ref="AK57" ca="1">INDIRECT(ADDRESS($B57,AK$49+$A57,1,1,$C57))</f>
        <v>2020-02-23</v>
      </c>
      <c r="AL57" s="5" t="str" cm="1">
        <f t="array" aca="1" ref="AL57" ca="1">INDIRECT(ADDRESS($B57,AL$49+$A57,1,1,$C57))</f>
        <v>2020-02-24</v>
      </c>
      <c r="AM57" s="5" t="str" cm="1">
        <f t="array" aca="1" ref="AM57" ca="1">INDIRECT(ADDRESS($B57,AM$49+$A57,1,1,$C57))</f>
        <v>2020-02-25</v>
      </c>
      <c r="AN57" s="5" t="str" cm="1">
        <f t="array" aca="1" ref="AN57" ca="1">INDIRECT(ADDRESS($B57,AN$49+$A57,1,1,$C57))</f>
        <v>2020-02-26</v>
      </c>
      <c r="AO57" s="5" t="str" cm="1">
        <f t="array" aca="1" ref="AO57" ca="1">INDIRECT(ADDRESS($B57,AO$49+$A57,1,1,$C57))</f>
        <v>2020-02-27</v>
      </c>
      <c r="AP57" s="5" t="str" cm="1">
        <f t="array" aca="1" ref="AP57" ca="1">INDIRECT(ADDRESS($B57,AP$49+$A57,1,1,$C57))</f>
        <v>2020-02-28</v>
      </c>
      <c r="AQ57" s="5" t="str" cm="1">
        <f t="array" aca="1" ref="AQ57" ca="1">INDIRECT(ADDRESS($B57,AQ$49+$A57,1,1,$C57))</f>
        <v>2020-02-29</v>
      </c>
      <c r="AR57" s="5" t="str" cm="1">
        <f t="array" aca="1" ref="AR57" ca="1">INDIRECT(ADDRESS($B57,AR$49+$A57,1,1,$C57))</f>
        <v>2020-03-01</v>
      </c>
      <c r="AS57" s="5" t="str" cm="1">
        <f t="array" aca="1" ref="AS57" ca="1">INDIRECT(ADDRESS($B57,AS$49+$A57,1,1,$C57))</f>
        <v>2020-03-02</v>
      </c>
      <c r="AT57" s="5" t="str" cm="1">
        <f t="array" aca="1" ref="AT57" ca="1">INDIRECT(ADDRESS($B57,AT$49+$A57,1,1,$C57))</f>
        <v>2020-03-03</v>
      </c>
      <c r="AU57" s="5" t="str" cm="1">
        <f t="array" aca="1" ref="AU57" ca="1">INDIRECT(ADDRESS($B57,AU$49+$A57,1,1,$C57))</f>
        <v>2020-03-04</v>
      </c>
      <c r="AV57" s="5" t="str" cm="1">
        <f t="array" aca="1" ref="AV57" ca="1">INDIRECT(ADDRESS($B57,AV$49+$A57,1,1,$C57))</f>
        <v>2020-03-05</v>
      </c>
      <c r="AW57" s="5" t="str" cm="1">
        <f t="array" aca="1" ref="AW57" ca="1">INDIRECT(ADDRESS($B57,AW$49+$A57,1,1,$C57))</f>
        <v>2020-03-06</v>
      </c>
      <c r="AX57" s="5" t="str" cm="1">
        <f t="array" aca="1" ref="AX57" ca="1">INDIRECT(ADDRESS($B57,AX$49+$A57,1,1,$C57))</f>
        <v>2020-03-07</v>
      </c>
      <c r="AY57" s="5" t="str" cm="1">
        <f t="array" aca="1" ref="AY57" ca="1">INDIRECT(ADDRESS($B57,AY$49+$A57,1,1,$C57))</f>
        <v>2020-03-08</v>
      </c>
      <c r="AZ57" s="5" t="str" cm="1">
        <f t="array" aca="1" ref="AZ57" ca="1">INDIRECT(ADDRESS($B57,AZ$49+$A57,1,1,$C57))</f>
        <v>2020-03-09</v>
      </c>
      <c r="BA57" s="5" t="str" cm="1">
        <f t="array" aca="1" ref="BA57" ca="1">INDIRECT(ADDRESS($B57,BA$49+$A57,1,1,$C57))</f>
        <v>2020-03-10</v>
      </c>
      <c r="BB57" s="5" t="str" cm="1">
        <f t="array" aca="1" ref="BB57" ca="1">INDIRECT(ADDRESS($B57,BB$49+$A57,1,1,$C57))</f>
        <v>2020-03-11</v>
      </c>
      <c r="BC57" s="5" t="str" cm="1">
        <f t="array" aca="1" ref="BC57" ca="1">INDIRECT(ADDRESS($B57,BC$49+$A57,1,1,$C57))</f>
        <v>2020-03-12</v>
      </c>
      <c r="BD57" s="5" t="str" cm="1">
        <f t="array" aca="1" ref="BD57" ca="1">INDIRECT(ADDRESS($B57,BD$49+$A57,1,1,$C57))</f>
        <v>2020-03-13</v>
      </c>
      <c r="BE57" s="5" t="str" cm="1">
        <f t="array" aca="1" ref="BE57" ca="1">INDIRECT(ADDRESS($B57,BE$49+$A57,1,1,$C57))</f>
        <v>2020-03-14</v>
      </c>
      <c r="BF57" s="5" t="str" cm="1">
        <f t="array" aca="1" ref="BF57" ca="1">INDIRECT(ADDRESS($B57,BF$49+$A57,1,1,$C57))</f>
        <v>2020-03-15</v>
      </c>
      <c r="BG57" s="5" t="str" cm="1">
        <f t="array" aca="1" ref="BG57" ca="1">INDIRECT(ADDRESS($B57,BG$49+$A57,1,1,$C57))</f>
        <v>2020-03-16</v>
      </c>
      <c r="BH57" s="5" t="str" cm="1">
        <f t="array" aca="1" ref="BH57" ca="1">INDIRECT(ADDRESS($B57,BH$49+$A57,1,1,$C57))</f>
        <v>2020-03-17</v>
      </c>
      <c r="BI57" s="5" t="str" cm="1">
        <f t="array" aca="1" ref="BI57" ca="1">INDIRECT(ADDRESS($B57,BI$49+$A57,1,1,$C57))</f>
        <v>2020-03-18</v>
      </c>
      <c r="BJ57" s="5" t="str" cm="1">
        <f t="array" aca="1" ref="BJ57" ca="1">INDIRECT(ADDRESS($B57,BJ$49+$A57,1,1,$C57))</f>
        <v>2020-03-19</v>
      </c>
      <c r="BK57" s="5" t="str" cm="1">
        <f t="array" aca="1" ref="BK57" ca="1">INDIRECT(ADDRESS($B57,BK$49+$A57,1,1,$C57))</f>
        <v>2020-03-20</v>
      </c>
      <c r="BL57" s="5" t="str" cm="1">
        <f t="array" aca="1" ref="BL57" ca="1">INDIRECT(ADDRESS($B57,BL$49+$A57,1,1,$C57))</f>
        <v>2020-03-21</v>
      </c>
      <c r="BM57" s="5" t="str" cm="1">
        <f t="array" aca="1" ref="BM57" ca="1">INDIRECT(ADDRESS($B57,BM$49+$A57,1,1,$C57))</f>
        <v>2020-03-22</v>
      </c>
      <c r="BN57" s="5" t="str" cm="1">
        <f t="array" aca="1" ref="BN57" ca="1">INDIRECT(ADDRESS($B57,BN$49+$A57,1,1,$C57))</f>
        <v>2020-03-23</v>
      </c>
      <c r="BO57" s="5" cm="1">
        <f t="array" aca="1" ref="BO57" ca="1">INDIRECT(ADDRESS($B57,BO$49+$A57,1,1,$C57))</f>
        <v>0</v>
      </c>
      <c r="BP57" s="5" cm="1">
        <f t="array" aca="1" ref="BP57" ca="1">INDIRECT(ADDRESS($B57,BP$49+$A57,1,1,$C57))</f>
        <v>0</v>
      </c>
      <c r="BQ57" s="5" cm="1">
        <f t="array" aca="1" ref="BQ57" ca="1">INDIRECT(ADDRESS($B57,BQ$49+$A57,1,1,$C57))</f>
        <v>0</v>
      </c>
      <c r="BR57" s="5" cm="1">
        <f t="array" aca="1" ref="BR57" ca="1">INDIRECT(ADDRESS($B57,BR$49+$A57,1,1,$C57))</f>
        <v>0</v>
      </c>
      <c r="BS57" s="5" cm="1">
        <f t="array" aca="1" ref="BS57" ca="1">INDIRECT(ADDRESS($B57,BS$49+$A57,1,1,$C57))</f>
        <v>0</v>
      </c>
      <c r="BT57" s="5" cm="1">
        <f t="array" aca="1" ref="BT57" ca="1">INDIRECT(ADDRESS($B57,BT$49+$A57,1,1,$C57))</f>
        <v>0</v>
      </c>
      <c r="BU57" s="5" cm="1">
        <f t="array" aca="1" ref="BU57" ca="1">INDIRECT(ADDRESS($B57,BU$49+$A57,1,1,$C57))</f>
        <v>0</v>
      </c>
      <c r="BV57" s="5" cm="1">
        <f t="array" aca="1" ref="BV57" ca="1">INDIRECT(ADDRESS($B57,BV$49+$A57,1,1,$C57))</f>
        <v>0</v>
      </c>
    </row>
    <row r="58" spans="1:74" x14ac:dyDescent="0.25">
      <c r="A58">
        <v>6</v>
      </c>
      <c r="B58">
        <f ca="1">MATCH($C58,INDIRECT("'"&amp;$C$51&amp;"'!A:A"),0)</f>
        <v>23</v>
      </c>
      <c r="C58" s="1" t="str">
        <f>C8</f>
        <v>Switzerland Ticino</v>
      </c>
      <c r="D58" t="str">
        <f>C57</f>
        <v>Recovered</v>
      </c>
      <c r="E58" s="1" cm="1">
        <f t="array" aca="1" ref="E58" ca="1">INDIRECT(ADDRESS($B58,E$49+$A58,1,1,$D58))</f>
        <v>0</v>
      </c>
      <c r="F58" s="1" cm="1">
        <f t="array" aca="1" ref="F58" ca="1">INDIRECT(ADDRESS($B58,F$49+$A58,1,1,$D58))</f>
        <v>0</v>
      </c>
      <c r="G58" s="1" cm="1">
        <f t="array" aca="1" ref="G58" ca="1">INDIRECT(ADDRESS($B58,G$49+$A58,1,1,$D58))</f>
        <v>0</v>
      </c>
      <c r="H58" s="1" cm="1">
        <f t="array" aca="1" ref="H58" ca="1">INDIRECT(ADDRESS($B58,H$49+$A58,1,1,$D58))</f>
        <v>0</v>
      </c>
      <c r="I58" s="1" cm="1">
        <f t="array" aca="1" ref="I58" ca="1">INDIRECT(ADDRESS($B58,I$49+$A58,1,1,$D58))</f>
        <v>0</v>
      </c>
      <c r="J58" s="1" cm="1">
        <f t="array" aca="1" ref="J58" ca="1">INDIRECT(ADDRESS($B58,J$49+$A58,1,1,$D58))</f>
        <v>0</v>
      </c>
      <c r="K58" s="1" cm="1">
        <f t="array" aca="1" ref="K58" ca="1">INDIRECT(ADDRESS($B58,K$49+$A58,1,1,$D58))</f>
        <v>0</v>
      </c>
      <c r="L58" s="1" cm="1">
        <f t="array" aca="1" ref="L58" ca="1">INDIRECT(ADDRESS($B58,L$49+$A58,1,1,$D58))</f>
        <v>0</v>
      </c>
      <c r="M58" s="1" cm="1">
        <f t="array" aca="1" ref="M58" ca="1">INDIRECT(ADDRESS($B58,M$49+$A58,1,1,$D58))</f>
        <v>0</v>
      </c>
      <c r="N58" s="1" cm="1">
        <f t="array" aca="1" ref="N58" ca="1">INDIRECT(ADDRESS($B58,N$49+$A58,1,1,$D58))</f>
        <v>0</v>
      </c>
      <c r="O58" s="1" cm="1">
        <f t="array" aca="1" ref="O58" ca="1">INDIRECT(ADDRESS($B58,O$49+$A58,1,1,$D58))</f>
        <v>0</v>
      </c>
      <c r="P58" s="1" cm="1">
        <f t="array" aca="1" ref="P58" ca="1">INDIRECT(ADDRESS($B58,P$49+$A58,1,1,$D58))</f>
        <v>0</v>
      </c>
      <c r="Q58" s="1" cm="1">
        <f t="array" aca="1" ref="Q58" ca="1">INDIRECT(ADDRESS($B58,Q$49+$A58,1,1,$D58))</f>
        <v>0</v>
      </c>
      <c r="R58" s="1" cm="1">
        <f t="array" aca="1" ref="R58" ca="1">INDIRECT(ADDRESS($B58,R$49+$A58,1,1,$D58))</f>
        <v>0</v>
      </c>
      <c r="S58" s="1" cm="1">
        <f t="array" aca="1" ref="S58" ca="1">INDIRECT(ADDRESS($B58,S$49+$A58,1,1,$D58))</f>
        <v>0</v>
      </c>
      <c r="T58" s="1" cm="1">
        <f t="array" aca="1" ref="T58" ca="1">INDIRECT(ADDRESS($B58,T$49+$A58,1,1,$D58))</f>
        <v>0</v>
      </c>
      <c r="U58" s="1" cm="1">
        <f t="array" aca="1" ref="U58" ca="1">INDIRECT(ADDRESS($B58,U$49+$A58,1,1,$D58))</f>
        <v>0</v>
      </c>
      <c r="V58" s="1" cm="1">
        <f t="array" aca="1" ref="V58" ca="1">INDIRECT(ADDRESS($B58,V$49+$A58,1,1,$D58))</f>
        <v>0</v>
      </c>
      <c r="W58" s="1" cm="1">
        <f t="array" aca="1" ref="W58" ca="1">INDIRECT(ADDRESS($B58,W$49+$A58,1,1,$D58))</f>
        <v>0</v>
      </c>
      <c r="X58" s="1" cm="1">
        <f t="array" aca="1" ref="X58" ca="1">INDIRECT(ADDRESS($B58,X$49+$A58,1,1,$D58))</f>
        <v>0</v>
      </c>
      <c r="Y58" s="1" cm="1">
        <f t="array" aca="1" ref="Y58" ca="1">INDIRECT(ADDRESS($B58,Y$49+$A58,1,1,$D58))</f>
        <v>0</v>
      </c>
      <c r="Z58" s="1" cm="1">
        <f t="array" aca="1" ref="Z58" ca="1">INDIRECT(ADDRESS($B58,Z$49+$A58,1,1,$D58))</f>
        <v>0</v>
      </c>
      <c r="AA58" s="1" cm="1">
        <f t="array" aca="1" ref="AA58" ca="1">INDIRECT(ADDRESS($B58,AA$49+$A58,1,1,$D58))</f>
        <v>0</v>
      </c>
      <c r="AB58" s="1" cm="1">
        <f t="array" aca="1" ref="AB58" ca="1">INDIRECT(ADDRESS($B58,AB$49+$A58,1,1,$D58))</f>
        <v>0</v>
      </c>
      <c r="AC58" s="1" cm="1">
        <f t="array" aca="1" ref="AC58" ca="1">INDIRECT(ADDRESS($B58,AC$49+$A58,1,1,$D58))</f>
        <v>0</v>
      </c>
      <c r="AD58" s="1" cm="1">
        <f t="array" aca="1" ref="AD58" ca="1">INDIRECT(ADDRESS($B58,AD$49+$A58,1,1,$D58))</f>
        <v>0</v>
      </c>
      <c r="AE58" s="1" cm="1">
        <f t="array" aca="1" ref="AE58" ca="1">INDIRECT(ADDRESS($B58,AE$49+$A58,1,1,$D58))</f>
        <v>0</v>
      </c>
      <c r="AF58" s="1" cm="1">
        <f t="array" aca="1" ref="AF58" ca="1">INDIRECT(ADDRESS($B58,AF$49+$A58,1,1,$D58))</f>
        <v>0</v>
      </c>
      <c r="AG58" s="1" cm="1">
        <f t="array" aca="1" ref="AG58" ca="1">INDIRECT(ADDRESS($B58,AG$49+$A58,1,1,$D58))</f>
        <v>0</v>
      </c>
      <c r="AH58" s="1" cm="1">
        <f t="array" aca="1" ref="AH58" ca="1">INDIRECT(ADDRESS($B58,AH$49+$A58,1,1,$D58))</f>
        <v>0</v>
      </c>
      <c r="AI58" s="1" cm="1">
        <f t="array" aca="1" ref="AI58" ca="1">INDIRECT(ADDRESS($B58,AI$49+$A58,1,1,$D58))</f>
        <v>0</v>
      </c>
      <c r="AJ58" s="1" cm="1">
        <f t="array" aca="1" ref="AJ58" ca="1">INDIRECT(ADDRESS($B58,AJ$49+$A58,1,1,$D58))</f>
        <v>0</v>
      </c>
      <c r="AK58" s="1" cm="1">
        <f t="array" aca="1" ref="AK58" ca="1">INDIRECT(ADDRESS($B58,AK$49+$A58,1,1,$D58))</f>
        <v>0</v>
      </c>
      <c r="AL58" s="1" cm="1">
        <f t="array" aca="1" ref="AL58" ca="1">INDIRECT(ADDRESS($B58,AL$49+$A58,1,1,$D58))</f>
        <v>0</v>
      </c>
      <c r="AM58" s="1" cm="1">
        <f t="array" aca="1" ref="AM58" ca="1">INDIRECT(ADDRESS($B58,AM$49+$A58,1,1,$D58))</f>
        <v>0</v>
      </c>
      <c r="AN58" s="1" cm="1">
        <f t="array" aca="1" ref="AN58" ca="1">INDIRECT(ADDRESS($B58,AN$49+$A58,1,1,$D58))</f>
        <v>0</v>
      </c>
      <c r="AO58" s="1" cm="1">
        <f t="array" aca="1" ref="AO58" ca="1">INDIRECT(ADDRESS($B58,AO$49+$A58,1,1,$D58))</f>
        <v>0</v>
      </c>
      <c r="AP58" s="1" cm="1">
        <f t="array" aca="1" ref="AP58" ca="1">INDIRECT(ADDRESS($B58,AP$49+$A58,1,1,$D58))</f>
        <v>0</v>
      </c>
      <c r="AQ58" s="1" cm="1">
        <f t="array" aca="1" ref="AQ58" ca="1">INDIRECT(ADDRESS($B58,AQ$49+$A58,1,1,$D58))</f>
        <v>0</v>
      </c>
      <c r="AR58" s="1" cm="1">
        <f t="array" aca="1" ref="AR58" ca="1">INDIRECT(ADDRESS($B58,AR$49+$A58,1,1,$D58))</f>
        <v>0</v>
      </c>
      <c r="AS58" s="1" cm="1">
        <f t="array" aca="1" ref="AS58" ca="1">INDIRECT(ADDRESS($B58,AS$49+$A58,1,1,$D58))</f>
        <v>0</v>
      </c>
      <c r="AT58" s="1" cm="1">
        <f t="array" aca="1" ref="AT58" ca="1">INDIRECT(ADDRESS($B58,AT$49+$A58,1,1,$D58))</f>
        <v>0</v>
      </c>
      <c r="AU58" s="1" cm="1">
        <f t="array" aca="1" ref="AU58" ca="1">INDIRECT(ADDRESS($B58,AU$49+$A58,1,1,$D58))</f>
        <v>0</v>
      </c>
      <c r="AV58" s="1" cm="1">
        <f t="array" aca="1" ref="AV58" ca="1">INDIRECT(ADDRESS($B58,AV$49+$A58,1,1,$D58))</f>
        <v>0</v>
      </c>
      <c r="AW58" s="1" cm="1">
        <f t="array" aca="1" ref="AW58" ca="1">INDIRECT(ADDRESS($B58,AW$49+$A58,1,1,$D58))</f>
        <v>0</v>
      </c>
      <c r="AX58" s="1" cm="1">
        <f t="array" aca="1" ref="AX58" ca="1">INDIRECT(ADDRESS($B58,AX$49+$A58,1,1,$D58))</f>
        <v>0</v>
      </c>
      <c r="AY58" s="1" cm="1">
        <f t="array" aca="1" ref="AY58" ca="1">INDIRECT(ADDRESS($B58,AY$49+$A58,1,1,$D58))</f>
        <v>0</v>
      </c>
      <c r="AZ58" s="1" cm="1">
        <f t="array" aca="1" ref="AZ58" ca="1">INDIRECT(ADDRESS($B58,AZ$49+$A58,1,1,$D58))</f>
        <v>0</v>
      </c>
      <c r="BA58" s="1" cm="1">
        <f t="array" aca="1" ref="BA58" ca="1">INDIRECT(ADDRESS($B58,BA$49+$A58,1,1,$D58))</f>
        <v>0</v>
      </c>
      <c r="BB58" s="1" cm="1">
        <f t="array" aca="1" ref="BB58" ca="1">INDIRECT(ADDRESS($B58,BB$49+$A58,1,1,$D58))</f>
        <v>0</v>
      </c>
      <c r="BC58" s="1" cm="1">
        <f t="array" aca="1" ref="BC58" ca="1">INDIRECT(ADDRESS($B58,BC$49+$A58,1,1,$D58))</f>
        <v>0</v>
      </c>
      <c r="BD58" s="1" cm="1">
        <f t="array" aca="1" ref="BD58" ca="1">INDIRECT(ADDRESS($B58,BD$49+$A58,1,1,$D58))</f>
        <v>0</v>
      </c>
      <c r="BE58" s="1" cm="1">
        <f t="array" aca="1" ref="BE58" ca="1">INDIRECT(ADDRESS($B58,BE$49+$A58,1,1,$D58))</f>
        <v>0</v>
      </c>
      <c r="BF58" s="1" cm="1">
        <f t="array" aca="1" ref="BF58" ca="1">INDIRECT(ADDRESS($B58,BF$49+$A58,1,1,$D58))</f>
        <v>0</v>
      </c>
      <c r="BG58" s="1" cm="1">
        <f t="array" aca="1" ref="BG58" ca="1">INDIRECT(ADDRESS($B58,BG$49+$A58,1,1,$D58))</f>
        <v>0</v>
      </c>
      <c r="BH58" s="1" cm="1">
        <f t="array" aca="1" ref="BH58" ca="1">INDIRECT(ADDRESS($B58,BH$49+$A58,1,1,$D58))</f>
        <v>0</v>
      </c>
      <c r="BI58" s="1" cm="1">
        <f t="array" aca="1" ref="BI58" ca="1">INDIRECT(ADDRESS($B58,BI$49+$A58,1,1,$D58))</f>
        <v>0</v>
      </c>
      <c r="BJ58" s="1" cm="1">
        <f t="array" aca="1" ref="BJ58" ca="1">INDIRECT(ADDRESS($B58,BJ$49+$A58,1,1,$D58))</f>
        <v>0</v>
      </c>
      <c r="BK58" s="1" cm="1">
        <f t="array" aca="1" ref="BK58" ca="1">INDIRECT(ADDRESS($B58,BK$49+$A58,1,1,$D58))</f>
        <v>0</v>
      </c>
      <c r="BL58" s="1" cm="1">
        <f t="array" aca="1" ref="BL58" ca="1">INDIRECT(ADDRESS($B58,BL$49+$A58,1,1,$D58))</f>
        <v>0</v>
      </c>
      <c r="BM58" s="1" cm="1">
        <f t="array" aca="1" ref="BM58" ca="1">INDIRECT(ADDRESS($B58,BM$49+$A58,1,1,$D58))</f>
        <v>0</v>
      </c>
      <c r="BN58" s="1" cm="1">
        <f t="array" aca="1" ref="BN58" ca="1">INDIRECT(ADDRESS($B58,BN$49+$A58,1,1,$D58))</f>
        <v>0</v>
      </c>
      <c r="BO58" s="1" cm="1">
        <f t="array" aca="1" ref="BO58" ca="1">INDIRECT(ADDRESS($B58,BO$49+$A58,1,1,$D58))</f>
        <v>0</v>
      </c>
      <c r="BP58" s="1" cm="1">
        <f t="array" aca="1" ref="BP58" ca="1">INDIRECT(ADDRESS($B58,BP$49+$A58,1,1,$D58))</f>
        <v>0</v>
      </c>
      <c r="BQ58" s="1" cm="1">
        <f t="array" aca="1" ref="BQ58" ca="1">INDIRECT(ADDRESS($B58,BQ$49+$A58,1,1,$D58))</f>
        <v>0</v>
      </c>
      <c r="BR58" s="1" cm="1">
        <f t="array" aca="1" ref="BR58" ca="1">INDIRECT(ADDRESS($B58,BR$49+$A58,1,1,$D58))</f>
        <v>0</v>
      </c>
      <c r="BS58" s="1" cm="1">
        <f t="array" aca="1" ref="BS58" ca="1">INDIRECT(ADDRESS($B58,BS$49+$A58,1,1,$D58))</f>
        <v>0</v>
      </c>
      <c r="BT58" s="1" cm="1">
        <f t="array" aca="1" ref="BT58" ca="1">INDIRECT(ADDRESS($B58,BT$49+$A58,1,1,$D58))</f>
        <v>0</v>
      </c>
      <c r="BU58" s="1" cm="1">
        <f t="array" aca="1" ref="BU58" ca="1">INDIRECT(ADDRESS($B58,BU$49+$A58,1,1,$D58))</f>
        <v>0</v>
      </c>
      <c r="BV58" s="1" cm="1">
        <f t="array" aca="1" ref="BV58" ca="1">INDIRECT(ADDRESS($B58,BV$49+$A58,1,1,$D58))</f>
        <v>0</v>
      </c>
    </row>
    <row r="59" spans="1:74" x14ac:dyDescent="0.25">
      <c r="A59">
        <v>6</v>
      </c>
      <c r="B59">
        <f ca="1">MATCH($C59,INDIRECT("'"&amp;$C$87&amp;"'!A:A"),0)</f>
        <v>28</v>
      </c>
      <c r="C59" s="1" t="str">
        <f t="shared" ref="C59:C61" si="2">C9</f>
        <v>Switzerland Zurich</v>
      </c>
      <c r="D59" t="str">
        <f>D58</f>
        <v>Recovered</v>
      </c>
      <c r="E59" s="1" cm="1">
        <f t="array" aca="1" ref="E59" ca="1">INDIRECT(ADDRESS($B59,E$49+$A59,1,1,$D59))</f>
        <v>0</v>
      </c>
      <c r="F59" s="1" cm="1">
        <f t="array" aca="1" ref="F59" ca="1">INDIRECT(ADDRESS($B59,F$49+$A59,1,1,$D59))</f>
        <v>0</v>
      </c>
      <c r="G59" s="1" cm="1">
        <f t="array" aca="1" ref="G59" ca="1">INDIRECT(ADDRESS($B59,G$49+$A59,1,1,$D59))</f>
        <v>0</v>
      </c>
      <c r="H59" s="1" cm="1">
        <f t="array" aca="1" ref="H59" ca="1">INDIRECT(ADDRESS($B59,H$49+$A59,1,1,$D59))</f>
        <v>0</v>
      </c>
      <c r="I59" s="1" cm="1">
        <f t="array" aca="1" ref="I59" ca="1">INDIRECT(ADDRESS($B59,I$49+$A59,1,1,$D59))</f>
        <v>0</v>
      </c>
      <c r="J59" s="1" cm="1">
        <f t="array" aca="1" ref="J59" ca="1">INDIRECT(ADDRESS($B59,J$49+$A59,1,1,$D59))</f>
        <v>0</v>
      </c>
      <c r="K59" s="1" cm="1">
        <f t="array" aca="1" ref="K59" ca="1">INDIRECT(ADDRESS($B59,K$49+$A59,1,1,$D59))</f>
        <v>0</v>
      </c>
      <c r="L59" s="1" cm="1">
        <f t="array" aca="1" ref="L59" ca="1">INDIRECT(ADDRESS($B59,L$49+$A59,1,1,$D59))</f>
        <v>0</v>
      </c>
      <c r="M59" s="1" cm="1">
        <f t="array" aca="1" ref="M59" ca="1">INDIRECT(ADDRESS($B59,M$49+$A59,1,1,$D59))</f>
        <v>0</v>
      </c>
      <c r="N59" s="1" cm="1">
        <f t="array" aca="1" ref="N59" ca="1">INDIRECT(ADDRESS($B59,N$49+$A59,1,1,$D59))</f>
        <v>0</v>
      </c>
      <c r="O59" s="1" cm="1">
        <f t="array" aca="1" ref="O59" ca="1">INDIRECT(ADDRESS($B59,O$49+$A59,1,1,$D59))</f>
        <v>0</v>
      </c>
      <c r="P59" s="1" cm="1">
        <f t="array" aca="1" ref="P59" ca="1">INDIRECT(ADDRESS($B59,P$49+$A59,1,1,$D59))</f>
        <v>0</v>
      </c>
      <c r="Q59" s="1" cm="1">
        <f t="array" aca="1" ref="Q59" ca="1">INDIRECT(ADDRESS($B59,Q$49+$A59,1,1,$D59))</f>
        <v>0</v>
      </c>
      <c r="R59" s="1" cm="1">
        <f t="array" aca="1" ref="R59" ca="1">INDIRECT(ADDRESS($B59,R$49+$A59,1,1,$D59))</f>
        <v>0</v>
      </c>
      <c r="S59" s="1" cm="1">
        <f t="array" aca="1" ref="S59" ca="1">INDIRECT(ADDRESS($B59,S$49+$A59,1,1,$D59))</f>
        <v>0</v>
      </c>
      <c r="T59" s="1" cm="1">
        <f t="array" aca="1" ref="T59" ca="1">INDIRECT(ADDRESS($B59,T$49+$A59,1,1,$D59))</f>
        <v>0</v>
      </c>
      <c r="U59" s="1" cm="1">
        <f t="array" aca="1" ref="U59" ca="1">INDIRECT(ADDRESS($B59,U$49+$A59,1,1,$D59))</f>
        <v>0</v>
      </c>
      <c r="V59" s="1" cm="1">
        <f t="array" aca="1" ref="V59" ca="1">INDIRECT(ADDRESS($B59,V$49+$A59,1,1,$D59))</f>
        <v>0</v>
      </c>
      <c r="W59" s="1" cm="1">
        <f t="array" aca="1" ref="W59" ca="1">INDIRECT(ADDRESS($B59,W$49+$A59,1,1,$D59))</f>
        <v>0</v>
      </c>
      <c r="X59" s="1" cm="1">
        <f t="array" aca="1" ref="X59" ca="1">INDIRECT(ADDRESS($B59,X$49+$A59,1,1,$D59))</f>
        <v>0</v>
      </c>
      <c r="Y59" s="1" cm="1">
        <f t="array" aca="1" ref="Y59" ca="1">INDIRECT(ADDRESS($B59,Y$49+$A59,1,1,$D59))</f>
        <v>0</v>
      </c>
      <c r="Z59" s="1" cm="1">
        <f t="array" aca="1" ref="Z59" ca="1">INDIRECT(ADDRESS($B59,Z$49+$A59,1,1,$D59))</f>
        <v>0</v>
      </c>
      <c r="AA59" s="1" cm="1">
        <f t="array" aca="1" ref="AA59" ca="1">INDIRECT(ADDRESS($B59,AA$49+$A59,1,1,$D59))</f>
        <v>0</v>
      </c>
      <c r="AB59" s="1" cm="1">
        <f t="array" aca="1" ref="AB59" ca="1">INDIRECT(ADDRESS($B59,AB$49+$A59,1,1,$D59))</f>
        <v>0</v>
      </c>
      <c r="AC59" s="1" cm="1">
        <f t="array" aca="1" ref="AC59" ca="1">INDIRECT(ADDRESS($B59,AC$49+$A59,1,1,$D59))</f>
        <v>0</v>
      </c>
      <c r="AD59" s="1" cm="1">
        <f t="array" aca="1" ref="AD59" ca="1">INDIRECT(ADDRESS($B59,AD$49+$A59,1,1,$D59))</f>
        <v>0</v>
      </c>
      <c r="AE59" s="1" cm="1">
        <f t="array" aca="1" ref="AE59" ca="1">INDIRECT(ADDRESS($B59,AE$49+$A59,1,1,$D59))</f>
        <v>0</v>
      </c>
      <c r="AF59" s="1" cm="1">
        <f t="array" aca="1" ref="AF59" ca="1">INDIRECT(ADDRESS($B59,AF$49+$A59,1,1,$D59))</f>
        <v>0</v>
      </c>
      <c r="AG59" s="1" cm="1">
        <f t="array" aca="1" ref="AG59" ca="1">INDIRECT(ADDRESS($B59,AG$49+$A59,1,1,$D59))</f>
        <v>0</v>
      </c>
      <c r="AH59" s="1" cm="1">
        <f t="array" aca="1" ref="AH59" ca="1">INDIRECT(ADDRESS($B59,AH$49+$A59,1,1,$D59))</f>
        <v>0</v>
      </c>
      <c r="AI59" s="1" cm="1">
        <f t="array" aca="1" ref="AI59" ca="1">INDIRECT(ADDRESS($B59,AI$49+$A59,1,1,$D59))</f>
        <v>0</v>
      </c>
      <c r="AJ59" s="1" cm="1">
        <f t="array" aca="1" ref="AJ59" ca="1">INDIRECT(ADDRESS($B59,AJ$49+$A59,1,1,$D59))</f>
        <v>0</v>
      </c>
      <c r="AK59" s="1" cm="1">
        <f t="array" aca="1" ref="AK59" ca="1">INDIRECT(ADDRESS($B59,AK$49+$A59,1,1,$D59))</f>
        <v>0</v>
      </c>
      <c r="AL59" s="1" cm="1">
        <f t="array" aca="1" ref="AL59" ca="1">INDIRECT(ADDRESS($B59,AL$49+$A59,1,1,$D59))</f>
        <v>0</v>
      </c>
      <c r="AM59" s="1" cm="1">
        <f t="array" aca="1" ref="AM59" ca="1">INDIRECT(ADDRESS($B59,AM$49+$A59,1,1,$D59))</f>
        <v>0</v>
      </c>
      <c r="AN59" s="1" cm="1">
        <f t="array" aca="1" ref="AN59" ca="1">INDIRECT(ADDRESS($B59,AN$49+$A59,1,1,$D59))</f>
        <v>0</v>
      </c>
      <c r="AO59" s="1" cm="1">
        <f t="array" aca="1" ref="AO59" ca="1">INDIRECT(ADDRESS($B59,AO$49+$A59,1,1,$D59))</f>
        <v>0</v>
      </c>
      <c r="AP59" s="1" cm="1">
        <f t="array" aca="1" ref="AP59" ca="1">INDIRECT(ADDRESS($B59,AP$49+$A59,1,1,$D59))</f>
        <v>0</v>
      </c>
      <c r="AQ59" s="1" cm="1">
        <f t="array" aca="1" ref="AQ59" ca="1">INDIRECT(ADDRESS($B59,AQ$49+$A59,1,1,$D59))</f>
        <v>0</v>
      </c>
      <c r="AR59" s="1" cm="1">
        <f t="array" aca="1" ref="AR59" ca="1">INDIRECT(ADDRESS($B59,AR$49+$A59,1,1,$D59))</f>
        <v>0</v>
      </c>
      <c r="AS59" s="1" cm="1">
        <f t="array" aca="1" ref="AS59" ca="1">INDIRECT(ADDRESS($B59,AS$49+$A59,1,1,$D59))</f>
        <v>0</v>
      </c>
      <c r="AT59" s="1" cm="1">
        <f t="array" aca="1" ref="AT59" ca="1">INDIRECT(ADDRESS($B59,AT$49+$A59,1,1,$D59))</f>
        <v>0</v>
      </c>
      <c r="AU59" s="1" cm="1">
        <f t="array" aca="1" ref="AU59" ca="1">INDIRECT(ADDRESS($B59,AU$49+$A59,1,1,$D59))</f>
        <v>0</v>
      </c>
      <c r="AV59" s="1" cm="1">
        <f t="array" aca="1" ref="AV59" ca="1">INDIRECT(ADDRESS($B59,AV$49+$A59,1,1,$D59))</f>
        <v>0</v>
      </c>
      <c r="AW59" s="1" cm="1">
        <f t="array" aca="1" ref="AW59" ca="1">INDIRECT(ADDRESS($B59,AW$49+$A59,1,1,$D59))</f>
        <v>0</v>
      </c>
      <c r="AX59" s="1" cm="1">
        <f t="array" aca="1" ref="AX59" ca="1">INDIRECT(ADDRESS($B59,AX$49+$A59,1,1,$D59))</f>
        <v>0</v>
      </c>
      <c r="AY59" s="1" cm="1">
        <f t="array" aca="1" ref="AY59" ca="1">INDIRECT(ADDRESS($B59,AY$49+$A59,1,1,$D59))</f>
        <v>0</v>
      </c>
      <c r="AZ59" s="1" cm="1">
        <f t="array" aca="1" ref="AZ59" ca="1">INDIRECT(ADDRESS($B59,AZ$49+$A59,1,1,$D59))</f>
        <v>0</v>
      </c>
      <c r="BA59" s="1" cm="1">
        <f t="array" aca="1" ref="BA59" ca="1">INDIRECT(ADDRESS($B59,BA$49+$A59,1,1,$D59))</f>
        <v>0</v>
      </c>
      <c r="BB59" s="1" cm="1">
        <f t="array" aca="1" ref="BB59" ca="1">INDIRECT(ADDRESS($B59,BB$49+$A59,1,1,$D59))</f>
        <v>0</v>
      </c>
      <c r="BC59" s="1" cm="1">
        <f t="array" aca="1" ref="BC59" ca="1">INDIRECT(ADDRESS($B59,BC$49+$A59,1,1,$D59))</f>
        <v>0</v>
      </c>
      <c r="BD59" s="1" cm="1">
        <f t="array" aca="1" ref="BD59" ca="1">INDIRECT(ADDRESS($B59,BD$49+$A59,1,1,$D59))</f>
        <v>0</v>
      </c>
      <c r="BE59" s="1" cm="1">
        <f t="array" aca="1" ref="BE59" ca="1">INDIRECT(ADDRESS($B59,BE$49+$A59,1,1,$D59))</f>
        <v>0</v>
      </c>
      <c r="BF59" s="1" cm="1">
        <f t="array" aca="1" ref="BF59" ca="1">INDIRECT(ADDRESS($B59,BF$49+$A59,1,1,$D59))</f>
        <v>0</v>
      </c>
      <c r="BG59" s="1" cm="1">
        <f t="array" aca="1" ref="BG59" ca="1">INDIRECT(ADDRESS($B59,BG$49+$A59,1,1,$D59))</f>
        <v>0</v>
      </c>
      <c r="BH59" s="1" cm="1">
        <f t="array" aca="1" ref="BH59" ca="1">INDIRECT(ADDRESS($B59,BH$49+$A59,1,1,$D59))</f>
        <v>0</v>
      </c>
      <c r="BI59" s="1" cm="1">
        <f t="array" aca="1" ref="BI59" ca="1">INDIRECT(ADDRESS($B59,BI$49+$A59,1,1,$D59))</f>
        <v>0</v>
      </c>
      <c r="BJ59" s="1" cm="1">
        <f t="array" aca="1" ref="BJ59" ca="1">INDIRECT(ADDRESS($B59,BJ$49+$A59,1,1,$D59))</f>
        <v>0</v>
      </c>
      <c r="BK59" s="1" cm="1">
        <f t="array" aca="1" ref="BK59" ca="1">INDIRECT(ADDRESS($B59,BK$49+$A59,1,1,$D59))</f>
        <v>0</v>
      </c>
      <c r="BL59" s="1" cm="1">
        <f t="array" aca="1" ref="BL59" ca="1">INDIRECT(ADDRESS($B59,BL$49+$A59,1,1,$D59))</f>
        <v>0</v>
      </c>
      <c r="BM59" s="1" cm="1">
        <f t="array" aca="1" ref="BM59" ca="1">INDIRECT(ADDRESS($B59,BM$49+$A59,1,1,$D59))</f>
        <v>0</v>
      </c>
      <c r="BN59" s="1" cm="1">
        <f t="array" aca="1" ref="BN59" ca="1">INDIRECT(ADDRESS($B59,BN$49+$A59,1,1,$D59))</f>
        <v>0</v>
      </c>
      <c r="BO59" s="1" cm="1">
        <f t="array" aca="1" ref="BO59" ca="1">INDIRECT(ADDRESS($B59,BO$49+$A59,1,1,$D59))</f>
        <v>0</v>
      </c>
      <c r="BP59" s="1" cm="1">
        <f t="array" aca="1" ref="BP59" ca="1">INDIRECT(ADDRESS($B59,BP$49+$A59,1,1,$D59))</f>
        <v>0</v>
      </c>
      <c r="BQ59" s="1" cm="1">
        <f t="array" aca="1" ref="BQ59" ca="1">INDIRECT(ADDRESS($B59,BQ$49+$A59,1,1,$D59))</f>
        <v>0</v>
      </c>
      <c r="BR59" s="1" cm="1">
        <f t="array" aca="1" ref="BR59" ca="1">INDIRECT(ADDRESS($B59,BR$49+$A59,1,1,$D59))</f>
        <v>0</v>
      </c>
      <c r="BS59" s="1" cm="1">
        <f t="array" aca="1" ref="BS59" ca="1">INDIRECT(ADDRESS($B59,BS$49+$A59,1,1,$D59))</f>
        <v>0</v>
      </c>
      <c r="BT59" s="1" cm="1">
        <f t="array" aca="1" ref="BT59" ca="1">INDIRECT(ADDRESS($B59,BT$49+$A59,1,1,$D59))</f>
        <v>0</v>
      </c>
      <c r="BU59" s="1" cm="1">
        <f t="array" aca="1" ref="BU59" ca="1">INDIRECT(ADDRESS($B59,BU$49+$A59,1,1,$D59))</f>
        <v>0</v>
      </c>
      <c r="BV59" s="1" cm="1">
        <f t="array" aca="1" ref="BV59" ca="1">INDIRECT(ADDRESS($B59,BV$49+$A59,1,1,$D59))</f>
        <v>0</v>
      </c>
    </row>
    <row r="60" spans="1:74" x14ac:dyDescent="0.25">
      <c r="A60">
        <v>6</v>
      </c>
      <c r="B60">
        <f ca="1">MATCH($C60,INDIRECT("'"&amp;$C$87&amp;"'!A:A"),0)</f>
        <v>26</v>
      </c>
      <c r="C60" s="1" t="str">
        <f t="shared" si="2"/>
        <v>Switzerland Vaud</v>
      </c>
      <c r="D60" t="str">
        <f>D59</f>
        <v>Recovered</v>
      </c>
      <c r="E60" s="1" cm="1">
        <f t="array" aca="1" ref="E60" ca="1">INDIRECT(ADDRESS($B60,E$49+$A60,1,1,$D60))</f>
        <v>0</v>
      </c>
      <c r="F60" s="1" cm="1">
        <f t="array" aca="1" ref="F60" ca="1">INDIRECT(ADDRESS($B60,F$49+$A60,1,1,$D60))</f>
        <v>0</v>
      </c>
      <c r="G60" s="1" cm="1">
        <f t="array" aca="1" ref="G60" ca="1">INDIRECT(ADDRESS($B60,G$49+$A60,1,1,$D60))</f>
        <v>0</v>
      </c>
      <c r="H60" s="1" cm="1">
        <f t="array" aca="1" ref="H60" ca="1">INDIRECT(ADDRESS($B60,H$49+$A60,1,1,$D60))</f>
        <v>0</v>
      </c>
      <c r="I60" s="1" cm="1">
        <f t="array" aca="1" ref="I60" ca="1">INDIRECT(ADDRESS($B60,I$49+$A60,1,1,$D60))</f>
        <v>0</v>
      </c>
      <c r="J60" s="1" cm="1">
        <f t="array" aca="1" ref="J60" ca="1">INDIRECT(ADDRESS($B60,J$49+$A60,1,1,$D60))</f>
        <v>0</v>
      </c>
      <c r="K60" s="1" cm="1">
        <f t="array" aca="1" ref="K60" ca="1">INDIRECT(ADDRESS($B60,K$49+$A60,1,1,$D60))</f>
        <v>0</v>
      </c>
      <c r="L60" s="1" cm="1">
        <f t="array" aca="1" ref="L60" ca="1">INDIRECT(ADDRESS($B60,L$49+$A60,1,1,$D60))</f>
        <v>0</v>
      </c>
      <c r="M60" s="1" cm="1">
        <f t="array" aca="1" ref="M60" ca="1">INDIRECT(ADDRESS($B60,M$49+$A60,1,1,$D60))</f>
        <v>0</v>
      </c>
      <c r="N60" s="1" cm="1">
        <f t="array" aca="1" ref="N60" ca="1">INDIRECT(ADDRESS($B60,N$49+$A60,1,1,$D60))</f>
        <v>0</v>
      </c>
      <c r="O60" s="1" cm="1">
        <f t="array" aca="1" ref="O60" ca="1">INDIRECT(ADDRESS($B60,O$49+$A60,1,1,$D60))</f>
        <v>0</v>
      </c>
      <c r="P60" s="1" cm="1">
        <f t="array" aca="1" ref="P60" ca="1">INDIRECT(ADDRESS($B60,P$49+$A60,1,1,$D60))</f>
        <v>0</v>
      </c>
      <c r="Q60" s="1" cm="1">
        <f t="array" aca="1" ref="Q60" ca="1">INDIRECT(ADDRESS($B60,Q$49+$A60,1,1,$D60))</f>
        <v>0</v>
      </c>
      <c r="R60" s="1" cm="1">
        <f t="array" aca="1" ref="R60" ca="1">INDIRECT(ADDRESS($B60,R$49+$A60,1,1,$D60))</f>
        <v>0</v>
      </c>
      <c r="S60" s="1" cm="1">
        <f t="array" aca="1" ref="S60" ca="1">INDIRECT(ADDRESS($B60,S$49+$A60,1,1,$D60))</f>
        <v>0</v>
      </c>
      <c r="T60" s="1" cm="1">
        <f t="array" aca="1" ref="T60" ca="1">INDIRECT(ADDRESS($B60,T$49+$A60,1,1,$D60))</f>
        <v>0</v>
      </c>
      <c r="U60" s="1" cm="1">
        <f t="array" aca="1" ref="U60" ca="1">INDIRECT(ADDRESS($B60,U$49+$A60,1,1,$D60))</f>
        <v>0</v>
      </c>
      <c r="V60" s="1" cm="1">
        <f t="array" aca="1" ref="V60" ca="1">INDIRECT(ADDRESS($B60,V$49+$A60,1,1,$D60))</f>
        <v>0</v>
      </c>
      <c r="W60" s="1" cm="1">
        <f t="array" aca="1" ref="W60" ca="1">INDIRECT(ADDRESS($B60,W$49+$A60,1,1,$D60))</f>
        <v>0</v>
      </c>
      <c r="X60" s="1" cm="1">
        <f t="array" aca="1" ref="X60" ca="1">INDIRECT(ADDRESS($B60,X$49+$A60,1,1,$D60))</f>
        <v>0</v>
      </c>
      <c r="Y60" s="1" cm="1">
        <f t="array" aca="1" ref="Y60" ca="1">INDIRECT(ADDRESS($B60,Y$49+$A60,1,1,$D60))</f>
        <v>0</v>
      </c>
      <c r="Z60" s="1" cm="1">
        <f t="array" aca="1" ref="Z60" ca="1">INDIRECT(ADDRESS($B60,Z$49+$A60,1,1,$D60))</f>
        <v>0</v>
      </c>
      <c r="AA60" s="1" cm="1">
        <f t="array" aca="1" ref="AA60" ca="1">INDIRECT(ADDRESS($B60,AA$49+$A60,1,1,$D60))</f>
        <v>0</v>
      </c>
      <c r="AB60" s="1" cm="1">
        <f t="array" aca="1" ref="AB60" ca="1">INDIRECT(ADDRESS($B60,AB$49+$A60,1,1,$D60))</f>
        <v>0</v>
      </c>
      <c r="AC60" s="1" cm="1">
        <f t="array" aca="1" ref="AC60" ca="1">INDIRECT(ADDRESS($B60,AC$49+$A60,1,1,$D60))</f>
        <v>0</v>
      </c>
      <c r="AD60" s="1" cm="1">
        <f t="array" aca="1" ref="AD60" ca="1">INDIRECT(ADDRESS($B60,AD$49+$A60,1,1,$D60))</f>
        <v>0</v>
      </c>
      <c r="AE60" s="1" cm="1">
        <f t="array" aca="1" ref="AE60" ca="1">INDIRECT(ADDRESS($B60,AE$49+$A60,1,1,$D60))</f>
        <v>0</v>
      </c>
      <c r="AF60" s="1" cm="1">
        <f t="array" aca="1" ref="AF60" ca="1">INDIRECT(ADDRESS($B60,AF$49+$A60,1,1,$D60))</f>
        <v>0</v>
      </c>
      <c r="AG60" s="1" cm="1">
        <f t="array" aca="1" ref="AG60" ca="1">INDIRECT(ADDRESS($B60,AG$49+$A60,1,1,$D60))</f>
        <v>0</v>
      </c>
      <c r="AH60" s="1" cm="1">
        <f t="array" aca="1" ref="AH60" ca="1">INDIRECT(ADDRESS($B60,AH$49+$A60,1,1,$D60))</f>
        <v>0</v>
      </c>
      <c r="AI60" s="1" cm="1">
        <f t="array" aca="1" ref="AI60" ca="1">INDIRECT(ADDRESS($B60,AI$49+$A60,1,1,$D60))</f>
        <v>0</v>
      </c>
      <c r="AJ60" s="1" cm="1">
        <f t="array" aca="1" ref="AJ60" ca="1">INDIRECT(ADDRESS($B60,AJ$49+$A60,1,1,$D60))</f>
        <v>0</v>
      </c>
      <c r="AK60" s="1" cm="1">
        <f t="array" aca="1" ref="AK60" ca="1">INDIRECT(ADDRESS($B60,AK$49+$A60,1,1,$D60))</f>
        <v>0</v>
      </c>
      <c r="AL60" s="1" cm="1">
        <f t="array" aca="1" ref="AL60" ca="1">INDIRECT(ADDRESS($B60,AL$49+$A60,1,1,$D60))</f>
        <v>0</v>
      </c>
      <c r="AM60" s="1" cm="1">
        <f t="array" aca="1" ref="AM60" ca="1">INDIRECT(ADDRESS($B60,AM$49+$A60,1,1,$D60))</f>
        <v>0</v>
      </c>
      <c r="AN60" s="1" cm="1">
        <f t="array" aca="1" ref="AN60" ca="1">INDIRECT(ADDRESS($B60,AN$49+$A60,1,1,$D60))</f>
        <v>0</v>
      </c>
      <c r="AO60" s="1" cm="1">
        <f t="array" aca="1" ref="AO60" ca="1">INDIRECT(ADDRESS($B60,AO$49+$A60,1,1,$D60))</f>
        <v>0</v>
      </c>
      <c r="AP60" s="1" cm="1">
        <f t="array" aca="1" ref="AP60" ca="1">INDIRECT(ADDRESS($B60,AP$49+$A60,1,1,$D60))</f>
        <v>0</v>
      </c>
      <c r="AQ60" s="1" cm="1">
        <f t="array" aca="1" ref="AQ60" ca="1">INDIRECT(ADDRESS($B60,AQ$49+$A60,1,1,$D60))</f>
        <v>0</v>
      </c>
      <c r="AR60" s="1" cm="1">
        <f t="array" aca="1" ref="AR60" ca="1">INDIRECT(ADDRESS($B60,AR$49+$A60,1,1,$D60))</f>
        <v>0</v>
      </c>
      <c r="AS60" s="1" cm="1">
        <f t="array" aca="1" ref="AS60" ca="1">INDIRECT(ADDRESS($B60,AS$49+$A60,1,1,$D60))</f>
        <v>0</v>
      </c>
      <c r="AT60" s="1" cm="1">
        <f t="array" aca="1" ref="AT60" ca="1">INDIRECT(ADDRESS($B60,AT$49+$A60,1,1,$D60))</f>
        <v>0</v>
      </c>
      <c r="AU60" s="1" cm="1">
        <f t="array" aca="1" ref="AU60" ca="1">INDIRECT(ADDRESS($B60,AU$49+$A60,1,1,$D60))</f>
        <v>0</v>
      </c>
      <c r="AV60" s="1" cm="1">
        <f t="array" aca="1" ref="AV60" ca="1">INDIRECT(ADDRESS($B60,AV$49+$A60,1,1,$D60))</f>
        <v>0</v>
      </c>
      <c r="AW60" s="1" cm="1">
        <f t="array" aca="1" ref="AW60" ca="1">INDIRECT(ADDRESS($B60,AW$49+$A60,1,1,$D60))</f>
        <v>0</v>
      </c>
      <c r="AX60" s="1" cm="1">
        <f t="array" aca="1" ref="AX60" ca="1">INDIRECT(ADDRESS($B60,AX$49+$A60,1,1,$D60))</f>
        <v>0</v>
      </c>
      <c r="AY60" s="1" cm="1">
        <f t="array" aca="1" ref="AY60" ca="1">INDIRECT(ADDRESS($B60,AY$49+$A60,1,1,$D60))</f>
        <v>0</v>
      </c>
      <c r="AZ60" s="1" cm="1">
        <f t="array" aca="1" ref="AZ60" ca="1">INDIRECT(ADDRESS($B60,AZ$49+$A60,1,1,$D60))</f>
        <v>0</v>
      </c>
      <c r="BA60" s="1" cm="1">
        <f t="array" aca="1" ref="BA60" ca="1">INDIRECT(ADDRESS($B60,BA$49+$A60,1,1,$D60))</f>
        <v>0</v>
      </c>
      <c r="BB60" s="1" cm="1">
        <f t="array" aca="1" ref="BB60" ca="1">INDIRECT(ADDRESS($B60,BB$49+$A60,1,1,$D60))</f>
        <v>0</v>
      </c>
      <c r="BC60" s="1" cm="1">
        <f t="array" aca="1" ref="BC60" ca="1">INDIRECT(ADDRESS($B60,BC$49+$A60,1,1,$D60))</f>
        <v>0</v>
      </c>
      <c r="BD60" s="1" cm="1">
        <f t="array" aca="1" ref="BD60" ca="1">INDIRECT(ADDRESS($B60,BD$49+$A60,1,1,$D60))</f>
        <v>0</v>
      </c>
      <c r="BE60" s="1" cm="1">
        <f t="array" aca="1" ref="BE60" ca="1">INDIRECT(ADDRESS($B60,BE$49+$A60,1,1,$D60))</f>
        <v>0</v>
      </c>
      <c r="BF60" s="1" cm="1">
        <f t="array" aca="1" ref="BF60" ca="1">INDIRECT(ADDRESS($B60,BF$49+$A60,1,1,$D60))</f>
        <v>0</v>
      </c>
      <c r="BG60" s="1" cm="1">
        <f t="array" aca="1" ref="BG60" ca="1">INDIRECT(ADDRESS($B60,BG$49+$A60,1,1,$D60))</f>
        <v>0</v>
      </c>
      <c r="BH60" s="1" cm="1">
        <f t="array" aca="1" ref="BH60" ca="1">INDIRECT(ADDRESS($B60,BH$49+$A60,1,1,$D60))</f>
        <v>0</v>
      </c>
      <c r="BI60" s="1" cm="1">
        <f t="array" aca="1" ref="BI60" ca="1">INDIRECT(ADDRESS($B60,BI$49+$A60,1,1,$D60))</f>
        <v>0</v>
      </c>
      <c r="BJ60" s="1" cm="1">
        <f t="array" aca="1" ref="BJ60" ca="1">INDIRECT(ADDRESS($B60,BJ$49+$A60,1,1,$D60))</f>
        <v>0</v>
      </c>
      <c r="BK60" s="1" cm="1">
        <f t="array" aca="1" ref="BK60" ca="1">INDIRECT(ADDRESS($B60,BK$49+$A60,1,1,$D60))</f>
        <v>0</v>
      </c>
      <c r="BL60" s="1" cm="1">
        <f t="array" aca="1" ref="BL60" ca="1">INDIRECT(ADDRESS($B60,BL$49+$A60,1,1,$D60))</f>
        <v>0</v>
      </c>
      <c r="BM60" s="1" cm="1">
        <f t="array" aca="1" ref="BM60" ca="1">INDIRECT(ADDRESS($B60,BM$49+$A60,1,1,$D60))</f>
        <v>0</v>
      </c>
      <c r="BN60" s="1" cm="1">
        <f t="array" aca="1" ref="BN60" ca="1">INDIRECT(ADDRESS($B60,BN$49+$A60,1,1,$D60))</f>
        <v>0</v>
      </c>
      <c r="BO60" s="1" cm="1">
        <f t="array" aca="1" ref="BO60" ca="1">INDIRECT(ADDRESS($B60,BO$49+$A60,1,1,$D60))</f>
        <v>0</v>
      </c>
      <c r="BP60" s="1" cm="1">
        <f t="array" aca="1" ref="BP60" ca="1">INDIRECT(ADDRESS($B60,BP$49+$A60,1,1,$D60))</f>
        <v>0</v>
      </c>
      <c r="BQ60" s="1" cm="1">
        <f t="array" aca="1" ref="BQ60" ca="1">INDIRECT(ADDRESS($B60,BQ$49+$A60,1,1,$D60))</f>
        <v>0</v>
      </c>
      <c r="BR60" s="1" cm="1">
        <f t="array" aca="1" ref="BR60" ca="1">INDIRECT(ADDRESS($B60,BR$49+$A60,1,1,$D60))</f>
        <v>0</v>
      </c>
      <c r="BS60" s="1" cm="1">
        <f t="array" aca="1" ref="BS60" ca="1">INDIRECT(ADDRESS($B60,BS$49+$A60,1,1,$D60))</f>
        <v>0</v>
      </c>
      <c r="BT60" s="1" cm="1">
        <f t="array" aca="1" ref="BT60" ca="1">INDIRECT(ADDRESS($B60,BT$49+$A60,1,1,$D60))</f>
        <v>0</v>
      </c>
      <c r="BU60" s="1" cm="1">
        <f t="array" aca="1" ref="BU60" ca="1">INDIRECT(ADDRESS($B60,BU$49+$A60,1,1,$D60))</f>
        <v>0</v>
      </c>
      <c r="BV60" s="1" cm="1">
        <f t="array" aca="1" ref="BV60" ca="1">INDIRECT(ADDRESS($B60,BV$49+$A60,1,1,$D60))</f>
        <v>0</v>
      </c>
    </row>
    <row r="61" spans="1:74" x14ac:dyDescent="0.25">
      <c r="A61">
        <v>6</v>
      </c>
      <c r="B61">
        <f ca="1">MATCH($C61,INDIRECT("'"&amp;$C$87&amp;"'!A:A"),0)</f>
        <v>8</v>
      </c>
      <c r="C61" s="1" t="str">
        <f t="shared" si="2"/>
        <v>Switzerland Berne</v>
      </c>
      <c r="D61" t="str">
        <f>D60</f>
        <v>Recovered</v>
      </c>
      <c r="E61" s="1" cm="1">
        <f t="array" aca="1" ref="E61" ca="1">INDIRECT(ADDRESS($B61,E$49+$A61,1,1,$D61))</f>
        <v>0</v>
      </c>
      <c r="F61" s="1" cm="1">
        <f t="array" aca="1" ref="F61" ca="1">INDIRECT(ADDRESS($B61,F$49+$A61,1,1,$D61))</f>
        <v>0</v>
      </c>
      <c r="G61" s="1" cm="1">
        <f t="array" aca="1" ref="G61" ca="1">INDIRECT(ADDRESS($B61,G$49+$A61,1,1,$D61))</f>
        <v>0</v>
      </c>
      <c r="H61" s="1" cm="1">
        <f t="array" aca="1" ref="H61" ca="1">INDIRECT(ADDRESS($B61,H$49+$A61,1,1,$D61))</f>
        <v>0</v>
      </c>
      <c r="I61" s="1" cm="1">
        <f t="array" aca="1" ref="I61" ca="1">INDIRECT(ADDRESS($B61,I$49+$A61,1,1,$D61))</f>
        <v>0</v>
      </c>
      <c r="J61" s="1" cm="1">
        <f t="array" aca="1" ref="J61" ca="1">INDIRECT(ADDRESS($B61,J$49+$A61,1,1,$D61))</f>
        <v>0</v>
      </c>
      <c r="K61" s="1" cm="1">
        <f t="array" aca="1" ref="K61" ca="1">INDIRECT(ADDRESS($B61,K$49+$A61,1,1,$D61))</f>
        <v>0</v>
      </c>
      <c r="L61" s="1" cm="1">
        <f t="array" aca="1" ref="L61" ca="1">INDIRECT(ADDRESS($B61,L$49+$A61,1,1,$D61))</f>
        <v>0</v>
      </c>
      <c r="M61" s="1" cm="1">
        <f t="array" aca="1" ref="M61" ca="1">INDIRECT(ADDRESS($B61,M$49+$A61,1,1,$D61))</f>
        <v>0</v>
      </c>
      <c r="N61" s="1" cm="1">
        <f t="array" aca="1" ref="N61" ca="1">INDIRECT(ADDRESS($B61,N$49+$A61,1,1,$D61))</f>
        <v>0</v>
      </c>
      <c r="O61" s="1" cm="1">
        <f t="array" aca="1" ref="O61" ca="1">INDIRECT(ADDRESS($B61,O$49+$A61,1,1,$D61))</f>
        <v>0</v>
      </c>
      <c r="P61" s="1" cm="1">
        <f t="array" aca="1" ref="P61" ca="1">INDIRECT(ADDRESS($B61,P$49+$A61,1,1,$D61))</f>
        <v>0</v>
      </c>
      <c r="Q61" s="1" cm="1">
        <f t="array" aca="1" ref="Q61" ca="1">INDIRECT(ADDRESS($B61,Q$49+$A61,1,1,$D61))</f>
        <v>0</v>
      </c>
      <c r="R61" s="1" cm="1">
        <f t="array" aca="1" ref="R61" ca="1">INDIRECT(ADDRESS($B61,R$49+$A61,1,1,$D61))</f>
        <v>0</v>
      </c>
      <c r="S61" s="1" cm="1">
        <f t="array" aca="1" ref="S61" ca="1">INDIRECT(ADDRESS($B61,S$49+$A61,1,1,$D61))</f>
        <v>0</v>
      </c>
      <c r="T61" s="1" cm="1">
        <f t="array" aca="1" ref="T61" ca="1">INDIRECT(ADDRESS($B61,T$49+$A61,1,1,$D61))</f>
        <v>0</v>
      </c>
      <c r="U61" s="1" cm="1">
        <f t="array" aca="1" ref="U61" ca="1">INDIRECT(ADDRESS($B61,U$49+$A61,1,1,$D61))</f>
        <v>0</v>
      </c>
      <c r="V61" s="1" cm="1">
        <f t="array" aca="1" ref="V61" ca="1">INDIRECT(ADDRESS($B61,V$49+$A61,1,1,$D61))</f>
        <v>0</v>
      </c>
      <c r="W61" s="1" cm="1">
        <f t="array" aca="1" ref="W61" ca="1">INDIRECT(ADDRESS($B61,W$49+$A61,1,1,$D61))</f>
        <v>0</v>
      </c>
      <c r="X61" s="1" cm="1">
        <f t="array" aca="1" ref="X61" ca="1">INDIRECT(ADDRESS($B61,X$49+$A61,1,1,$D61))</f>
        <v>0</v>
      </c>
      <c r="Y61" s="1" cm="1">
        <f t="array" aca="1" ref="Y61" ca="1">INDIRECT(ADDRESS($B61,Y$49+$A61,1,1,$D61))</f>
        <v>0</v>
      </c>
      <c r="Z61" s="1" cm="1">
        <f t="array" aca="1" ref="Z61" ca="1">INDIRECT(ADDRESS($B61,Z$49+$A61,1,1,$D61))</f>
        <v>0</v>
      </c>
      <c r="AA61" s="1" cm="1">
        <f t="array" aca="1" ref="AA61" ca="1">INDIRECT(ADDRESS($B61,AA$49+$A61,1,1,$D61))</f>
        <v>0</v>
      </c>
      <c r="AB61" s="1" cm="1">
        <f t="array" aca="1" ref="AB61" ca="1">INDIRECT(ADDRESS($B61,AB$49+$A61,1,1,$D61))</f>
        <v>0</v>
      </c>
      <c r="AC61" s="1" cm="1">
        <f t="array" aca="1" ref="AC61" ca="1">INDIRECT(ADDRESS($B61,AC$49+$A61,1,1,$D61))</f>
        <v>0</v>
      </c>
      <c r="AD61" s="1" cm="1">
        <f t="array" aca="1" ref="AD61" ca="1">INDIRECT(ADDRESS($B61,AD$49+$A61,1,1,$D61))</f>
        <v>0</v>
      </c>
      <c r="AE61" s="1" cm="1">
        <f t="array" aca="1" ref="AE61" ca="1">INDIRECT(ADDRESS($B61,AE$49+$A61,1,1,$D61))</f>
        <v>0</v>
      </c>
      <c r="AF61" s="1" cm="1">
        <f t="array" aca="1" ref="AF61" ca="1">INDIRECT(ADDRESS($B61,AF$49+$A61,1,1,$D61))</f>
        <v>0</v>
      </c>
      <c r="AG61" s="1" cm="1">
        <f t="array" aca="1" ref="AG61" ca="1">INDIRECT(ADDRESS($B61,AG$49+$A61,1,1,$D61))</f>
        <v>0</v>
      </c>
      <c r="AH61" s="1" cm="1">
        <f t="array" aca="1" ref="AH61" ca="1">INDIRECT(ADDRESS($B61,AH$49+$A61,1,1,$D61))</f>
        <v>0</v>
      </c>
      <c r="AI61" s="1" cm="1">
        <f t="array" aca="1" ref="AI61" ca="1">INDIRECT(ADDRESS($B61,AI$49+$A61,1,1,$D61))</f>
        <v>0</v>
      </c>
      <c r="AJ61" s="1" cm="1">
        <f t="array" aca="1" ref="AJ61" ca="1">INDIRECT(ADDRESS($B61,AJ$49+$A61,1,1,$D61))</f>
        <v>0</v>
      </c>
      <c r="AK61" s="1" cm="1">
        <f t="array" aca="1" ref="AK61" ca="1">INDIRECT(ADDRESS($B61,AK$49+$A61,1,1,$D61))</f>
        <v>0</v>
      </c>
      <c r="AL61" s="1" cm="1">
        <f t="array" aca="1" ref="AL61" ca="1">INDIRECT(ADDRESS($B61,AL$49+$A61,1,1,$D61))</f>
        <v>0</v>
      </c>
      <c r="AM61" s="1" cm="1">
        <f t="array" aca="1" ref="AM61" ca="1">INDIRECT(ADDRESS($B61,AM$49+$A61,1,1,$D61))</f>
        <v>0</v>
      </c>
      <c r="AN61" s="1" cm="1">
        <f t="array" aca="1" ref="AN61" ca="1">INDIRECT(ADDRESS($B61,AN$49+$A61,1,1,$D61))</f>
        <v>0</v>
      </c>
      <c r="AO61" s="1" cm="1">
        <f t="array" aca="1" ref="AO61" ca="1">INDIRECT(ADDRESS($B61,AO$49+$A61,1,1,$D61))</f>
        <v>0</v>
      </c>
      <c r="AP61" s="1" cm="1">
        <f t="array" aca="1" ref="AP61" ca="1">INDIRECT(ADDRESS($B61,AP$49+$A61,1,1,$D61))</f>
        <v>0</v>
      </c>
      <c r="AQ61" s="1" cm="1">
        <f t="array" aca="1" ref="AQ61" ca="1">INDIRECT(ADDRESS($B61,AQ$49+$A61,1,1,$D61))</f>
        <v>0</v>
      </c>
      <c r="AR61" s="1" cm="1">
        <f t="array" aca="1" ref="AR61" ca="1">INDIRECT(ADDRESS($B61,AR$49+$A61,1,1,$D61))</f>
        <v>0</v>
      </c>
      <c r="AS61" s="1" cm="1">
        <f t="array" aca="1" ref="AS61" ca="1">INDIRECT(ADDRESS($B61,AS$49+$A61,1,1,$D61))</f>
        <v>0</v>
      </c>
      <c r="AT61" s="1" cm="1">
        <f t="array" aca="1" ref="AT61" ca="1">INDIRECT(ADDRESS($B61,AT$49+$A61,1,1,$D61))</f>
        <v>0</v>
      </c>
      <c r="AU61" s="1" cm="1">
        <f t="array" aca="1" ref="AU61" ca="1">INDIRECT(ADDRESS($B61,AU$49+$A61,1,1,$D61))</f>
        <v>0</v>
      </c>
      <c r="AV61" s="1" cm="1">
        <f t="array" aca="1" ref="AV61" ca="1">INDIRECT(ADDRESS($B61,AV$49+$A61,1,1,$D61))</f>
        <v>0</v>
      </c>
      <c r="AW61" s="1" cm="1">
        <f t="array" aca="1" ref="AW61" ca="1">INDIRECT(ADDRESS($B61,AW$49+$A61,1,1,$D61))</f>
        <v>0</v>
      </c>
      <c r="AX61" s="1" cm="1">
        <f t="array" aca="1" ref="AX61" ca="1">INDIRECT(ADDRESS($B61,AX$49+$A61,1,1,$D61))</f>
        <v>0</v>
      </c>
      <c r="AY61" s="1" cm="1">
        <f t="array" aca="1" ref="AY61" ca="1">INDIRECT(ADDRESS($B61,AY$49+$A61,1,1,$D61))</f>
        <v>0</v>
      </c>
      <c r="AZ61" s="1" cm="1">
        <f t="array" aca="1" ref="AZ61" ca="1">INDIRECT(ADDRESS($B61,AZ$49+$A61,1,1,$D61))</f>
        <v>0</v>
      </c>
      <c r="BA61" s="1" cm="1">
        <f t="array" aca="1" ref="BA61" ca="1">INDIRECT(ADDRESS($B61,BA$49+$A61,1,1,$D61))</f>
        <v>0</v>
      </c>
      <c r="BB61" s="1" cm="1">
        <f t="array" aca="1" ref="BB61" ca="1">INDIRECT(ADDRESS($B61,BB$49+$A61,1,1,$D61))</f>
        <v>0</v>
      </c>
      <c r="BC61" s="1" cm="1">
        <f t="array" aca="1" ref="BC61" ca="1">INDIRECT(ADDRESS($B61,BC$49+$A61,1,1,$D61))</f>
        <v>0</v>
      </c>
      <c r="BD61" s="1" cm="1">
        <f t="array" aca="1" ref="BD61" ca="1">INDIRECT(ADDRESS($B61,BD$49+$A61,1,1,$D61))</f>
        <v>0</v>
      </c>
      <c r="BE61" s="1" cm="1">
        <f t="array" aca="1" ref="BE61" ca="1">INDIRECT(ADDRESS($B61,BE$49+$A61,1,1,$D61))</f>
        <v>0</v>
      </c>
      <c r="BF61" s="1" cm="1">
        <f t="array" aca="1" ref="BF61" ca="1">INDIRECT(ADDRESS($B61,BF$49+$A61,1,1,$D61))</f>
        <v>0</v>
      </c>
      <c r="BG61" s="1" cm="1">
        <f t="array" aca="1" ref="BG61" ca="1">INDIRECT(ADDRESS($B61,BG$49+$A61,1,1,$D61))</f>
        <v>0</v>
      </c>
      <c r="BH61" s="1" cm="1">
        <f t="array" aca="1" ref="BH61" ca="1">INDIRECT(ADDRESS($B61,BH$49+$A61,1,1,$D61))</f>
        <v>0</v>
      </c>
      <c r="BI61" s="1" cm="1">
        <f t="array" aca="1" ref="BI61" ca="1">INDIRECT(ADDRESS($B61,BI$49+$A61,1,1,$D61))</f>
        <v>0</v>
      </c>
      <c r="BJ61" s="1" cm="1">
        <f t="array" aca="1" ref="BJ61" ca="1">INDIRECT(ADDRESS($B61,BJ$49+$A61,1,1,$D61))</f>
        <v>0</v>
      </c>
      <c r="BK61" s="1" cm="1">
        <f t="array" aca="1" ref="BK61" ca="1">INDIRECT(ADDRESS($B61,BK$49+$A61,1,1,$D61))</f>
        <v>0</v>
      </c>
      <c r="BL61" s="1" cm="1">
        <f t="array" aca="1" ref="BL61" ca="1">INDIRECT(ADDRESS($B61,BL$49+$A61,1,1,$D61))</f>
        <v>0</v>
      </c>
      <c r="BM61" s="1" cm="1">
        <f t="array" aca="1" ref="BM61" ca="1">INDIRECT(ADDRESS($B61,BM$49+$A61,1,1,$D61))</f>
        <v>0</v>
      </c>
      <c r="BN61" s="1" cm="1">
        <f t="array" aca="1" ref="BN61" ca="1">INDIRECT(ADDRESS($B61,BN$49+$A61,1,1,$D61))</f>
        <v>0</v>
      </c>
      <c r="BO61" s="1" cm="1">
        <f t="array" aca="1" ref="BO61" ca="1">INDIRECT(ADDRESS($B61,BO$49+$A61,1,1,$D61))</f>
        <v>0</v>
      </c>
      <c r="BP61" s="1" cm="1">
        <f t="array" aca="1" ref="BP61" ca="1">INDIRECT(ADDRESS($B61,BP$49+$A61,1,1,$D61))</f>
        <v>0</v>
      </c>
      <c r="BQ61" s="1" cm="1">
        <f t="array" aca="1" ref="BQ61" ca="1">INDIRECT(ADDRESS($B61,BQ$49+$A61,1,1,$D61))</f>
        <v>0</v>
      </c>
      <c r="BR61" s="1" cm="1">
        <f t="array" aca="1" ref="BR61" ca="1">INDIRECT(ADDRESS($B61,BR$49+$A61,1,1,$D61))</f>
        <v>0</v>
      </c>
      <c r="BS61" s="1" cm="1">
        <f t="array" aca="1" ref="BS61" ca="1">INDIRECT(ADDRESS($B61,BS$49+$A61,1,1,$D61))</f>
        <v>0</v>
      </c>
      <c r="BT61" s="1" cm="1">
        <f t="array" aca="1" ref="BT61" ca="1">INDIRECT(ADDRESS($B61,BT$49+$A61,1,1,$D61))</f>
        <v>0</v>
      </c>
      <c r="BU61" s="1" cm="1">
        <f t="array" aca="1" ref="BU61" ca="1">INDIRECT(ADDRESS($B61,BU$49+$A61,1,1,$D61))</f>
        <v>0</v>
      </c>
      <c r="BV61" s="1" cm="1">
        <f t="array" aca="1" ref="BV61" ca="1">INDIRECT(ADDRESS($B61,BV$49+$A61,1,1,$D61))</f>
        <v>0</v>
      </c>
    </row>
    <row r="62" spans="1:7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>
        <v>6</v>
      </c>
      <c r="B63">
        <f ca="1">MATCH("Country/Region",INDIRECT("'Confirmed'!A:A"),0)</f>
        <v>1</v>
      </c>
      <c r="C63" s="4" t="s">
        <v>138</v>
      </c>
      <c r="D63" s="4"/>
      <c r="E63" s="5" t="str" cm="1">
        <f t="array" aca="1" ref="E63" ca="1">INDIRECT(ADDRESS($B63,E$49+$A63,1,1,$C63))</f>
        <v>2020-01-22</v>
      </c>
      <c r="F63" s="5" t="str" cm="1">
        <f t="array" aca="1" ref="F63" ca="1">INDIRECT(ADDRESS($B63,F$49+$A63,1,1,$C63))</f>
        <v>2020-01-23</v>
      </c>
      <c r="G63" s="5" t="str" cm="1">
        <f t="array" aca="1" ref="G63" ca="1">INDIRECT(ADDRESS($B63,G$49+$A63,1,1,$C63))</f>
        <v>2020-01-24</v>
      </c>
      <c r="H63" s="5" t="str" cm="1">
        <f t="array" aca="1" ref="H63" ca="1">INDIRECT(ADDRESS($B63,H$49+$A63,1,1,$C63))</f>
        <v>2020-01-25</v>
      </c>
      <c r="I63" s="5" t="str" cm="1">
        <f t="array" aca="1" ref="I63" ca="1">INDIRECT(ADDRESS($B63,I$49+$A63,1,1,$C63))</f>
        <v>2020-01-26</v>
      </c>
      <c r="J63" s="5" t="str" cm="1">
        <f t="array" aca="1" ref="J63" ca="1">INDIRECT(ADDRESS($B63,J$49+$A63,1,1,$C63))</f>
        <v>2020-01-27</v>
      </c>
      <c r="K63" s="5" t="str" cm="1">
        <f t="array" aca="1" ref="K63" ca="1">INDIRECT(ADDRESS($B63,K$49+$A63,1,1,$C63))</f>
        <v>2020-01-28</v>
      </c>
      <c r="L63" s="5" t="str" cm="1">
        <f t="array" aca="1" ref="L63" ca="1">INDIRECT(ADDRESS($B63,L$49+$A63,1,1,$C63))</f>
        <v>2020-01-29</v>
      </c>
      <c r="M63" s="5" t="str" cm="1">
        <f t="array" aca="1" ref="M63" ca="1">INDIRECT(ADDRESS($B63,M$49+$A63,1,1,$C63))</f>
        <v>2020-01-30</v>
      </c>
      <c r="N63" s="5" t="str" cm="1">
        <f t="array" aca="1" ref="N63" ca="1">INDIRECT(ADDRESS($B63,N$49+$A63,1,1,$C63))</f>
        <v>2020-01-31</v>
      </c>
      <c r="O63" s="5" t="str" cm="1">
        <f t="array" aca="1" ref="O63" ca="1">INDIRECT(ADDRESS($B63,O$49+$A63,1,1,$C63))</f>
        <v>2020-02-01</v>
      </c>
      <c r="P63" s="5" t="str" cm="1">
        <f t="array" aca="1" ref="P63" ca="1">INDIRECT(ADDRESS($B63,P$49+$A63,1,1,$C63))</f>
        <v>2020-02-02</v>
      </c>
      <c r="Q63" s="5" t="str" cm="1">
        <f t="array" aca="1" ref="Q63" ca="1">INDIRECT(ADDRESS($B63,Q$49+$A63,1,1,$C63))</f>
        <v>2020-02-03</v>
      </c>
      <c r="R63" s="5" t="str" cm="1">
        <f t="array" aca="1" ref="R63" ca="1">INDIRECT(ADDRESS($B63,R$49+$A63,1,1,$C63))</f>
        <v>2020-02-04</v>
      </c>
      <c r="S63" s="5" t="str" cm="1">
        <f t="array" aca="1" ref="S63" ca="1">INDIRECT(ADDRESS($B63,S$49+$A63,1,1,$C63))</f>
        <v>2020-02-05</v>
      </c>
      <c r="T63" s="5" t="str" cm="1">
        <f t="array" aca="1" ref="T63" ca="1">INDIRECT(ADDRESS($B63,T$49+$A63,1,1,$C63))</f>
        <v>2020-02-06</v>
      </c>
      <c r="U63" s="5" t="str" cm="1">
        <f t="array" aca="1" ref="U63" ca="1">INDIRECT(ADDRESS($B63,U$49+$A63,1,1,$C63))</f>
        <v>2020-02-07</v>
      </c>
      <c r="V63" s="5" t="str" cm="1">
        <f t="array" aca="1" ref="V63" ca="1">INDIRECT(ADDRESS($B63,V$49+$A63,1,1,$C63))</f>
        <v>2020-02-08</v>
      </c>
      <c r="W63" s="5" t="str" cm="1">
        <f t="array" aca="1" ref="W63" ca="1">INDIRECT(ADDRESS($B63,W$49+$A63,1,1,$C63))</f>
        <v>2020-02-09</v>
      </c>
      <c r="X63" s="5" t="str" cm="1">
        <f t="array" aca="1" ref="X63" ca="1">INDIRECT(ADDRESS($B63,X$49+$A63,1,1,$C63))</f>
        <v>2020-02-10</v>
      </c>
      <c r="Y63" s="5" t="str" cm="1">
        <f t="array" aca="1" ref="Y63" ca="1">INDIRECT(ADDRESS($B63,Y$49+$A63,1,1,$C63))</f>
        <v>2020-02-11</v>
      </c>
      <c r="Z63" s="5" t="str" cm="1">
        <f t="array" aca="1" ref="Z63" ca="1">INDIRECT(ADDRESS($B63,Z$49+$A63,1,1,$C63))</f>
        <v>2020-02-12</v>
      </c>
      <c r="AA63" s="5" t="str" cm="1">
        <f t="array" aca="1" ref="AA63" ca="1">INDIRECT(ADDRESS($B63,AA$49+$A63,1,1,$C63))</f>
        <v>2020-02-13</v>
      </c>
      <c r="AB63" s="5" t="str" cm="1">
        <f t="array" aca="1" ref="AB63" ca="1">INDIRECT(ADDRESS($B63,AB$49+$A63,1,1,$C63))</f>
        <v>2020-02-14</v>
      </c>
      <c r="AC63" s="5" t="str" cm="1">
        <f t="array" aca="1" ref="AC63" ca="1">INDIRECT(ADDRESS($B63,AC$49+$A63,1,1,$C63))</f>
        <v>2020-02-15</v>
      </c>
      <c r="AD63" s="5" t="str" cm="1">
        <f t="array" aca="1" ref="AD63" ca="1">INDIRECT(ADDRESS($B63,AD$49+$A63,1,1,$C63))</f>
        <v>2020-02-16</v>
      </c>
      <c r="AE63" s="5" t="str" cm="1">
        <f t="array" aca="1" ref="AE63" ca="1">INDIRECT(ADDRESS($B63,AE$49+$A63,1,1,$C63))</f>
        <v>2020-02-17</v>
      </c>
      <c r="AF63" s="5" t="str" cm="1">
        <f t="array" aca="1" ref="AF63" ca="1">INDIRECT(ADDRESS($B63,AF$49+$A63,1,1,$C63))</f>
        <v>2020-02-18</v>
      </c>
      <c r="AG63" s="5" t="str" cm="1">
        <f t="array" aca="1" ref="AG63" ca="1">INDIRECT(ADDRESS($B63,AG$49+$A63,1,1,$C63))</f>
        <v>2020-02-19</v>
      </c>
      <c r="AH63" s="5" t="str" cm="1">
        <f t="array" aca="1" ref="AH63" ca="1">INDIRECT(ADDRESS($B63,AH$49+$A63,1,1,$C63))</f>
        <v>2020-02-20</v>
      </c>
      <c r="AI63" s="5" t="str" cm="1">
        <f t="array" aca="1" ref="AI63" ca="1">INDIRECT(ADDRESS($B63,AI$49+$A63,1,1,$C63))</f>
        <v>2020-02-21</v>
      </c>
      <c r="AJ63" s="5" t="str" cm="1">
        <f t="array" aca="1" ref="AJ63" ca="1">INDIRECT(ADDRESS($B63,AJ$49+$A63,1,1,$C63))</f>
        <v>2020-02-22</v>
      </c>
      <c r="AK63" s="5" t="str" cm="1">
        <f t="array" aca="1" ref="AK63" ca="1">INDIRECT(ADDRESS($B63,AK$49+$A63,1,1,$C63))</f>
        <v>2020-02-23</v>
      </c>
      <c r="AL63" s="5" t="str" cm="1">
        <f t="array" aca="1" ref="AL63" ca="1">INDIRECT(ADDRESS($B63,AL$49+$A63,1,1,$C63))</f>
        <v>2020-02-24</v>
      </c>
      <c r="AM63" s="5" t="str" cm="1">
        <f t="array" aca="1" ref="AM63" ca="1">INDIRECT(ADDRESS($B63,AM$49+$A63,1,1,$C63))</f>
        <v>2020-02-25</v>
      </c>
      <c r="AN63" s="5" t="str" cm="1">
        <f t="array" aca="1" ref="AN63" ca="1">INDIRECT(ADDRESS($B63,AN$49+$A63,1,1,$C63))</f>
        <v>2020-02-26</v>
      </c>
      <c r="AO63" s="5" t="str" cm="1">
        <f t="array" aca="1" ref="AO63" ca="1">INDIRECT(ADDRESS($B63,AO$49+$A63,1,1,$C63))</f>
        <v>2020-02-27</v>
      </c>
      <c r="AP63" s="5" t="str" cm="1">
        <f t="array" aca="1" ref="AP63" ca="1">INDIRECT(ADDRESS($B63,AP$49+$A63,1,1,$C63))</f>
        <v>2020-02-28</v>
      </c>
      <c r="AQ63" s="5" t="str" cm="1">
        <f t="array" aca="1" ref="AQ63" ca="1">INDIRECT(ADDRESS($B63,AQ$49+$A63,1,1,$C63))</f>
        <v>2020-02-29</v>
      </c>
      <c r="AR63" s="5" t="str" cm="1">
        <f t="array" aca="1" ref="AR63" ca="1">INDIRECT(ADDRESS($B63,AR$49+$A63,1,1,$C63))</f>
        <v>2020-03-01</v>
      </c>
      <c r="AS63" s="5" t="str" cm="1">
        <f t="array" aca="1" ref="AS63" ca="1">INDIRECT(ADDRESS($B63,AS$49+$A63,1,1,$C63))</f>
        <v>2020-03-02</v>
      </c>
      <c r="AT63" s="5" t="str" cm="1">
        <f t="array" aca="1" ref="AT63" ca="1">INDIRECT(ADDRESS($B63,AT$49+$A63,1,1,$C63))</f>
        <v>2020-03-03</v>
      </c>
      <c r="AU63" s="5" t="str" cm="1">
        <f t="array" aca="1" ref="AU63" ca="1">INDIRECT(ADDRESS($B63,AU$49+$A63,1,1,$C63))</f>
        <v>2020-03-04</v>
      </c>
      <c r="AV63" s="5" t="str" cm="1">
        <f t="array" aca="1" ref="AV63" ca="1">INDIRECT(ADDRESS($B63,AV$49+$A63,1,1,$C63))</f>
        <v>2020-03-05</v>
      </c>
      <c r="AW63" s="5" t="str" cm="1">
        <f t="array" aca="1" ref="AW63" ca="1">INDIRECT(ADDRESS($B63,AW$49+$A63,1,1,$C63))</f>
        <v>2020-03-06</v>
      </c>
      <c r="AX63" s="5" t="str" cm="1">
        <f t="array" aca="1" ref="AX63" ca="1">INDIRECT(ADDRESS($B63,AX$49+$A63,1,1,$C63))</f>
        <v>2020-03-07</v>
      </c>
      <c r="AY63" s="5" t="str" cm="1">
        <f t="array" aca="1" ref="AY63" ca="1">INDIRECT(ADDRESS($B63,AY$49+$A63,1,1,$C63))</f>
        <v>2020-03-08</v>
      </c>
      <c r="AZ63" s="5" t="str" cm="1">
        <f t="array" aca="1" ref="AZ63" ca="1">INDIRECT(ADDRESS($B63,AZ$49+$A63,1,1,$C63))</f>
        <v>2020-03-09</v>
      </c>
      <c r="BA63" s="5" t="str" cm="1">
        <f t="array" aca="1" ref="BA63" ca="1">INDIRECT(ADDRESS($B63,BA$49+$A63,1,1,$C63))</f>
        <v>2020-03-10</v>
      </c>
      <c r="BB63" s="5" t="str" cm="1">
        <f t="array" aca="1" ref="BB63" ca="1">INDIRECT(ADDRESS($B63,BB$49+$A63,1,1,$C63))</f>
        <v>2020-03-11</v>
      </c>
      <c r="BC63" s="5" t="str" cm="1">
        <f t="array" aca="1" ref="BC63" ca="1">INDIRECT(ADDRESS($B63,BC$49+$A63,1,1,$C63))</f>
        <v>2020-03-12</v>
      </c>
      <c r="BD63" s="5" t="str" cm="1">
        <f t="array" aca="1" ref="BD63" ca="1">INDIRECT(ADDRESS($B63,BD$49+$A63,1,1,$C63))</f>
        <v>2020-03-13</v>
      </c>
      <c r="BE63" s="5" t="str" cm="1">
        <f t="array" aca="1" ref="BE63" ca="1">INDIRECT(ADDRESS($B63,BE$49+$A63,1,1,$C63))</f>
        <v>2020-03-14</v>
      </c>
      <c r="BF63" s="5" t="str" cm="1">
        <f t="array" aca="1" ref="BF63" ca="1">INDIRECT(ADDRESS($B63,BF$49+$A63,1,1,$C63))</f>
        <v>2020-03-15</v>
      </c>
      <c r="BG63" s="5" t="str" cm="1">
        <f t="array" aca="1" ref="BG63" ca="1">INDIRECT(ADDRESS($B63,BG$49+$A63,1,1,$C63))</f>
        <v>2020-03-16</v>
      </c>
      <c r="BH63" s="5" t="str" cm="1">
        <f t="array" aca="1" ref="BH63" ca="1">INDIRECT(ADDRESS($B63,BH$49+$A63,1,1,$C63))</f>
        <v>2020-03-17</v>
      </c>
      <c r="BI63" s="5" t="str" cm="1">
        <f t="array" aca="1" ref="BI63" ca="1">INDIRECT(ADDRESS($B63,BI$49+$A63,1,1,$C63))</f>
        <v>2020-03-18</v>
      </c>
      <c r="BJ63" s="5" t="str" cm="1">
        <f t="array" aca="1" ref="BJ63" ca="1">INDIRECT(ADDRESS($B63,BJ$49+$A63,1,1,$C63))</f>
        <v>2020-03-19</v>
      </c>
      <c r="BK63" s="5" t="str" cm="1">
        <f t="array" aca="1" ref="BK63" ca="1">INDIRECT(ADDRESS($B63,BK$49+$A63,1,1,$C63))</f>
        <v>2020-03-20</v>
      </c>
      <c r="BL63" s="5" t="str" cm="1">
        <f t="array" aca="1" ref="BL63" ca="1">INDIRECT(ADDRESS($B63,BL$49+$A63,1,1,$C63))</f>
        <v>2020-03-21</v>
      </c>
      <c r="BM63" s="5" t="str" cm="1">
        <f t="array" aca="1" ref="BM63" ca="1">INDIRECT(ADDRESS($B63,BM$49+$A63,1,1,$C63))</f>
        <v>2020-03-22</v>
      </c>
      <c r="BN63" s="5" t="str" cm="1">
        <f t="array" aca="1" ref="BN63" ca="1">INDIRECT(ADDRESS($B63,BN$49+$A63,1,1,$C63))</f>
        <v>2020-03-23</v>
      </c>
      <c r="BO63" s="5" cm="1">
        <f t="array" aca="1" ref="BO63" ca="1">INDIRECT(ADDRESS($B63,BO$49+$A63,1,1,$C63))</f>
        <v>0</v>
      </c>
      <c r="BP63" s="5" cm="1">
        <f t="array" aca="1" ref="BP63" ca="1">INDIRECT(ADDRESS($B63,BP$49+$A63,1,1,$C63))</f>
        <v>0</v>
      </c>
      <c r="BQ63" s="5" cm="1">
        <f t="array" aca="1" ref="BQ63" ca="1">INDIRECT(ADDRESS($B63,BQ$49+$A63,1,1,$C63))</f>
        <v>0</v>
      </c>
      <c r="BR63" s="5" cm="1">
        <f t="array" aca="1" ref="BR63" ca="1">INDIRECT(ADDRESS($B63,BR$49+$A63,1,1,$C63))</f>
        <v>0</v>
      </c>
      <c r="BS63" s="5" cm="1">
        <f t="array" aca="1" ref="BS63" ca="1">INDIRECT(ADDRESS($B63,BS$49+$A63,1,1,$C63))</f>
        <v>0</v>
      </c>
      <c r="BT63" s="5" cm="1">
        <f t="array" aca="1" ref="BT63" ca="1">INDIRECT(ADDRESS($B63,BT$49+$A63,1,1,$C63))</f>
        <v>0</v>
      </c>
      <c r="BU63" s="5" cm="1">
        <f t="array" aca="1" ref="BU63" ca="1">INDIRECT(ADDRESS($B63,BU$49+$A63,1,1,$C63))</f>
        <v>0</v>
      </c>
      <c r="BV63" s="5" cm="1">
        <f t="array" aca="1" ref="BV63" ca="1">INDIRECT(ADDRESS($B63,BV$49+$A63,1,1,$C63))</f>
        <v>0</v>
      </c>
    </row>
    <row r="64" spans="1:74" x14ac:dyDescent="0.25">
      <c r="A64">
        <v>6</v>
      </c>
      <c r="B64">
        <f ca="1">MATCH($C64,INDIRECT("'"&amp;$C$51&amp;"'!A:A"),0)</f>
        <v>23</v>
      </c>
      <c r="C64" s="1" t="str">
        <f>C8</f>
        <v>Switzerland Ticino</v>
      </c>
      <c r="D64" t="str">
        <f>C63</f>
        <v>Recovered Predicted</v>
      </c>
      <c r="E64" s="1" cm="1">
        <f t="array" aca="1" ref="E64" ca="1">INDIRECT(ADDRESS($B64,E$49+$A64,1,1,$D64))</f>
        <v>0</v>
      </c>
      <c r="F64" s="1" cm="1">
        <f t="array" aca="1" ref="F64" ca="1">INDIRECT(ADDRESS($B64,F$49+$A64,1,1,$D64))</f>
        <v>0</v>
      </c>
      <c r="G64" s="1" cm="1">
        <f t="array" aca="1" ref="G64" ca="1">INDIRECT(ADDRESS($B64,G$49+$A64,1,1,$D64))</f>
        <v>0</v>
      </c>
      <c r="H64" s="1" cm="1">
        <f t="array" aca="1" ref="H64" ca="1">INDIRECT(ADDRESS($B64,H$49+$A64,1,1,$D64))</f>
        <v>0</v>
      </c>
      <c r="I64" s="1" cm="1">
        <f t="array" aca="1" ref="I64" ca="1">INDIRECT(ADDRESS($B64,I$49+$A64,1,1,$D64))</f>
        <v>0</v>
      </c>
      <c r="J64" s="1" cm="1">
        <f t="array" aca="1" ref="J64" ca="1">INDIRECT(ADDRESS($B64,J$49+$A64,1,1,$D64))</f>
        <v>0</v>
      </c>
      <c r="K64" s="1" cm="1">
        <f t="array" aca="1" ref="K64" ca="1">INDIRECT(ADDRESS($B64,K$49+$A64,1,1,$D64))</f>
        <v>0</v>
      </c>
      <c r="L64" s="1" cm="1">
        <f t="array" aca="1" ref="L64" ca="1">INDIRECT(ADDRESS($B64,L$49+$A64,1,1,$D64))</f>
        <v>0</v>
      </c>
      <c r="M64" s="1" cm="1">
        <f t="array" aca="1" ref="M64" ca="1">INDIRECT(ADDRESS($B64,M$49+$A64,1,1,$D64))</f>
        <v>0</v>
      </c>
      <c r="N64" s="1" cm="1">
        <f t="array" aca="1" ref="N64" ca="1">INDIRECT(ADDRESS($B64,N$49+$A64,1,1,$D64))</f>
        <v>0</v>
      </c>
      <c r="O64" s="1" cm="1">
        <f t="array" aca="1" ref="O64" ca="1">INDIRECT(ADDRESS($B64,O$49+$A64,1,1,$D64))</f>
        <v>0</v>
      </c>
      <c r="P64" s="1" cm="1">
        <f t="array" aca="1" ref="P64" ca="1">INDIRECT(ADDRESS($B64,P$49+$A64,1,1,$D64))</f>
        <v>0</v>
      </c>
      <c r="Q64" s="1" cm="1">
        <f t="array" aca="1" ref="Q64" ca="1">INDIRECT(ADDRESS($B64,Q$49+$A64,1,1,$D64))</f>
        <v>0</v>
      </c>
      <c r="R64" s="1" cm="1">
        <f t="array" aca="1" ref="R64" ca="1">INDIRECT(ADDRESS($B64,R$49+$A64,1,1,$D64))</f>
        <v>0</v>
      </c>
      <c r="S64" s="1" cm="1">
        <f t="array" aca="1" ref="S64" ca="1">INDIRECT(ADDRESS($B64,S$49+$A64,1,1,$D64))</f>
        <v>0</v>
      </c>
      <c r="T64" s="1" cm="1">
        <f t="array" aca="1" ref="T64" ca="1">INDIRECT(ADDRESS($B64,T$49+$A64,1,1,$D64))</f>
        <v>0</v>
      </c>
      <c r="U64" s="1" cm="1">
        <f t="array" aca="1" ref="U64" ca="1">INDIRECT(ADDRESS($B64,U$49+$A64,1,1,$D64))</f>
        <v>0</v>
      </c>
      <c r="V64" s="1" cm="1">
        <f t="array" aca="1" ref="V64" ca="1">INDIRECT(ADDRESS($B64,V$49+$A64,1,1,$D64))</f>
        <v>0</v>
      </c>
      <c r="W64" s="1" cm="1">
        <f t="array" aca="1" ref="W64" ca="1">INDIRECT(ADDRESS($B64,W$49+$A64,1,1,$D64))</f>
        <v>0</v>
      </c>
      <c r="X64" s="1" cm="1">
        <f t="array" aca="1" ref="X64" ca="1">INDIRECT(ADDRESS($B64,X$49+$A64,1,1,$D64))</f>
        <v>0</v>
      </c>
      <c r="Y64" s="1" cm="1">
        <f t="array" aca="1" ref="Y64" ca="1">INDIRECT(ADDRESS($B64,Y$49+$A64,1,1,$D64))</f>
        <v>0</v>
      </c>
      <c r="Z64" s="1" cm="1">
        <f t="array" aca="1" ref="Z64" ca="1">INDIRECT(ADDRESS($B64,Z$49+$A64,1,1,$D64))</f>
        <v>0</v>
      </c>
      <c r="AA64" s="1" cm="1">
        <f t="array" aca="1" ref="AA64" ca="1">INDIRECT(ADDRESS($B64,AA$49+$A64,1,1,$D64))</f>
        <v>0</v>
      </c>
      <c r="AB64" s="1" cm="1">
        <f t="array" aca="1" ref="AB64" ca="1">INDIRECT(ADDRESS($B64,AB$49+$A64,1,1,$D64))</f>
        <v>0</v>
      </c>
      <c r="AC64" s="1" cm="1">
        <f t="array" aca="1" ref="AC64" ca="1">INDIRECT(ADDRESS($B64,AC$49+$A64,1,1,$D64))</f>
        <v>0</v>
      </c>
      <c r="AD64" s="1" cm="1">
        <f t="array" aca="1" ref="AD64" ca="1">INDIRECT(ADDRESS($B64,AD$49+$A64,1,1,$D64))</f>
        <v>0</v>
      </c>
      <c r="AE64" s="1" cm="1">
        <f t="array" aca="1" ref="AE64" ca="1">INDIRECT(ADDRESS($B64,AE$49+$A64,1,1,$D64))</f>
        <v>0</v>
      </c>
      <c r="AF64" s="1" cm="1">
        <f t="array" aca="1" ref="AF64" ca="1">INDIRECT(ADDRESS($B64,AF$49+$A64,1,1,$D64))</f>
        <v>0</v>
      </c>
      <c r="AG64" s="1" cm="1">
        <f t="array" aca="1" ref="AG64" ca="1">INDIRECT(ADDRESS($B64,AG$49+$A64,1,1,$D64))</f>
        <v>0</v>
      </c>
      <c r="AH64" s="1" cm="1">
        <f t="array" aca="1" ref="AH64" ca="1">INDIRECT(ADDRESS($B64,AH$49+$A64,1,1,$D64))</f>
        <v>0</v>
      </c>
      <c r="AI64" s="1" cm="1">
        <f t="array" aca="1" ref="AI64" ca="1">INDIRECT(ADDRESS($B64,AI$49+$A64,1,1,$D64))</f>
        <v>0</v>
      </c>
      <c r="AJ64" s="1" cm="1">
        <f t="array" aca="1" ref="AJ64" ca="1">INDIRECT(ADDRESS($B64,AJ$49+$A64,1,1,$D64))</f>
        <v>0</v>
      </c>
      <c r="AK64" s="1" cm="1">
        <f t="array" aca="1" ref="AK64" ca="1">INDIRECT(ADDRESS($B64,AK$49+$A64,1,1,$D64))</f>
        <v>0</v>
      </c>
      <c r="AL64" s="1" cm="1">
        <f t="array" aca="1" ref="AL64" ca="1">INDIRECT(ADDRESS($B64,AL$49+$A64,1,1,$D64))</f>
        <v>0</v>
      </c>
      <c r="AM64" s="1" cm="1">
        <f t="array" aca="1" ref="AM64" ca="1">INDIRECT(ADDRESS($B64,AM$49+$A64,1,1,$D64))</f>
        <v>0</v>
      </c>
      <c r="AN64" s="1" cm="1">
        <f t="array" aca="1" ref="AN64" ca="1">INDIRECT(ADDRESS($B64,AN$49+$A64,1,1,$D64))</f>
        <v>0</v>
      </c>
      <c r="AO64" s="1" cm="1">
        <f t="array" aca="1" ref="AO64" ca="1">INDIRECT(ADDRESS($B64,AO$49+$A64,1,1,$D64))</f>
        <v>0</v>
      </c>
      <c r="AP64" s="1" cm="1">
        <f t="array" aca="1" ref="AP64" ca="1">INDIRECT(ADDRESS($B64,AP$49+$A64,1,1,$D64))</f>
        <v>0</v>
      </c>
      <c r="AQ64" s="1" cm="1">
        <f t="array" aca="1" ref="AQ64" ca="1">INDIRECT(ADDRESS($B64,AQ$49+$A64,1,1,$D64))</f>
        <v>0</v>
      </c>
      <c r="AR64" s="1" cm="1">
        <f t="array" aca="1" ref="AR64" ca="1">INDIRECT(ADDRESS($B64,AR$49+$A64,1,1,$D64))</f>
        <v>0</v>
      </c>
      <c r="AS64" s="1" cm="1">
        <f t="array" aca="1" ref="AS64" ca="1">INDIRECT(ADDRESS($B64,AS$49+$A64,1,1,$D64))</f>
        <v>0</v>
      </c>
      <c r="AT64" s="1" cm="1">
        <f t="array" aca="1" ref="AT64" ca="1">INDIRECT(ADDRESS($B64,AT$49+$A64,1,1,$D64))</f>
        <v>0</v>
      </c>
      <c r="AU64" s="1" cm="1">
        <f t="array" aca="1" ref="AU64" ca="1">INDIRECT(ADDRESS($B64,AU$49+$A64,1,1,$D64))</f>
        <v>0</v>
      </c>
      <c r="AV64" s="1" cm="1">
        <f t="array" aca="1" ref="AV64" ca="1">INDIRECT(ADDRESS($B64,AV$49+$A64,1,1,$D64))</f>
        <v>0</v>
      </c>
      <c r="AW64" s="1" cm="1">
        <f t="array" aca="1" ref="AW64" ca="1">INDIRECT(ADDRESS($B64,AW$49+$A64,1,1,$D64))</f>
        <v>0</v>
      </c>
      <c r="AX64" s="1" cm="1">
        <f t="array" aca="1" ref="AX64" ca="1">INDIRECT(ADDRESS($B64,AX$49+$A64,1,1,$D64))</f>
        <v>0</v>
      </c>
      <c r="AY64" s="1" cm="1">
        <f t="array" aca="1" ref="AY64" ca="1">INDIRECT(ADDRESS($B64,AY$49+$A64,1,1,$D64))</f>
        <v>0</v>
      </c>
      <c r="AZ64" s="1" cm="1">
        <f t="array" aca="1" ref="AZ64" ca="1">INDIRECT(ADDRESS($B64,AZ$49+$A64,1,1,$D64))</f>
        <v>0</v>
      </c>
      <c r="BA64" s="1" cm="1">
        <f t="array" aca="1" ref="BA64" ca="1">INDIRECT(ADDRESS($B64,BA$49+$A64,1,1,$D64))</f>
        <v>0</v>
      </c>
      <c r="BB64" s="1" cm="1">
        <f t="array" aca="1" ref="BB64" ca="1">INDIRECT(ADDRESS($B64,BB$49+$A64,1,1,$D64))</f>
        <v>0</v>
      </c>
      <c r="BC64" s="1" cm="1">
        <f t="array" aca="1" ref="BC64" ca="1">INDIRECT(ADDRESS($B64,BC$49+$A64,1,1,$D64))</f>
        <v>0</v>
      </c>
      <c r="BD64" s="1" cm="1">
        <f t="array" aca="1" ref="BD64" ca="1">INDIRECT(ADDRESS($B64,BD$49+$A64,1,1,$D64))</f>
        <v>0</v>
      </c>
      <c r="BE64" s="1" cm="1">
        <f t="array" aca="1" ref="BE64" ca="1">INDIRECT(ADDRESS($B64,BE$49+$A64,1,1,$D64))</f>
        <v>0</v>
      </c>
      <c r="BF64" s="1" cm="1">
        <f t="array" aca="1" ref="BF64" ca="1">INDIRECT(ADDRESS($B64,BF$49+$A64,1,1,$D64))</f>
        <v>0</v>
      </c>
      <c r="BG64" s="1" cm="1">
        <f t="array" aca="1" ref="BG64" ca="1">INDIRECT(ADDRESS($B64,BG$49+$A64,1,1,$D64))</f>
        <v>0</v>
      </c>
      <c r="BH64" s="1" cm="1">
        <f t="array" aca="1" ref="BH64" ca="1">INDIRECT(ADDRESS($B64,BH$49+$A64,1,1,$D64))</f>
        <v>0</v>
      </c>
      <c r="BI64" s="1" cm="1">
        <f t="array" aca="1" ref="BI64" ca="1">INDIRECT(ADDRESS($B64,BI$49+$A64,1,1,$D64))</f>
        <v>0</v>
      </c>
      <c r="BJ64" s="1" cm="1">
        <f t="array" aca="1" ref="BJ64" ca="1">INDIRECT(ADDRESS($B64,BJ$49+$A64,1,1,$D64))</f>
        <v>0</v>
      </c>
      <c r="BK64" s="1" cm="1">
        <f t="array" aca="1" ref="BK64" ca="1">INDIRECT(ADDRESS($B64,BK$49+$A64,1,1,$D64))</f>
        <v>0</v>
      </c>
      <c r="BL64" s="1" cm="1">
        <f t="array" aca="1" ref="BL64" ca="1">INDIRECT(ADDRESS($B64,BL$49+$A64,1,1,$D64))</f>
        <v>0</v>
      </c>
      <c r="BM64" s="1" cm="1">
        <f t="array" aca="1" ref="BM64" ca="1">INDIRECT(ADDRESS($B64,BM$49+$A64,1,1,$D64))</f>
        <v>0</v>
      </c>
      <c r="BN64" s="1" cm="1">
        <f t="array" aca="1" ref="BN64" ca="1">INDIRECT(ADDRESS($B64,BN$49+$A64,1,1,$D64))</f>
        <v>0</v>
      </c>
      <c r="BO64" s="1" cm="1">
        <f t="array" aca="1" ref="BO64" ca="1">INDIRECT(ADDRESS($B64,BO$49+$A64,1,1,$D64))</f>
        <v>0</v>
      </c>
      <c r="BP64" s="1" cm="1">
        <f t="array" aca="1" ref="BP64" ca="1">INDIRECT(ADDRESS($B64,BP$49+$A64,1,1,$D64))</f>
        <v>0</v>
      </c>
      <c r="BQ64" s="1" cm="1">
        <f t="array" aca="1" ref="BQ64" ca="1">INDIRECT(ADDRESS($B64,BQ$49+$A64,1,1,$D64))</f>
        <v>0</v>
      </c>
      <c r="BR64" s="1" cm="1">
        <f t="array" aca="1" ref="BR64" ca="1">INDIRECT(ADDRESS($B64,BR$49+$A64,1,1,$D64))</f>
        <v>0</v>
      </c>
      <c r="BS64" s="1" cm="1">
        <f t="array" aca="1" ref="BS64" ca="1">INDIRECT(ADDRESS($B64,BS$49+$A64,1,1,$D64))</f>
        <v>0</v>
      </c>
      <c r="BT64" s="1" cm="1">
        <f t="array" aca="1" ref="BT64" ca="1">INDIRECT(ADDRESS($B64,BT$49+$A64,1,1,$D64))</f>
        <v>0</v>
      </c>
      <c r="BU64" s="1" cm="1">
        <f t="array" aca="1" ref="BU64" ca="1">INDIRECT(ADDRESS($B64,BU$49+$A64,1,1,$D64))</f>
        <v>0</v>
      </c>
      <c r="BV64" s="1" cm="1">
        <f t="array" aca="1" ref="BV64" ca="1">INDIRECT(ADDRESS($B64,BV$49+$A64,1,1,$D64))</f>
        <v>0</v>
      </c>
    </row>
    <row r="65" spans="1:74" x14ac:dyDescent="0.25">
      <c r="A65">
        <v>6</v>
      </c>
      <c r="B65">
        <f ca="1">MATCH($C65,INDIRECT("'"&amp;$C$87&amp;"'!A:A"),0)</f>
        <v>28</v>
      </c>
      <c r="C65" s="1" t="str">
        <f t="shared" ref="C65:C67" si="3">C9</f>
        <v>Switzerland Zurich</v>
      </c>
      <c r="D65" t="str">
        <f>D64</f>
        <v>Recovered Predicted</v>
      </c>
      <c r="E65" s="1" cm="1">
        <f t="array" aca="1" ref="E65" ca="1">INDIRECT(ADDRESS($B65,E$49+$A65,1,1,$D65))</f>
        <v>0</v>
      </c>
      <c r="F65" s="1" cm="1">
        <f t="array" aca="1" ref="F65" ca="1">INDIRECT(ADDRESS($B65,F$49+$A65,1,1,$D65))</f>
        <v>0</v>
      </c>
      <c r="G65" s="1" cm="1">
        <f t="array" aca="1" ref="G65" ca="1">INDIRECT(ADDRESS($B65,G$49+$A65,1,1,$D65))</f>
        <v>0</v>
      </c>
      <c r="H65" s="1" cm="1">
        <f t="array" aca="1" ref="H65" ca="1">INDIRECT(ADDRESS($B65,H$49+$A65,1,1,$D65))</f>
        <v>0</v>
      </c>
      <c r="I65" s="1" cm="1">
        <f t="array" aca="1" ref="I65" ca="1">INDIRECT(ADDRESS($B65,I$49+$A65,1,1,$D65))</f>
        <v>0</v>
      </c>
      <c r="J65" s="1" cm="1">
        <f t="array" aca="1" ref="J65" ca="1">INDIRECT(ADDRESS($B65,J$49+$A65,1,1,$D65))</f>
        <v>0</v>
      </c>
      <c r="K65" s="1" cm="1">
        <f t="array" aca="1" ref="K65" ca="1">INDIRECT(ADDRESS($B65,K$49+$A65,1,1,$D65))</f>
        <v>0</v>
      </c>
      <c r="L65" s="1" cm="1">
        <f t="array" aca="1" ref="L65" ca="1">INDIRECT(ADDRESS($B65,L$49+$A65,1,1,$D65))</f>
        <v>0</v>
      </c>
      <c r="M65" s="1" cm="1">
        <f t="array" aca="1" ref="M65" ca="1">INDIRECT(ADDRESS($B65,M$49+$A65,1,1,$D65))</f>
        <v>0</v>
      </c>
      <c r="N65" s="1" cm="1">
        <f t="array" aca="1" ref="N65" ca="1">INDIRECT(ADDRESS($B65,N$49+$A65,1,1,$D65))</f>
        <v>0</v>
      </c>
      <c r="O65" s="1" cm="1">
        <f t="array" aca="1" ref="O65" ca="1">INDIRECT(ADDRESS($B65,O$49+$A65,1,1,$D65))</f>
        <v>0</v>
      </c>
      <c r="P65" s="1" cm="1">
        <f t="array" aca="1" ref="P65" ca="1">INDIRECT(ADDRESS($B65,P$49+$A65,1,1,$D65))</f>
        <v>0</v>
      </c>
      <c r="Q65" s="1" cm="1">
        <f t="array" aca="1" ref="Q65" ca="1">INDIRECT(ADDRESS($B65,Q$49+$A65,1,1,$D65))</f>
        <v>0</v>
      </c>
      <c r="R65" s="1" cm="1">
        <f t="array" aca="1" ref="R65" ca="1">INDIRECT(ADDRESS($B65,R$49+$A65,1,1,$D65))</f>
        <v>0</v>
      </c>
      <c r="S65" s="1" cm="1">
        <f t="array" aca="1" ref="S65" ca="1">INDIRECT(ADDRESS($B65,S$49+$A65,1,1,$D65))</f>
        <v>0</v>
      </c>
      <c r="T65" s="1" cm="1">
        <f t="array" aca="1" ref="T65" ca="1">INDIRECT(ADDRESS($B65,T$49+$A65,1,1,$D65))</f>
        <v>0</v>
      </c>
      <c r="U65" s="1" cm="1">
        <f t="array" aca="1" ref="U65" ca="1">INDIRECT(ADDRESS($B65,U$49+$A65,1,1,$D65))</f>
        <v>0</v>
      </c>
      <c r="V65" s="1" cm="1">
        <f t="array" aca="1" ref="V65" ca="1">INDIRECT(ADDRESS($B65,V$49+$A65,1,1,$D65))</f>
        <v>0</v>
      </c>
      <c r="W65" s="1" cm="1">
        <f t="array" aca="1" ref="W65" ca="1">INDIRECT(ADDRESS($B65,W$49+$A65,1,1,$D65))</f>
        <v>0</v>
      </c>
      <c r="X65" s="1" cm="1">
        <f t="array" aca="1" ref="X65" ca="1">INDIRECT(ADDRESS($B65,X$49+$A65,1,1,$D65))</f>
        <v>0</v>
      </c>
      <c r="Y65" s="1" cm="1">
        <f t="array" aca="1" ref="Y65" ca="1">INDIRECT(ADDRESS($B65,Y$49+$A65,1,1,$D65))</f>
        <v>0</v>
      </c>
      <c r="Z65" s="1" cm="1">
        <f t="array" aca="1" ref="Z65" ca="1">INDIRECT(ADDRESS($B65,Z$49+$A65,1,1,$D65))</f>
        <v>0</v>
      </c>
      <c r="AA65" s="1" cm="1">
        <f t="array" aca="1" ref="AA65" ca="1">INDIRECT(ADDRESS($B65,AA$49+$A65,1,1,$D65))</f>
        <v>0</v>
      </c>
      <c r="AB65" s="1" cm="1">
        <f t="array" aca="1" ref="AB65" ca="1">INDIRECT(ADDRESS($B65,AB$49+$A65,1,1,$D65))</f>
        <v>0</v>
      </c>
      <c r="AC65" s="1" cm="1">
        <f t="array" aca="1" ref="AC65" ca="1">INDIRECT(ADDRESS($B65,AC$49+$A65,1,1,$D65))</f>
        <v>0</v>
      </c>
      <c r="AD65" s="1" cm="1">
        <f t="array" aca="1" ref="AD65" ca="1">INDIRECT(ADDRESS($B65,AD$49+$A65,1,1,$D65))</f>
        <v>0</v>
      </c>
      <c r="AE65" s="1" cm="1">
        <f t="array" aca="1" ref="AE65" ca="1">INDIRECT(ADDRESS($B65,AE$49+$A65,1,1,$D65))</f>
        <v>0</v>
      </c>
      <c r="AF65" s="1" cm="1">
        <f t="array" aca="1" ref="AF65" ca="1">INDIRECT(ADDRESS($B65,AF$49+$A65,1,1,$D65))</f>
        <v>0</v>
      </c>
      <c r="AG65" s="1" cm="1">
        <f t="array" aca="1" ref="AG65" ca="1">INDIRECT(ADDRESS($B65,AG$49+$A65,1,1,$D65))</f>
        <v>0</v>
      </c>
      <c r="AH65" s="1" cm="1">
        <f t="array" aca="1" ref="AH65" ca="1">INDIRECT(ADDRESS($B65,AH$49+$A65,1,1,$D65))</f>
        <v>0</v>
      </c>
      <c r="AI65" s="1" cm="1">
        <f t="array" aca="1" ref="AI65" ca="1">INDIRECT(ADDRESS($B65,AI$49+$A65,1,1,$D65))</f>
        <v>0</v>
      </c>
      <c r="AJ65" s="1" cm="1">
        <f t="array" aca="1" ref="AJ65" ca="1">INDIRECT(ADDRESS($B65,AJ$49+$A65,1,1,$D65))</f>
        <v>0</v>
      </c>
      <c r="AK65" s="1" cm="1">
        <f t="array" aca="1" ref="AK65" ca="1">INDIRECT(ADDRESS($B65,AK$49+$A65,1,1,$D65))</f>
        <v>0</v>
      </c>
      <c r="AL65" s="1" cm="1">
        <f t="array" aca="1" ref="AL65" ca="1">INDIRECT(ADDRESS($B65,AL$49+$A65,1,1,$D65))</f>
        <v>0</v>
      </c>
      <c r="AM65" s="1" cm="1">
        <f t="array" aca="1" ref="AM65" ca="1">INDIRECT(ADDRESS($B65,AM$49+$A65,1,1,$D65))</f>
        <v>0</v>
      </c>
      <c r="AN65" s="1" cm="1">
        <f t="array" aca="1" ref="AN65" ca="1">INDIRECT(ADDRESS($B65,AN$49+$A65,1,1,$D65))</f>
        <v>0</v>
      </c>
      <c r="AO65" s="1" cm="1">
        <f t="array" aca="1" ref="AO65" ca="1">INDIRECT(ADDRESS($B65,AO$49+$A65,1,1,$D65))</f>
        <v>0</v>
      </c>
      <c r="AP65" s="1" cm="1">
        <f t="array" aca="1" ref="AP65" ca="1">INDIRECT(ADDRESS($B65,AP$49+$A65,1,1,$D65))</f>
        <v>0</v>
      </c>
      <c r="AQ65" s="1" cm="1">
        <f t="array" aca="1" ref="AQ65" ca="1">INDIRECT(ADDRESS($B65,AQ$49+$A65,1,1,$D65))</f>
        <v>0</v>
      </c>
      <c r="AR65" s="1" cm="1">
        <f t="array" aca="1" ref="AR65" ca="1">INDIRECT(ADDRESS($B65,AR$49+$A65,1,1,$D65))</f>
        <v>0</v>
      </c>
      <c r="AS65" s="1" cm="1">
        <f t="array" aca="1" ref="AS65" ca="1">INDIRECT(ADDRESS($B65,AS$49+$A65,1,1,$D65))</f>
        <v>0</v>
      </c>
      <c r="AT65" s="1" cm="1">
        <f t="array" aca="1" ref="AT65" ca="1">INDIRECT(ADDRESS($B65,AT$49+$A65,1,1,$D65))</f>
        <v>0</v>
      </c>
      <c r="AU65" s="1" cm="1">
        <f t="array" aca="1" ref="AU65" ca="1">INDIRECT(ADDRESS($B65,AU$49+$A65,1,1,$D65))</f>
        <v>0</v>
      </c>
      <c r="AV65" s="1" cm="1">
        <f t="array" aca="1" ref="AV65" ca="1">INDIRECT(ADDRESS($B65,AV$49+$A65,1,1,$D65))</f>
        <v>0</v>
      </c>
      <c r="AW65" s="1" cm="1">
        <f t="array" aca="1" ref="AW65" ca="1">INDIRECT(ADDRESS($B65,AW$49+$A65,1,1,$D65))</f>
        <v>0</v>
      </c>
      <c r="AX65" s="1" cm="1">
        <f t="array" aca="1" ref="AX65" ca="1">INDIRECT(ADDRESS($B65,AX$49+$A65,1,1,$D65))</f>
        <v>0</v>
      </c>
      <c r="AY65" s="1" cm="1">
        <f t="array" aca="1" ref="AY65" ca="1">INDIRECT(ADDRESS($B65,AY$49+$A65,1,1,$D65))</f>
        <v>0</v>
      </c>
      <c r="AZ65" s="1" cm="1">
        <f t="array" aca="1" ref="AZ65" ca="1">INDIRECT(ADDRESS($B65,AZ$49+$A65,1,1,$D65))</f>
        <v>0</v>
      </c>
      <c r="BA65" s="1" cm="1">
        <f t="array" aca="1" ref="BA65" ca="1">INDIRECT(ADDRESS($B65,BA$49+$A65,1,1,$D65))</f>
        <v>0</v>
      </c>
      <c r="BB65" s="1" cm="1">
        <f t="array" aca="1" ref="BB65" ca="1">INDIRECT(ADDRESS($B65,BB$49+$A65,1,1,$D65))</f>
        <v>0</v>
      </c>
      <c r="BC65" s="1" cm="1">
        <f t="array" aca="1" ref="BC65" ca="1">INDIRECT(ADDRESS($B65,BC$49+$A65,1,1,$D65))</f>
        <v>1</v>
      </c>
      <c r="BD65" s="1" cm="1">
        <f t="array" aca="1" ref="BD65" ca="1">INDIRECT(ADDRESS($B65,BD$49+$A65,1,1,$D65))</f>
        <v>2</v>
      </c>
      <c r="BE65" s="1" cm="1">
        <f t="array" aca="1" ref="BE65" ca="1">INDIRECT(ADDRESS($B65,BE$49+$A65,1,1,$D65))</f>
        <v>2</v>
      </c>
      <c r="BF65" s="1" cm="1">
        <f t="array" aca="1" ref="BF65" ca="1">INDIRECT(ADDRESS($B65,BF$49+$A65,1,1,$D65))</f>
        <v>2</v>
      </c>
      <c r="BG65" s="1" cm="1">
        <f t="array" aca="1" ref="BG65" ca="1">INDIRECT(ADDRESS($B65,BG$49+$A65,1,1,$D65))</f>
        <v>1</v>
      </c>
      <c r="BH65" s="1" cm="1">
        <f t="array" aca="1" ref="BH65" ca="1">INDIRECT(ADDRESS($B65,BH$49+$A65,1,1,$D65))</f>
        <v>8</v>
      </c>
      <c r="BI65" s="1" cm="1">
        <f t="array" aca="1" ref="BI65" ca="1">INDIRECT(ADDRESS($B65,BI$49+$A65,1,1,$D65))</f>
        <v>8</v>
      </c>
      <c r="BJ65" s="1" cm="1">
        <f t="array" aca="1" ref="BJ65" ca="1">INDIRECT(ADDRESS($B65,BJ$49+$A65,1,1,$D65))</f>
        <v>16</v>
      </c>
      <c r="BK65" s="1" cm="1">
        <f t="array" aca="1" ref="BK65" ca="1">INDIRECT(ADDRESS($B65,BK$49+$A65,1,1,$D65))</f>
        <v>23</v>
      </c>
      <c r="BL65" s="1" cm="1">
        <f t="array" aca="1" ref="BL65" ca="1">INDIRECT(ADDRESS($B65,BL$49+$A65,1,1,$D65))</f>
        <v>27</v>
      </c>
      <c r="BM65" s="1" cm="1">
        <f t="array" aca="1" ref="BM65" ca="1">INDIRECT(ADDRESS($B65,BM$49+$A65,1,1,$D65))</f>
        <v>34</v>
      </c>
      <c r="BN65" s="1" cm="1">
        <f t="array" aca="1" ref="BN65" ca="1">INDIRECT(ADDRESS($B65,BN$49+$A65,1,1,$D65))</f>
        <v>35</v>
      </c>
      <c r="BO65" s="1" cm="1">
        <f t="array" aca="1" ref="BO65" ca="1">INDIRECT(ADDRESS($B65,BO$49+$A65,1,1,$D65))</f>
        <v>0</v>
      </c>
      <c r="BP65" s="1" cm="1">
        <f t="array" aca="1" ref="BP65" ca="1">INDIRECT(ADDRESS($B65,BP$49+$A65,1,1,$D65))</f>
        <v>0</v>
      </c>
      <c r="BQ65" s="1" cm="1">
        <f t="array" aca="1" ref="BQ65" ca="1">INDIRECT(ADDRESS($B65,BQ$49+$A65,1,1,$D65))</f>
        <v>0</v>
      </c>
      <c r="BR65" s="1" cm="1">
        <f t="array" aca="1" ref="BR65" ca="1">INDIRECT(ADDRESS($B65,BR$49+$A65,1,1,$D65))</f>
        <v>0</v>
      </c>
      <c r="BS65" s="1" cm="1">
        <f t="array" aca="1" ref="BS65" ca="1">INDIRECT(ADDRESS($B65,BS$49+$A65,1,1,$D65))</f>
        <v>0</v>
      </c>
      <c r="BT65" s="1" cm="1">
        <f t="array" aca="1" ref="BT65" ca="1">INDIRECT(ADDRESS($B65,BT$49+$A65,1,1,$D65))</f>
        <v>0</v>
      </c>
      <c r="BU65" s="1" cm="1">
        <f t="array" aca="1" ref="BU65" ca="1">INDIRECT(ADDRESS($B65,BU$49+$A65,1,1,$D65))</f>
        <v>0</v>
      </c>
      <c r="BV65" s="1" cm="1">
        <f t="array" aca="1" ref="BV65" ca="1">INDIRECT(ADDRESS($B65,BV$49+$A65,1,1,$D65))</f>
        <v>0</v>
      </c>
    </row>
    <row r="66" spans="1:74" x14ac:dyDescent="0.25">
      <c r="A66">
        <v>6</v>
      </c>
      <c r="B66">
        <f ca="1">MATCH($C66,INDIRECT("'"&amp;$C$87&amp;"'!A:A"),0)</f>
        <v>26</v>
      </c>
      <c r="C66" s="1" t="str">
        <f t="shared" si="3"/>
        <v>Switzerland Vaud</v>
      </c>
      <c r="D66" t="str">
        <f>D65</f>
        <v>Recovered Predicted</v>
      </c>
      <c r="E66" s="1" cm="1">
        <f t="array" aca="1" ref="E66" ca="1">INDIRECT(ADDRESS($B66,E$49+$A66,1,1,$D66))</f>
        <v>0</v>
      </c>
      <c r="F66" s="1" cm="1">
        <f t="array" aca="1" ref="F66" ca="1">INDIRECT(ADDRESS($B66,F$49+$A66,1,1,$D66))</f>
        <v>0</v>
      </c>
      <c r="G66" s="1" cm="1">
        <f t="array" aca="1" ref="G66" ca="1">INDIRECT(ADDRESS($B66,G$49+$A66,1,1,$D66))</f>
        <v>0</v>
      </c>
      <c r="H66" s="1" cm="1">
        <f t="array" aca="1" ref="H66" ca="1">INDIRECT(ADDRESS($B66,H$49+$A66,1,1,$D66))</f>
        <v>0</v>
      </c>
      <c r="I66" s="1" cm="1">
        <f t="array" aca="1" ref="I66" ca="1">INDIRECT(ADDRESS($B66,I$49+$A66,1,1,$D66))</f>
        <v>0</v>
      </c>
      <c r="J66" s="1" cm="1">
        <f t="array" aca="1" ref="J66" ca="1">INDIRECT(ADDRESS($B66,J$49+$A66,1,1,$D66))</f>
        <v>0</v>
      </c>
      <c r="K66" s="1" cm="1">
        <f t="array" aca="1" ref="K66" ca="1">INDIRECT(ADDRESS($B66,K$49+$A66,1,1,$D66))</f>
        <v>0</v>
      </c>
      <c r="L66" s="1" cm="1">
        <f t="array" aca="1" ref="L66" ca="1">INDIRECT(ADDRESS($B66,L$49+$A66,1,1,$D66))</f>
        <v>0</v>
      </c>
      <c r="M66" s="1" cm="1">
        <f t="array" aca="1" ref="M66" ca="1">INDIRECT(ADDRESS($B66,M$49+$A66,1,1,$D66))</f>
        <v>0</v>
      </c>
      <c r="N66" s="1" cm="1">
        <f t="array" aca="1" ref="N66" ca="1">INDIRECT(ADDRESS($B66,N$49+$A66,1,1,$D66))</f>
        <v>0</v>
      </c>
      <c r="O66" s="1" cm="1">
        <f t="array" aca="1" ref="O66" ca="1">INDIRECT(ADDRESS($B66,O$49+$A66,1,1,$D66))</f>
        <v>0</v>
      </c>
      <c r="P66" s="1" cm="1">
        <f t="array" aca="1" ref="P66" ca="1">INDIRECT(ADDRESS($B66,P$49+$A66,1,1,$D66))</f>
        <v>0</v>
      </c>
      <c r="Q66" s="1" cm="1">
        <f t="array" aca="1" ref="Q66" ca="1">INDIRECT(ADDRESS($B66,Q$49+$A66,1,1,$D66))</f>
        <v>0</v>
      </c>
      <c r="R66" s="1" cm="1">
        <f t="array" aca="1" ref="R66" ca="1">INDIRECT(ADDRESS($B66,R$49+$A66,1,1,$D66))</f>
        <v>0</v>
      </c>
      <c r="S66" s="1" cm="1">
        <f t="array" aca="1" ref="S66" ca="1">INDIRECT(ADDRESS($B66,S$49+$A66,1,1,$D66))</f>
        <v>0</v>
      </c>
      <c r="T66" s="1" cm="1">
        <f t="array" aca="1" ref="T66" ca="1">INDIRECT(ADDRESS($B66,T$49+$A66,1,1,$D66))</f>
        <v>0</v>
      </c>
      <c r="U66" s="1" cm="1">
        <f t="array" aca="1" ref="U66" ca="1">INDIRECT(ADDRESS($B66,U$49+$A66,1,1,$D66))</f>
        <v>0</v>
      </c>
      <c r="V66" s="1" cm="1">
        <f t="array" aca="1" ref="V66" ca="1">INDIRECT(ADDRESS($B66,V$49+$A66,1,1,$D66))</f>
        <v>0</v>
      </c>
      <c r="W66" s="1" cm="1">
        <f t="array" aca="1" ref="W66" ca="1">INDIRECT(ADDRESS($B66,W$49+$A66,1,1,$D66))</f>
        <v>0</v>
      </c>
      <c r="X66" s="1" cm="1">
        <f t="array" aca="1" ref="X66" ca="1">INDIRECT(ADDRESS($B66,X$49+$A66,1,1,$D66))</f>
        <v>0</v>
      </c>
      <c r="Y66" s="1" cm="1">
        <f t="array" aca="1" ref="Y66" ca="1">INDIRECT(ADDRESS($B66,Y$49+$A66,1,1,$D66))</f>
        <v>0</v>
      </c>
      <c r="Z66" s="1" cm="1">
        <f t="array" aca="1" ref="Z66" ca="1">INDIRECT(ADDRESS($B66,Z$49+$A66,1,1,$D66))</f>
        <v>0</v>
      </c>
      <c r="AA66" s="1" cm="1">
        <f t="array" aca="1" ref="AA66" ca="1">INDIRECT(ADDRESS($B66,AA$49+$A66,1,1,$D66))</f>
        <v>0</v>
      </c>
      <c r="AB66" s="1" cm="1">
        <f t="array" aca="1" ref="AB66" ca="1">INDIRECT(ADDRESS($B66,AB$49+$A66,1,1,$D66))</f>
        <v>0</v>
      </c>
      <c r="AC66" s="1" cm="1">
        <f t="array" aca="1" ref="AC66" ca="1">INDIRECT(ADDRESS($B66,AC$49+$A66,1,1,$D66))</f>
        <v>0</v>
      </c>
      <c r="AD66" s="1" cm="1">
        <f t="array" aca="1" ref="AD66" ca="1">INDIRECT(ADDRESS($B66,AD$49+$A66,1,1,$D66))</f>
        <v>0</v>
      </c>
      <c r="AE66" s="1" cm="1">
        <f t="array" aca="1" ref="AE66" ca="1">INDIRECT(ADDRESS($B66,AE$49+$A66,1,1,$D66))</f>
        <v>0</v>
      </c>
      <c r="AF66" s="1" cm="1">
        <f t="array" aca="1" ref="AF66" ca="1">INDIRECT(ADDRESS($B66,AF$49+$A66,1,1,$D66))</f>
        <v>0</v>
      </c>
      <c r="AG66" s="1" cm="1">
        <f t="array" aca="1" ref="AG66" ca="1">INDIRECT(ADDRESS($B66,AG$49+$A66,1,1,$D66))</f>
        <v>0</v>
      </c>
      <c r="AH66" s="1" cm="1">
        <f t="array" aca="1" ref="AH66" ca="1">INDIRECT(ADDRESS($B66,AH$49+$A66,1,1,$D66))</f>
        <v>0</v>
      </c>
      <c r="AI66" s="1" cm="1">
        <f t="array" aca="1" ref="AI66" ca="1">INDIRECT(ADDRESS($B66,AI$49+$A66,1,1,$D66))</f>
        <v>0</v>
      </c>
      <c r="AJ66" s="1" cm="1">
        <f t="array" aca="1" ref="AJ66" ca="1">INDIRECT(ADDRESS($B66,AJ$49+$A66,1,1,$D66))</f>
        <v>0</v>
      </c>
      <c r="AK66" s="1" cm="1">
        <f t="array" aca="1" ref="AK66" ca="1">INDIRECT(ADDRESS($B66,AK$49+$A66,1,1,$D66))</f>
        <v>0</v>
      </c>
      <c r="AL66" s="1" cm="1">
        <f t="array" aca="1" ref="AL66" ca="1">INDIRECT(ADDRESS($B66,AL$49+$A66,1,1,$D66))</f>
        <v>0</v>
      </c>
      <c r="AM66" s="1" cm="1">
        <f t="array" aca="1" ref="AM66" ca="1">INDIRECT(ADDRESS($B66,AM$49+$A66,1,1,$D66))</f>
        <v>0</v>
      </c>
      <c r="AN66" s="1" cm="1">
        <f t="array" aca="1" ref="AN66" ca="1">INDIRECT(ADDRESS($B66,AN$49+$A66,1,1,$D66))</f>
        <v>0</v>
      </c>
      <c r="AO66" s="1" cm="1">
        <f t="array" aca="1" ref="AO66" ca="1">INDIRECT(ADDRESS($B66,AO$49+$A66,1,1,$D66))</f>
        <v>0</v>
      </c>
      <c r="AP66" s="1" cm="1">
        <f t="array" aca="1" ref="AP66" ca="1">INDIRECT(ADDRESS($B66,AP$49+$A66,1,1,$D66))</f>
        <v>0</v>
      </c>
      <c r="AQ66" s="1" cm="1">
        <f t="array" aca="1" ref="AQ66" ca="1">INDIRECT(ADDRESS($B66,AQ$49+$A66,1,1,$D66))</f>
        <v>0</v>
      </c>
      <c r="AR66" s="1" cm="1">
        <f t="array" aca="1" ref="AR66" ca="1">INDIRECT(ADDRESS($B66,AR$49+$A66,1,1,$D66))</f>
        <v>0</v>
      </c>
      <c r="AS66" s="1" cm="1">
        <f t="array" aca="1" ref="AS66" ca="1">INDIRECT(ADDRESS($B66,AS$49+$A66,1,1,$D66))</f>
        <v>0</v>
      </c>
      <c r="AT66" s="1" cm="1">
        <f t="array" aca="1" ref="AT66" ca="1">INDIRECT(ADDRESS($B66,AT$49+$A66,1,1,$D66))</f>
        <v>0</v>
      </c>
      <c r="AU66" s="1" cm="1">
        <f t="array" aca="1" ref="AU66" ca="1">INDIRECT(ADDRESS($B66,AU$49+$A66,1,1,$D66))</f>
        <v>0</v>
      </c>
      <c r="AV66" s="1" cm="1">
        <f t="array" aca="1" ref="AV66" ca="1">INDIRECT(ADDRESS($B66,AV$49+$A66,1,1,$D66))</f>
        <v>0</v>
      </c>
      <c r="AW66" s="1" cm="1">
        <f t="array" aca="1" ref="AW66" ca="1">INDIRECT(ADDRESS($B66,AW$49+$A66,1,1,$D66))</f>
        <v>0</v>
      </c>
      <c r="AX66" s="1" cm="1">
        <f t="array" aca="1" ref="AX66" ca="1">INDIRECT(ADDRESS($B66,AX$49+$A66,1,1,$D66))</f>
        <v>0</v>
      </c>
      <c r="AY66" s="1" cm="1">
        <f t="array" aca="1" ref="AY66" ca="1">INDIRECT(ADDRESS($B66,AY$49+$A66,1,1,$D66))</f>
        <v>0</v>
      </c>
      <c r="AZ66" s="1" cm="1">
        <f t="array" aca="1" ref="AZ66" ca="1">INDIRECT(ADDRESS($B66,AZ$49+$A66,1,1,$D66))</f>
        <v>0</v>
      </c>
      <c r="BA66" s="1" cm="1">
        <f t="array" aca="1" ref="BA66" ca="1">INDIRECT(ADDRESS($B66,BA$49+$A66,1,1,$D66))</f>
        <v>0</v>
      </c>
      <c r="BB66" s="1" cm="1">
        <f t="array" aca="1" ref="BB66" ca="1">INDIRECT(ADDRESS($B66,BB$49+$A66,1,1,$D66))</f>
        <v>0</v>
      </c>
      <c r="BC66" s="1" cm="1">
        <f t="array" aca="1" ref="BC66" ca="1">INDIRECT(ADDRESS($B66,BC$49+$A66,1,1,$D66))</f>
        <v>0</v>
      </c>
      <c r="BD66" s="1" cm="1">
        <f t="array" aca="1" ref="BD66" ca="1">INDIRECT(ADDRESS($B66,BD$49+$A66,1,1,$D66))</f>
        <v>0</v>
      </c>
      <c r="BE66" s="1" cm="1">
        <f t="array" aca="1" ref="BE66" ca="1">INDIRECT(ADDRESS($B66,BE$49+$A66,1,1,$D66))</f>
        <v>0</v>
      </c>
      <c r="BF66" s="1" cm="1">
        <f t="array" aca="1" ref="BF66" ca="1">INDIRECT(ADDRESS($B66,BF$49+$A66,1,1,$D66))</f>
        <v>0</v>
      </c>
      <c r="BG66" s="1" cm="1">
        <f t="array" aca="1" ref="BG66" ca="1">INDIRECT(ADDRESS($B66,BG$49+$A66,1,1,$D66))</f>
        <v>0</v>
      </c>
      <c r="BH66" s="1" cm="1">
        <f t="array" aca="1" ref="BH66" ca="1">INDIRECT(ADDRESS($B66,BH$49+$A66,1,1,$D66))</f>
        <v>0</v>
      </c>
      <c r="BI66" s="1" cm="1">
        <f t="array" aca="1" ref="BI66" ca="1">INDIRECT(ADDRESS($B66,BI$49+$A66,1,1,$D66))</f>
        <v>0</v>
      </c>
      <c r="BJ66" s="1" cm="1">
        <f t="array" aca="1" ref="BJ66" ca="1">INDIRECT(ADDRESS($B66,BJ$49+$A66,1,1,$D66))</f>
        <v>0</v>
      </c>
      <c r="BK66" s="1" cm="1">
        <f t="array" aca="1" ref="BK66" ca="1">INDIRECT(ADDRESS($B66,BK$49+$A66,1,1,$D66))</f>
        <v>11</v>
      </c>
      <c r="BL66" s="1" cm="1">
        <f t="array" aca="1" ref="BL66" ca="1">INDIRECT(ADDRESS($B66,BL$49+$A66,1,1,$D66))</f>
        <v>15</v>
      </c>
      <c r="BM66" s="1" cm="1">
        <f t="array" aca="1" ref="BM66" ca="1">INDIRECT(ADDRESS($B66,BM$49+$A66,1,1,$D66))</f>
        <v>24</v>
      </c>
      <c r="BN66" s="1" cm="1">
        <f t="array" aca="1" ref="BN66" ca="1">INDIRECT(ADDRESS($B66,BN$49+$A66,1,1,$D66))</f>
        <v>34</v>
      </c>
      <c r="BO66" s="1" cm="1">
        <f t="array" aca="1" ref="BO66" ca="1">INDIRECT(ADDRESS($B66,BO$49+$A66,1,1,$D66))</f>
        <v>0</v>
      </c>
      <c r="BP66" s="1" cm="1">
        <f t="array" aca="1" ref="BP66" ca="1">INDIRECT(ADDRESS($B66,BP$49+$A66,1,1,$D66))</f>
        <v>0</v>
      </c>
      <c r="BQ66" s="1" cm="1">
        <f t="array" aca="1" ref="BQ66" ca="1">INDIRECT(ADDRESS($B66,BQ$49+$A66,1,1,$D66))</f>
        <v>0</v>
      </c>
      <c r="BR66" s="1" cm="1">
        <f t="array" aca="1" ref="BR66" ca="1">INDIRECT(ADDRESS($B66,BR$49+$A66,1,1,$D66))</f>
        <v>0</v>
      </c>
      <c r="BS66" s="1" cm="1">
        <f t="array" aca="1" ref="BS66" ca="1">INDIRECT(ADDRESS($B66,BS$49+$A66,1,1,$D66))</f>
        <v>0</v>
      </c>
      <c r="BT66" s="1" cm="1">
        <f t="array" aca="1" ref="BT66" ca="1">INDIRECT(ADDRESS($B66,BT$49+$A66,1,1,$D66))</f>
        <v>0</v>
      </c>
      <c r="BU66" s="1" cm="1">
        <f t="array" aca="1" ref="BU66" ca="1">INDIRECT(ADDRESS($B66,BU$49+$A66,1,1,$D66))</f>
        <v>0</v>
      </c>
      <c r="BV66" s="1" cm="1">
        <f t="array" aca="1" ref="BV66" ca="1">INDIRECT(ADDRESS($B66,BV$49+$A66,1,1,$D66))</f>
        <v>0</v>
      </c>
    </row>
    <row r="67" spans="1:74" x14ac:dyDescent="0.25">
      <c r="A67">
        <v>6</v>
      </c>
      <c r="B67">
        <f ca="1">MATCH($C67,INDIRECT("'"&amp;$C$87&amp;"'!A:A"),0)</f>
        <v>8</v>
      </c>
      <c r="C67" s="1" t="str">
        <f t="shared" si="3"/>
        <v>Switzerland Berne</v>
      </c>
      <c r="D67" t="str">
        <f>D66</f>
        <v>Recovered Predicted</v>
      </c>
      <c r="E67" s="1" cm="1">
        <f t="array" aca="1" ref="E67" ca="1">INDIRECT(ADDRESS($B67,E$49+$A67,1,1,$D67))</f>
        <v>0</v>
      </c>
      <c r="F67" s="1" cm="1">
        <f t="array" aca="1" ref="F67" ca="1">INDIRECT(ADDRESS($B67,F$49+$A67,1,1,$D67))</f>
        <v>0</v>
      </c>
      <c r="G67" s="1" cm="1">
        <f t="array" aca="1" ref="G67" ca="1">INDIRECT(ADDRESS($B67,G$49+$A67,1,1,$D67))</f>
        <v>0</v>
      </c>
      <c r="H67" s="1" cm="1">
        <f t="array" aca="1" ref="H67" ca="1">INDIRECT(ADDRESS($B67,H$49+$A67,1,1,$D67))</f>
        <v>0</v>
      </c>
      <c r="I67" s="1" cm="1">
        <f t="array" aca="1" ref="I67" ca="1">INDIRECT(ADDRESS($B67,I$49+$A67,1,1,$D67))</f>
        <v>0</v>
      </c>
      <c r="J67" s="1" cm="1">
        <f t="array" aca="1" ref="J67" ca="1">INDIRECT(ADDRESS($B67,J$49+$A67,1,1,$D67))</f>
        <v>0</v>
      </c>
      <c r="K67" s="1" cm="1">
        <f t="array" aca="1" ref="K67" ca="1">INDIRECT(ADDRESS($B67,K$49+$A67,1,1,$D67))</f>
        <v>0</v>
      </c>
      <c r="L67" s="1" cm="1">
        <f t="array" aca="1" ref="L67" ca="1">INDIRECT(ADDRESS($B67,L$49+$A67,1,1,$D67))</f>
        <v>0</v>
      </c>
      <c r="M67" s="1" cm="1">
        <f t="array" aca="1" ref="M67" ca="1">INDIRECT(ADDRESS($B67,M$49+$A67,1,1,$D67))</f>
        <v>0</v>
      </c>
      <c r="N67" s="1" cm="1">
        <f t="array" aca="1" ref="N67" ca="1">INDIRECT(ADDRESS($B67,N$49+$A67,1,1,$D67))</f>
        <v>0</v>
      </c>
      <c r="O67" s="1" cm="1">
        <f t="array" aca="1" ref="O67" ca="1">INDIRECT(ADDRESS($B67,O$49+$A67,1,1,$D67))</f>
        <v>0</v>
      </c>
      <c r="P67" s="1" cm="1">
        <f t="array" aca="1" ref="P67" ca="1">INDIRECT(ADDRESS($B67,P$49+$A67,1,1,$D67))</f>
        <v>0</v>
      </c>
      <c r="Q67" s="1" cm="1">
        <f t="array" aca="1" ref="Q67" ca="1">INDIRECT(ADDRESS($B67,Q$49+$A67,1,1,$D67))</f>
        <v>0</v>
      </c>
      <c r="R67" s="1" cm="1">
        <f t="array" aca="1" ref="R67" ca="1">INDIRECT(ADDRESS($B67,R$49+$A67,1,1,$D67))</f>
        <v>0</v>
      </c>
      <c r="S67" s="1" cm="1">
        <f t="array" aca="1" ref="S67" ca="1">INDIRECT(ADDRESS($B67,S$49+$A67,1,1,$D67))</f>
        <v>0</v>
      </c>
      <c r="T67" s="1" cm="1">
        <f t="array" aca="1" ref="T67" ca="1">INDIRECT(ADDRESS($B67,T$49+$A67,1,1,$D67))</f>
        <v>0</v>
      </c>
      <c r="U67" s="1" cm="1">
        <f t="array" aca="1" ref="U67" ca="1">INDIRECT(ADDRESS($B67,U$49+$A67,1,1,$D67))</f>
        <v>0</v>
      </c>
      <c r="V67" s="1" cm="1">
        <f t="array" aca="1" ref="V67" ca="1">INDIRECT(ADDRESS($B67,V$49+$A67,1,1,$D67))</f>
        <v>0</v>
      </c>
      <c r="W67" s="1" cm="1">
        <f t="array" aca="1" ref="W67" ca="1">INDIRECT(ADDRESS($B67,W$49+$A67,1,1,$D67))</f>
        <v>0</v>
      </c>
      <c r="X67" s="1" cm="1">
        <f t="array" aca="1" ref="X67" ca="1">INDIRECT(ADDRESS($B67,X$49+$A67,1,1,$D67))</f>
        <v>0</v>
      </c>
      <c r="Y67" s="1" cm="1">
        <f t="array" aca="1" ref="Y67" ca="1">INDIRECT(ADDRESS($B67,Y$49+$A67,1,1,$D67))</f>
        <v>0</v>
      </c>
      <c r="Z67" s="1" cm="1">
        <f t="array" aca="1" ref="Z67" ca="1">INDIRECT(ADDRESS($B67,Z$49+$A67,1,1,$D67))</f>
        <v>0</v>
      </c>
      <c r="AA67" s="1" cm="1">
        <f t="array" aca="1" ref="AA67" ca="1">INDIRECT(ADDRESS($B67,AA$49+$A67,1,1,$D67))</f>
        <v>0</v>
      </c>
      <c r="AB67" s="1" cm="1">
        <f t="array" aca="1" ref="AB67" ca="1">INDIRECT(ADDRESS($B67,AB$49+$A67,1,1,$D67))</f>
        <v>0</v>
      </c>
      <c r="AC67" s="1" cm="1">
        <f t="array" aca="1" ref="AC67" ca="1">INDIRECT(ADDRESS($B67,AC$49+$A67,1,1,$D67))</f>
        <v>0</v>
      </c>
      <c r="AD67" s="1" cm="1">
        <f t="array" aca="1" ref="AD67" ca="1">INDIRECT(ADDRESS($B67,AD$49+$A67,1,1,$D67))</f>
        <v>0</v>
      </c>
      <c r="AE67" s="1" cm="1">
        <f t="array" aca="1" ref="AE67" ca="1">INDIRECT(ADDRESS($B67,AE$49+$A67,1,1,$D67))</f>
        <v>0</v>
      </c>
      <c r="AF67" s="1" cm="1">
        <f t="array" aca="1" ref="AF67" ca="1">INDIRECT(ADDRESS($B67,AF$49+$A67,1,1,$D67))</f>
        <v>0</v>
      </c>
      <c r="AG67" s="1" cm="1">
        <f t="array" aca="1" ref="AG67" ca="1">INDIRECT(ADDRESS($B67,AG$49+$A67,1,1,$D67))</f>
        <v>0</v>
      </c>
      <c r="AH67" s="1" cm="1">
        <f t="array" aca="1" ref="AH67" ca="1">INDIRECT(ADDRESS($B67,AH$49+$A67,1,1,$D67))</f>
        <v>0</v>
      </c>
      <c r="AI67" s="1" cm="1">
        <f t="array" aca="1" ref="AI67" ca="1">INDIRECT(ADDRESS($B67,AI$49+$A67,1,1,$D67))</f>
        <v>0</v>
      </c>
      <c r="AJ67" s="1" cm="1">
        <f t="array" aca="1" ref="AJ67" ca="1">INDIRECT(ADDRESS($B67,AJ$49+$A67,1,1,$D67))</f>
        <v>0</v>
      </c>
      <c r="AK67" s="1" cm="1">
        <f t="array" aca="1" ref="AK67" ca="1">INDIRECT(ADDRESS($B67,AK$49+$A67,1,1,$D67))</f>
        <v>0</v>
      </c>
      <c r="AL67" s="1" cm="1">
        <f t="array" aca="1" ref="AL67" ca="1">INDIRECT(ADDRESS($B67,AL$49+$A67,1,1,$D67))</f>
        <v>0</v>
      </c>
      <c r="AM67" s="1" cm="1">
        <f t="array" aca="1" ref="AM67" ca="1">INDIRECT(ADDRESS($B67,AM$49+$A67,1,1,$D67))</f>
        <v>0</v>
      </c>
      <c r="AN67" s="1" cm="1">
        <f t="array" aca="1" ref="AN67" ca="1">INDIRECT(ADDRESS($B67,AN$49+$A67,1,1,$D67))</f>
        <v>0</v>
      </c>
      <c r="AO67" s="1" cm="1">
        <f t="array" aca="1" ref="AO67" ca="1">INDIRECT(ADDRESS($B67,AO$49+$A67,1,1,$D67))</f>
        <v>0</v>
      </c>
      <c r="AP67" s="1" cm="1">
        <f t="array" aca="1" ref="AP67" ca="1">INDIRECT(ADDRESS($B67,AP$49+$A67,1,1,$D67))</f>
        <v>0</v>
      </c>
      <c r="AQ67" s="1" cm="1">
        <f t="array" aca="1" ref="AQ67" ca="1">INDIRECT(ADDRESS($B67,AQ$49+$A67,1,1,$D67))</f>
        <v>0</v>
      </c>
      <c r="AR67" s="1" cm="1">
        <f t="array" aca="1" ref="AR67" ca="1">INDIRECT(ADDRESS($B67,AR$49+$A67,1,1,$D67))</f>
        <v>0</v>
      </c>
      <c r="AS67" s="1" cm="1">
        <f t="array" aca="1" ref="AS67" ca="1">INDIRECT(ADDRESS($B67,AS$49+$A67,1,1,$D67))</f>
        <v>0</v>
      </c>
      <c r="AT67" s="1" cm="1">
        <f t="array" aca="1" ref="AT67" ca="1">INDIRECT(ADDRESS($B67,AT$49+$A67,1,1,$D67))</f>
        <v>0</v>
      </c>
      <c r="AU67" s="1" cm="1">
        <f t="array" aca="1" ref="AU67" ca="1">INDIRECT(ADDRESS($B67,AU$49+$A67,1,1,$D67))</f>
        <v>0</v>
      </c>
      <c r="AV67" s="1" cm="1">
        <f t="array" aca="1" ref="AV67" ca="1">INDIRECT(ADDRESS($B67,AV$49+$A67,1,1,$D67))</f>
        <v>0</v>
      </c>
      <c r="AW67" s="1" cm="1">
        <f t="array" aca="1" ref="AW67" ca="1">INDIRECT(ADDRESS($B67,AW$49+$A67,1,1,$D67))</f>
        <v>0</v>
      </c>
      <c r="AX67" s="1" cm="1">
        <f t="array" aca="1" ref="AX67" ca="1">INDIRECT(ADDRESS($B67,AX$49+$A67,1,1,$D67))</f>
        <v>0</v>
      </c>
      <c r="AY67" s="1" cm="1">
        <f t="array" aca="1" ref="AY67" ca="1">INDIRECT(ADDRESS($B67,AY$49+$A67,1,1,$D67))</f>
        <v>0</v>
      </c>
      <c r="AZ67" s="1" cm="1">
        <f t="array" aca="1" ref="AZ67" ca="1">INDIRECT(ADDRESS($B67,AZ$49+$A67,1,1,$D67))</f>
        <v>0</v>
      </c>
      <c r="BA67" s="1" cm="1">
        <f t="array" aca="1" ref="BA67" ca="1">INDIRECT(ADDRESS($B67,BA$49+$A67,1,1,$D67))</f>
        <v>0</v>
      </c>
      <c r="BB67" s="1" cm="1">
        <f t="array" aca="1" ref="BB67" ca="1">INDIRECT(ADDRESS($B67,BB$49+$A67,1,1,$D67))</f>
        <v>0</v>
      </c>
      <c r="BC67" s="1" cm="1">
        <f t="array" aca="1" ref="BC67" ca="1">INDIRECT(ADDRESS($B67,BC$49+$A67,1,1,$D67))</f>
        <v>0</v>
      </c>
      <c r="BD67" s="1" cm="1">
        <f t="array" aca="1" ref="BD67" ca="1">INDIRECT(ADDRESS($B67,BD$49+$A67,1,1,$D67))</f>
        <v>0</v>
      </c>
      <c r="BE67" s="1" cm="1">
        <f t="array" aca="1" ref="BE67" ca="1">INDIRECT(ADDRESS($B67,BE$49+$A67,1,1,$D67))</f>
        <v>0</v>
      </c>
      <c r="BF67" s="1" cm="1">
        <f t="array" aca="1" ref="BF67" ca="1">INDIRECT(ADDRESS($B67,BF$49+$A67,1,1,$D67))</f>
        <v>0</v>
      </c>
      <c r="BG67" s="1" cm="1">
        <f t="array" aca="1" ref="BG67" ca="1">INDIRECT(ADDRESS($B67,BG$49+$A67,1,1,$D67))</f>
        <v>0</v>
      </c>
      <c r="BH67" s="1" cm="1">
        <f t="array" aca="1" ref="BH67" ca="1">INDIRECT(ADDRESS($B67,BH$49+$A67,1,1,$D67))</f>
        <v>0</v>
      </c>
      <c r="BI67" s="1" cm="1">
        <f t="array" aca="1" ref="BI67" ca="1">INDIRECT(ADDRESS($B67,BI$49+$A67,1,1,$D67))</f>
        <v>0</v>
      </c>
      <c r="BJ67" s="1" cm="1">
        <f t="array" aca="1" ref="BJ67" ca="1">INDIRECT(ADDRESS($B67,BJ$49+$A67,1,1,$D67))</f>
        <v>0</v>
      </c>
      <c r="BK67" s="1" cm="1">
        <f t="array" aca="1" ref="BK67" ca="1">INDIRECT(ADDRESS($B67,BK$49+$A67,1,1,$D67))</f>
        <v>0</v>
      </c>
      <c r="BL67" s="1" cm="1">
        <f t="array" aca="1" ref="BL67" ca="1">INDIRECT(ADDRESS($B67,BL$49+$A67,1,1,$D67))</f>
        <v>0</v>
      </c>
      <c r="BM67" s="1" cm="1">
        <f t="array" aca="1" ref="BM67" ca="1">INDIRECT(ADDRESS($B67,BM$49+$A67,1,1,$D67))</f>
        <v>0</v>
      </c>
      <c r="BN67" s="1" cm="1">
        <f t="array" aca="1" ref="BN67" ca="1">INDIRECT(ADDRESS($B67,BN$49+$A67,1,1,$D67))</f>
        <v>0</v>
      </c>
      <c r="BO67" s="1" cm="1">
        <f t="array" aca="1" ref="BO67" ca="1">INDIRECT(ADDRESS($B67,BO$49+$A67,1,1,$D67))</f>
        <v>0</v>
      </c>
      <c r="BP67" s="1" cm="1">
        <f t="array" aca="1" ref="BP67" ca="1">INDIRECT(ADDRESS($B67,BP$49+$A67,1,1,$D67))</f>
        <v>0</v>
      </c>
      <c r="BQ67" s="1" cm="1">
        <f t="array" aca="1" ref="BQ67" ca="1">INDIRECT(ADDRESS($B67,BQ$49+$A67,1,1,$D67))</f>
        <v>0</v>
      </c>
      <c r="BR67" s="1" cm="1">
        <f t="array" aca="1" ref="BR67" ca="1">INDIRECT(ADDRESS($B67,BR$49+$A67,1,1,$D67))</f>
        <v>0</v>
      </c>
      <c r="BS67" s="1" cm="1">
        <f t="array" aca="1" ref="BS67" ca="1">INDIRECT(ADDRESS($B67,BS$49+$A67,1,1,$D67))</f>
        <v>0</v>
      </c>
      <c r="BT67" s="1" cm="1">
        <f t="array" aca="1" ref="BT67" ca="1">INDIRECT(ADDRESS($B67,BT$49+$A67,1,1,$D67))</f>
        <v>0</v>
      </c>
      <c r="BU67" s="1" cm="1">
        <f t="array" aca="1" ref="BU67" ca="1">INDIRECT(ADDRESS($B67,BU$49+$A67,1,1,$D67))</f>
        <v>0</v>
      </c>
      <c r="BV67" s="1" cm="1">
        <f t="array" aca="1" ref="BV67" ca="1">INDIRECT(ADDRESS($B67,BV$49+$A67,1,1,$D67))</f>
        <v>0</v>
      </c>
    </row>
    <row r="68" spans="1:7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>
        <v>8</v>
      </c>
      <c r="B69">
        <f ca="1">MATCH("Country/Region",INDIRECT("'Confirmed'!A:A"),0)</f>
        <v>1</v>
      </c>
      <c r="C69" s="4" t="s">
        <v>139</v>
      </c>
      <c r="D69" s="4"/>
      <c r="E69" s="5" t="str" cm="1">
        <f t="array" aca="1" ref="E69" ca="1">INDIRECT(ADDRESS($B69,E$49+$A69,1,1,$C69))</f>
        <v>2020-01-22</v>
      </c>
      <c r="F69" s="5" t="str" cm="1">
        <f t="array" aca="1" ref="F69" ca="1">INDIRECT(ADDRESS($B69,F$49+$A69,1,1,$C69))</f>
        <v>2020-01-23</v>
      </c>
      <c r="G69" s="5" t="str" cm="1">
        <f t="array" aca="1" ref="G69" ca="1">INDIRECT(ADDRESS($B69,G$49+$A69,1,1,$C69))</f>
        <v>2020-01-24</v>
      </c>
      <c r="H69" s="5" t="str" cm="1">
        <f t="array" aca="1" ref="H69" ca="1">INDIRECT(ADDRESS($B69,H$49+$A69,1,1,$C69))</f>
        <v>2020-01-25</v>
      </c>
      <c r="I69" s="5" t="str" cm="1">
        <f t="array" aca="1" ref="I69" ca="1">INDIRECT(ADDRESS($B69,I$49+$A69,1,1,$C69))</f>
        <v>2020-01-26</v>
      </c>
      <c r="J69" s="5" t="str" cm="1">
        <f t="array" aca="1" ref="J69" ca="1">INDIRECT(ADDRESS($B69,J$49+$A69,1,1,$C69))</f>
        <v>2020-01-27</v>
      </c>
      <c r="K69" s="5" t="str" cm="1">
        <f t="array" aca="1" ref="K69" ca="1">INDIRECT(ADDRESS($B69,K$49+$A69,1,1,$C69))</f>
        <v>2020-01-28</v>
      </c>
      <c r="L69" s="5" t="str" cm="1">
        <f t="array" aca="1" ref="L69" ca="1">INDIRECT(ADDRESS($B69,L$49+$A69,1,1,$C69))</f>
        <v>2020-01-29</v>
      </c>
      <c r="M69" s="5" t="str" cm="1">
        <f t="array" aca="1" ref="M69" ca="1">INDIRECT(ADDRESS($B69,M$49+$A69,1,1,$C69))</f>
        <v>2020-01-30</v>
      </c>
      <c r="N69" s="5" t="str" cm="1">
        <f t="array" aca="1" ref="N69" ca="1">INDIRECT(ADDRESS($B69,N$49+$A69,1,1,$C69))</f>
        <v>2020-01-31</v>
      </c>
      <c r="O69" s="5" t="str" cm="1">
        <f t="array" aca="1" ref="O69" ca="1">INDIRECT(ADDRESS($B69,O$49+$A69,1,1,$C69))</f>
        <v>2020-02-01</v>
      </c>
      <c r="P69" s="5" t="str" cm="1">
        <f t="array" aca="1" ref="P69" ca="1">INDIRECT(ADDRESS($B69,P$49+$A69,1,1,$C69))</f>
        <v>2020-02-02</v>
      </c>
      <c r="Q69" s="5" t="str" cm="1">
        <f t="array" aca="1" ref="Q69" ca="1">INDIRECT(ADDRESS($B69,Q$49+$A69,1,1,$C69))</f>
        <v>2020-02-03</v>
      </c>
      <c r="R69" s="5" t="str" cm="1">
        <f t="array" aca="1" ref="R69" ca="1">INDIRECT(ADDRESS($B69,R$49+$A69,1,1,$C69))</f>
        <v>2020-02-04</v>
      </c>
      <c r="S69" s="5" t="str" cm="1">
        <f t="array" aca="1" ref="S69" ca="1">INDIRECT(ADDRESS($B69,S$49+$A69,1,1,$C69))</f>
        <v>2020-02-05</v>
      </c>
      <c r="T69" s="5" t="str" cm="1">
        <f t="array" aca="1" ref="T69" ca="1">INDIRECT(ADDRESS($B69,T$49+$A69,1,1,$C69))</f>
        <v>2020-02-06</v>
      </c>
      <c r="U69" s="5" t="str" cm="1">
        <f t="array" aca="1" ref="U69" ca="1">INDIRECT(ADDRESS($B69,U$49+$A69,1,1,$C69))</f>
        <v>2020-02-07</v>
      </c>
      <c r="V69" s="5" t="str" cm="1">
        <f t="array" aca="1" ref="V69" ca="1">INDIRECT(ADDRESS($B69,V$49+$A69,1,1,$C69))</f>
        <v>2020-02-08</v>
      </c>
      <c r="W69" s="5" t="str" cm="1">
        <f t="array" aca="1" ref="W69" ca="1">INDIRECT(ADDRESS($B69,W$49+$A69,1,1,$C69))</f>
        <v>2020-02-09</v>
      </c>
      <c r="X69" s="5" t="str" cm="1">
        <f t="array" aca="1" ref="X69" ca="1">INDIRECT(ADDRESS($B69,X$49+$A69,1,1,$C69))</f>
        <v>2020-02-10</v>
      </c>
      <c r="Y69" s="5" t="str" cm="1">
        <f t="array" aca="1" ref="Y69" ca="1">INDIRECT(ADDRESS($B69,Y$49+$A69,1,1,$C69))</f>
        <v>2020-02-11</v>
      </c>
      <c r="Z69" s="5" t="str" cm="1">
        <f t="array" aca="1" ref="Z69" ca="1">INDIRECT(ADDRESS($B69,Z$49+$A69,1,1,$C69))</f>
        <v>2020-02-12</v>
      </c>
      <c r="AA69" s="5" t="str" cm="1">
        <f t="array" aca="1" ref="AA69" ca="1">INDIRECT(ADDRESS($B69,AA$49+$A69,1,1,$C69))</f>
        <v>2020-02-13</v>
      </c>
      <c r="AB69" s="5" t="str" cm="1">
        <f t="array" aca="1" ref="AB69" ca="1">INDIRECT(ADDRESS($B69,AB$49+$A69,1,1,$C69))</f>
        <v>2020-02-14</v>
      </c>
      <c r="AC69" s="5" t="str" cm="1">
        <f t="array" aca="1" ref="AC69" ca="1">INDIRECT(ADDRESS($B69,AC$49+$A69,1,1,$C69))</f>
        <v>2020-02-15</v>
      </c>
      <c r="AD69" s="5" t="str" cm="1">
        <f t="array" aca="1" ref="AD69" ca="1">INDIRECT(ADDRESS($B69,AD$49+$A69,1,1,$C69))</f>
        <v>2020-02-16</v>
      </c>
      <c r="AE69" s="5" t="str" cm="1">
        <f t="array" aca="1" ref="AE69" ca="1">INDIRECT(ADDRESS($B69,AE$49+$A69,1,1,$C69))</f>
        <v>2020-02-17</v>
      </c>
      <c r="AF69" s="5" t="str" cm="1">
        <f t="array" aca="1" ref="AF69" ca="1">INDIRECT(ADDRESS($B69,AF$49+$A69,1,1,$C69))</f>
        <v>2020-02-18</v>
      </c>
      <c r="AG69" s="5" t="str" cm="1">
        <f t="array" aca="1" ref="AG69" ca="1">INDIRECT(ADDRESS($B69,AG$49+$A69,1,1,$C69))</f>
        <v>2020-02-19</v>
      </c>
      <c r="AH69" s="5" t="str" cm="1">
        <f t="array" aca="1" ref="AH69" ca="1">INDIRECT(ADDRESS($B69,AH$49+$A69,1,1,$C69))</f>
        <v>2020-02-20</v>
      </c>
      <c r="AI69" s="5" t="str" cm="1">
        <f t="array" aca="1" ref="AI69" ca="1">INDIRECT(ADDRESS($B69,AI$49+$A69,1,1,$C69))</f>
        <v>2020-02-21</v>
      </c>
      <c r="AJ69" s="5" t="str" cm="1">
        <f t="array" aca="1" ref="AJ69" ca="1">INDIRECT(ADDRESS($B69,AJ$49+$A69,1,1,$C69))</f>
        <v>2020-02-22</v>
      </c>
      <c r="AK69" s="5" t="str" cm="1">
        <f t="array" aca="1" ref="AK69" ca="1">INDIRECT(ADDRESS($B69,AK$49+$A69,1,1,$C69))</f>
        <v>2020-02-23</v>
      </c>
      <c r="AL69" s="5" t="str" cm="1">
        <f t="array" aca="1" ref="AL69" ca="1">INDIRECT(ADDRESS($B69,AL$49+$A69,1,1,$C69))</f>
        <v>2020-02-24</v>
      </c>
      <c r="AM69" s="5" t="str" cm="1">
        <f t="array" aca="1" ref="AM69" ca="1">INDIRECT(ADDRESS($B69,AM$49+$A69,1,1,$C69))</f>
        <v>2020-02-25</v>
      </c>
      <c r="AN69" s="5" t="str" cm="1">
        <f t="array" aca="1" ref="AN69" ca="1">INDIRECT(ADDRESS($B69,AN$49+$A69,1,1,$C69))</f>
        <v>2020-02-26</v>
      </c>
      <c r="AO69" s="5" t="str" cm="1">
        <f t="array" aca="1" ref="AO69" ca="1">INDIRECT(ADDRESS($B69,AO$49+$A69,1,1,$C69))</f>
        <v>2020-02-27</v>
      </c>
      <c r="AP69" s="5" t="str" cm="1">
        <f t="array" aca="1" ref="AP69" ca="1">INDIRECT(ADDRESS($B69,AP$49+$A69,1,1,$C69))</f>
        <v>2020-02-28</v>
      </c>
      <c r="AQ69" s="5" t="str" cm="1">
        <f t="array" aca="1" ref="AQ69" ca="1">INDIRECT(ADDRESS($B69,AQ$49+$A69,1,1,$C69))</f>
        <v>2020-02-29</v>
      </c>
      <c r="AR69" s="5" t="str" cm="1">
        <f t="array" aca="1" ref="AR69" ca="1">INDIRECT(ADDRESS($B69,AR$49+$A69,1,1,$C69))</f>
        <v>2020-03-01</v>
      </c>
      <c r="AS69" s="5" t="str" cm="1">
        <f t="array" aca="1" ref="AS69" ca="1">INDIRECT(ADDRESS($B69,AS$49+$A69,1,1,$C69))</f>
        <v>2020-03-02</v>
      </c>
      <c r="AT69" s="5" t="str" cm="1">
        <f t="array" aca="1" ref="AT69" ca="1">INDIRECT(ADDRESS($B69,AT$49+$A69,1,1,$C69))</f>
        <v>2020-03-03</v>
      </c>
      <c r="AU69" s="5" t="str" cm="1">
        <f t="array" aca="1" ref="AU69" ca="1">INDIRECT(ADDRESS($B69,AU$49+$A69,1,1,$C69))</f>
        <v>2020-03-04</v>
      </c>
      <c r="AV69" s="5" t="str" cm="1">
        <f t="array" aca="1" ref="AV69" ca="1">INDIRECT(ADDRESS($B69,AV$49+$A69,1,1,$C69))</f>
        <v>2020-03-05</v>
      </c>
      <c r="AW69" s="5" t="str" cm="1">
        <f t="array" aca="1" ref="AW69" ca="1">INDIRECT(ADDRESS($B69,AW$49+$A69,1,1,$C69))</f>
        <v>2020-03-06</v>
      </c>
      <c r="AX69" s="5" t="str" cm="1">
        <f t="array" aca="1" ref="AX69" ca="1">INDIRECT(ADDRESS($B69,AX$49+$A69,1,1,$C69))</f>
        <v>2020-03-07</v>
      </c>
      <c r="AY69" s="5" t="str" cm="1">
        <f t="array" aca="1" ref="AY69" ca="1">INDIRECT(ADDRESS($B69,AY$49+$A69,1,1,$C69))</f>
        <v>2020-03-08</v>
      </c>
      <c r="AZ69" s="5" t="str" cm="1">
        <f t="array" aca="1" ref="AZ69" ca="1">INDIRECT(ADDRESS($B69,AZ$49+$A69,1,1,$C69))</f>
        <v>2020-03-09</v>
      </c>
      <c r="BA69" s="5" t="str" cm="1">
        <f t="array" aca="1" ref="BA69" ca="1">INDIRECT(ADDRESS($B69,BA$49+$A69,1,1,$C69))</f>
        <v>2020-03-10</v>
      </c>
      <c r="BB69" s="5" t="str" cm="1">
        <f t="array" aca="1" ref="BB69" ca="1">INDIRECT(ADDRESS($B69,BB$49+$A69,1,1,$C69))</f>
        <v>2020-03-11</v>
      </c>
      <c r="BC69" s="5" t="str" cm="1">
        <f t="array" aca="1" ref="BC69" ca="1">INDIRECT(ADDRESS($B69,BC$49+$A69,1,1,$C69))</f>
        <v>2020-03-12</v>
      </c>
      <c r="BD69" s="5" t="str" cm="1">
        <f t="array" aca="1" ref="BD69" ca="1">INDIRECT(ADDRESS($B69,BD$49+$A69,1,1,$C69))</f>
        <v>2020-03-13</v>
      </c>
      <c r="BE69" s="5" t="str" cm="1">
        <f t="array" aca="1" ref="BE69" ca="1">INDIRECT(ADDRESS($B69,BE$49+$A69,1,1,$C69))</f>
        <v>2020-03-14</v>
      </c>
      <c r="BF69" s="5" t="str" cm="1">
        <f t="array" aca="1" ref="BF69" ca="1">INDIRECT(ADDRESS($B69,BF$49+$A69,1,1,$C69))</f>
        <v>2020-03-15</v>
      </c>
      <c r="BG69" s="5" t="str" cm="1">
        <f t="array" aca="1" ref="BG69" ca="1">INDIRECT(ADDRESS($B69,BG$49+$A69,1,1,$C69))</f>
        <v>2020-03-16</v>
      </c>
      <c r="BH69" s="5" t="str" cm="1">
        <f t="array" aca="1" ref="BH69" ca="1">INDIRECT(ADDRESS($B69,BH$49+$A69,1,1,$C69))</f>
        <v>2020-03-17</v>
      </c>
      <c r="BI69" s="5" t="str" cm="1">
        <f t="array" aca="1" ref="BI69" ca="1">INDIRECT(ADDRESS($B69,BI$49+$A69,1,1,$C69))</f>
        <v>2020-03-18</v>
      </c>
      <c r="BJ69" s="5" t="str" cm="1">
        <f t="array" aca="1" ref="BJ69" ca="1">INDIRECT(ADDRESS($B69,BJ$49+$A69,1,1,$C69))</f>
        <v>2020-03-19</v>
      </c>
      <c r="BK69" s="5" t="str" cm="1">
        <f t="array" aca="1" ref="BK69" ca="1">INDIRECT(ADDRESS($B69,BK$49+$A69,1,1,$C69))</f>
        <v>2020-03-20</v>
      </c>
      <c r="BL69" s="5" t="str" cm="1">
        <f t="array" aca="1" ref="BL69" ca="1">INDIRECT(ADDRESS($B69,BL$49+$A69,1,1,$C69))</f>
        <v>2020-03-21</v>
      </c>
      <c r="BM69" s="5" t="str" cm="1">
        <f t="array" aca="1" ref="BM69" ca="1">INDIRECT(ADDRESS($B69,BM$49+$A69,1,1,$C69))</f>
        <v>2020-03-22</v>
      </c>
      <c r="BN69" s="5" t="str" cm="1">
        <f t="array" aca="1" ref="BN69" ca="1">INDIRECT(ADDRESS($B69,BN$49+$A69,1,1,$C69))</f>
        <v>2020-03-23</v>
      </c>
      <c r="BO69" s="5" cm="1">
        <f t="array" aca="1" ref="BO69" ca="1">INDIRECT(ADDRESS($B69,BO$49+$A69,1,1,$C69))</f>
        <v>0</v>
      </c>
      <c r="BP69" s="5" cm="1">
        <f t="array" aca="1" ref="BP69" ca="1">INDIRECT(ADDRESS($B69,BP$49+$A69,1,1,$C69))</f>
        <v>0</v>
      </c>
      <c r="BQ69" s="5" cm="1">
        <f t="array" aca="1" ref="BQ69" ca="1">INDIRECT(ADDRESS($B69,BQ$49+$A69,1,1,$C69))</f>
        <v>0</v>
      </c>
      <c r="BR69" s="5" cm="1">
        <f t="array" aca="1" ref="BR69" ca="1">INDIRECT(ADDRESS($B69,BR$49+$A69,1,1,$C69))</f>
        <v>0</v>
      </c>
      <c r="BS69" s="5" cm="1">
        <f t="array" aca="1" ref="BS69" ca="1">INDIRECT(ADDRESS($B69,BS$49+$A69,1,1,$C69))</f>
        <v>0</v>
      </c>
      <c r="BT69" s="5" cm="1">
        <f t="array" aca="1" ref="BT69" ca="1">INDIRECT(ADDRESS($B69,BT$49+$A69,1,1,$C69))</f>
        <v>0</v>
      </c>
      <c r="BU69" s="5" cm="1">
        <f t="array" aca="1" ref="BU69" ca="1">INDIRECT(ADDRESS($B69,BU$49+$A69,1,1,$C69))</f>
        <v>0</v>
      </c>
      <c r="BV69" s="5" cm="1">
        <f t="array" aca="1" ref="BV69" ca="1">INDIRECT(ADDRESS($B69,BV$49+$A69,1,1,$C69))</f>
        <v>0</v>
      </c>
    </row>
    <row r="70" spans="1:74" x14ac:dyDescent="0.25">
      <c r="A70">
        <v>8</v>
      </c>
      <c r="B70">
        <f ca="1">MATCH($C70,INDIRECT("'"&amp;$C$51&amp;"'!A:A"),0)</f>
        <v>23</v>
      </c>
      <c r="C70" s="1" t="str">
        <f>C8</f>
        <v>Switzerland Ticino</v>
      </c>
      <c r="D70" t="str">
        <f>C69</f>
        <v>Deaths</v>
      </c>
      <c r="E70" s="1" cm="1">
        <f t="array" aca="1" ref="E70" ca="1">INDIRECT(ADDRESS($B70,E$49+$A70,1,1,$D70))</f>
        <v>0</v>
      </c>
      <c r="F70" s="1" cm="1">
        <f t="array" aca="1" ref="F70" ca="1">INDIRECT(ADDRESS($B70,F$49+$A70,1,1,$D70))</f>
        <v>0</v>
      </c>
      <c r="G70" s="1" cm="1">
        <f t="array" aca="1" ref="G70" ca="1">INDIRECT(ADDRESS($B70,G$49+$A70,1,1,$D70))</f>
        <v>0</v>
      </c>
      <c r="H70" s="1" cm="1">
        <f t="array" aca="1" ref="H70" ca="1">INDIRECT(ADDRESS($B70,H$49+$A70,1,1,$D70))</f>
        <v>0</v>
      </c>
      <c r="I70" s="1" cm="1">
        <f t="array" aca="1" ref="I70" ca="1">INDIRECT(ADDRESS($B70,I$49+$A70,1,1,$D70))</f>
        <v>0</v>
      </c>
      <c r="J70" s="1" cm="1">
        <f t="array" aca="1" ref="J70" ca="1">INDIRECT(ADDRESS($B70,J$49+$A70,1,1,$D70))</f>
        <v>0</v>
      </c>
      <c r="K70" s="1" cm="1">
        <f t="array" aca="1" ref="K70" ca="1">INDIRECT(ADDRESS($B70,K$49+$A70,1,1,$D70))</f>
        <v>0</v>
      </c>
      <c r="L70" s="1" cm="1">
        <f t="array" aca="1" ref="L70" ca="1">INDIRECT(ADDRESS($B70,L$49+$A70,1,1,$D70))</f>
        <v>0</v>
      </c>
      <c r="M70" s="1" cm="1">
        <f t="array" aca="1" ref="M70" ca="1">INDIRECT(ADDRESS($B70,M$49+$A70,1,1,$D70))</f>
        <v>0</v>
      </c>
      <c r="N70" s="1" cm="1">
        <f t="array" aca="1" ref="N70" ca="1">INDIRECT(ADDRESS($B70,N$49+$A70,1,1,$D70))</f>
        <v>0</v>
      </c>
      <c r="O70" s="1" cm="1">
        <f t="array" aca="1" ref="O70" ca="1">INDIRECT(ADDRESS($B70,O$49+$A70,1,1,$D70))</f>
        <v>0</v>
      </c>
      <c r="P70" s="1" cm="1">
        <f t="array" aca="1" ref="P70" ca="1">INDIRECT(ADDRESS($B70,P$49+$A70,1,1,$D70))</f>
        <v>0</v>
      </c>
      <c r="Q70" s="1" cm="1">
        <f t="array" aca="1" ref="Q70" ca="1">INDIRECT(ADDRESS($B70,Q$49+$A70,1,1,$D70))</f>
        <v>0</v>
      </c>
      <c r="R70" s="1" cm="1">
        <f t="array" aca="1" ref="R70" ca="1">INDIRECT(ADDRESS($B70,R$49+$A70,1,1,$D70))</f>
        <v>0</v>
      </c>
      <c r="S70" s="1" cm="1">
        <f t="array" aca="1" ref="S70" ca="1">INDIRECT(ADDRESS($B70,S$49+$A70,1,1,$D70))</f>
        <v>0</v>
      </c>
      <c r="T70" s="1" cm="1">
        <f t="array" aca="1" ref="T70" ca="1">INDIRECT(ADDRESS($B70,T$49+$A70,1,1,$D70))</f>
        <v>0</v>
      </c>
      <c r="U70" s="1" cm="1">
        <f t="array" aca="1" ref="U70" ca="1">INDIRECT(ADDRESS($B70,U$49+$A70,1,1,$D70))</f>
        <v>0</v>
      </c>
      <c r="V70" s="1" cm="1">
        <f t="array" aca="1" ref="V70" ca="1">INDIRECT(ADDRESS($B70,V$49+$A70,1,1,$D70))</f>
        <v>0</v>
      </c>
      <c r="W70" s="1" cm="1">
        <f t="array" aca="1" ref="W70" ca="1">INDIRECT(ADDRESS($B70,W$49+$A70,1,1,$D70))</f>
        <v>0</v>
      </c>
      <c r="X70" s="1" cm="1">
        <f t="array" aca="1" ref="X70" ca="1">INDIRECT(ADDRESS($B70,X$49+$A70,1,1,$D70))</f>
        <v>0</v>
      </c>
      <c r="Y70" s="1" cm="1">
        <f t="array" aca="1" ref="Y70" ca="1">INDIRECT(ADDRESS($B70,Y$49+$A70,1,1,$D70))</f>
        <v>0</v>
      </c>
      <c r="Z70" s="1" cm="1">
        <f t="array" aca="1" ref="Z70" ca="1">INDIRECT(ADDRESS($B70,Z$49+$A70,1,1,$D70))</f>
        <v>0</v>
      </c>
      <c r="AA70" s="1" cm="1">
        <f t="array" aca="1" ref="AA70" ca="1">INDIRECT(ADDRESS($B70,AA$49+$A70,1,1,$D70))</f>
        <v>0</v>
      </c>
      <c r="AB70" s="1" cm="1">
        <f t="array" aca="1" ref="AB70" ca="1">INDIRECT(ADDRESS($B70,AB$49+$A70,1,1,$D70))</f>
        <v>0</v>
      </c>
      <c r="AC70" s="1" cm="1">
        <f t="array" aca="1" ref="AC70" ca="1">INDIRECT(ADDRESS($B70,AC$49+$A70,1,1,$D70))</f>
        <v>0</v>
      </c>
      <c r="AD70" s="1" cm="1">
        <f t="array" aca="1" ref="AD70" ca="1">INDIRECT(ADDRESS($B70,AD$49+$A70,1,1,$D70))</f>
        <v>0</v>
      </c>
      <c r="AE70" s="1" cm="1">
        <f t="array" aca="1" ref="AE70" ca="1">INDIRECT(ADDRESS($B70,AE$49+$A70,1,1,$D70))</f>
        <v>0</v>
      </c>
      <c r="AF70" s="1" cm="1">
        <f t="array" aca="1" ref="AF70" ca="1">INDIRECT(ADDRESS($B70,AF$49+$A70,1,1,$D70))</f>
        <v>0</v>
      </c>
      <c r="AG70" s="1" cm="1">
        <f t="array" aca="1" ref="AG70" ca="1">INDIRECT(ADDRESS($B70,AG$49+$A70,1,1,$D70))</f>
        <v>0</v>
      </c>
      <c r="AH70" s="1" cm="1">
        <f t="array" aca="1" ref="AH70" ca="1">INDIRECT(ADDRESS($B70,AH$49+$A70,1,1,$D70))</f>
        <v>0</v>
      </c>
      <c r="AI70" s="1" cm="1">
        <f t="array" aca="1" ref="AI70" ca="1">INDIRECT(ADDRESS($B70,AI$49+$A70,1,1,$D70))</f>
        <v>0</v>
      </c>
      <c r="AJ70" s="1" cm="1">
        <f t="array" aca="1" ref="AJ70" ca="1">INDIRECT(ADDRESS($B70,AJ$49+$A70,1,1,$D70))</f>
        <v>0</v>
      </c>
      <c r="AK70" s="1" cm="1">
        <f t="array" aca="1" ref="AK70" ca="1">INDIRECT(ADDRESS($B70,AK$49+$A70,1,1,$D70))</f>
        <v>0</v>
      </c>
      <c r="AL70" s="1" cm="1">
        <f t="array" aca="1" ref="AL70" ca="1">INDIRECT(ADDRESS($B70,AL$49+$A70,1,1,$D70))</f>
        <v>0</v>
      </c>
      <c r="AM70" s="1" cm="1">
        <f t="array" aca="1" ref="AM70" ca="1">INDIRECT(ADDRESS($B70,AM$49+$A70,1,1,$D70))</f>
        <v>0</v>
      </c>
      <c r="AN70" s="1" cm="1">
        <f t="array" aca="1" ref="AN70" ca="1">INDIRECT(ADDRESS($B70,AN$49+$A70,1,1,$D70))</f>
        <v>0</v>
      </c>
      <c r="AO70" s="1" cm="1">
        <f t="array" aca="1" ref="AO70" ca="1">INDIRECT(ADDRESS($B70,AO$49+$A70,1,1,$D70))</f>
        <v>0</v>
      </c>
      <c r="AP70" s="1" cm="1">
        <f t="array" aca="1" ref="AP70" ca="1">INDIRECT(ADDRESS($B70,AP$49+$A70,1,1,$D70))</f>
        <v>0</v>
      </c>
      <c r="AQ70" s="1" cm="1">
        <f t="array" aca="1" ref="AQ70" ca="1">INDIRECT(ADDRESS($B70,AQ$49+$A70,1,1,$D70))</f>
        <v>0</v>
      </c>
      <c r="AR70" s="1" cm="1">
        <f t="array" aca="1" ref="AR70" ca="1">INDIRECT(ADDRESS($B70,AR$49+$A70,1,1,$D70))</f>
        <v>0</v>
      </c>
      <c r="AS70" s="1" cm="1">
        <f t="array" aca="1" ref="AS70" ca="1">INDIRECT(ADDRESS($B70,AS$49+$A70,1,1,$D70))</f>
        <v>0</v>
      </c>
      <c r="AT70" s="1" cm="1">
        <f t="array" aca="1" ref="AT70" ca="1">INDIRECT(ADDRESS($B70,AT$49+$A70,1,1,$D70))</f>
        <v>0</v>
      </c>
      <c r="AU70" s="1" cm="1">
        <f t="array" aca="1" ref="AU70" ca="1">INDIRECT(ADDRESS($B70,AU$49+$A70,1,1,$D70))</f>
        <v>0</v>
      </c>
      <c r="AV70" s="1" cm="1">
        <f t="array" aca="1" ref="AV70" ca="1">INDIRECT(ADDRESS($B70,AV$49+$A70,1,1,$D70))</f>
        <v>0</v>
      </c>
      <c r="AW70" s="1" cm="1">
        <f t="array" aca="1" ref="AW70" ca="1">INDIRECT(ADDRESS($B70,AW$49+$A70,1,1,$D70))</f>
        <v>0</v>
      </c>
      <c r="AX70" s="1" cm="1">
        <f t="array" aca="1" ref="AX70" ca="1">INDIRECT(ADDRESS($B70,AX$49+$A70,1,1,$D70))</f>
        <v>0</v>
      </c>
      <c r="AY70" s="1" cm="1">
        <f t="array" aca="1" ref="AY70" ca="1">INDIRECT(ADDRESS($B70,AY$49+$A70,1,1,$D70))</f>
        <v>0</v>
      </c>
      <c r="AZ70" s="1" cm="1">
        <f t="array" aca="1" ref="AZ70" ca="1">INDIRECT(ADDRESS($B70,AZ$49+$A70,1,1,$D70))</f>
        <v>0</v>
      </c>
      <c r="BA70" s="1" cm="1">
        <f t="array" aca="1" ref="BA70" ca="1">INDIRECT(ADDRESS($B70,BA$49+$A70,1,1,$D70))</f>
        <v>1</v>
      </c>
      <c r="BB70" s="1" cm="1">
        <f t="array" aca="1" ref="BB70" ca="1">INDIRECT(ADDRESS($B70,BB$49+$A70,1,1,$D70))</f>
        <v>1</v>
      </c>
      <c r="BC70" s="1" cm="1">
        <f t="array" aca="1" ref="BC70" ca="1">INDIRECT(ADDRESS($B70,BC$49+$A70,1,1,$D70))</f>
        <v>1</v>
      </c>
      <c r="BD70" s="1" cm="1">
        <f t="array" aca="1" ref="BD70" ca="1">INDIRECT(ADDRESS($B70,BD$49+$A70,1,1,$D70))</f>
        <v>1</v>
      </c>
      <c r="BE70" s="1" cm="1">
        <f t="array" aca="1" ref="BE70" ca="1">INDIRECT(ADDRESS($B70,BE$49+$A70,1,1,$D70))</f>
        <v>3</v>
      </c>
      <c r="BF70" s="1" cm="1">
        <f t="array" aca="1" ref="BF70" ca="1">INDIRECT(ADDRESS($B70,BF$49+$A70,1,1,$D70))</f>
        <v>6</v>
      </c>
      <c r="BG70" s="1" cm="1">
        <f t="array" aca="1" ref="BG70" ca="1">INDIRECT(ADDRESS($B70,BG$49+$A70,1,1,$D70))</f>
        <v>8</v>
      </c>
      <c r="BH70" s="1" cm="1">
        <f t="array" aca="1" ref="BH70" ca="1">INDIRECT(ADDRESS($B70,BH$49+$A70,1,1,$D70))</f>
        <v>10</v>
      </c>
      <c r="BI70" s="1" cm="1">
        <f t="array" aca="1" ref="BI70" ca="1">INDIRECT(ADDRESS($B70,BI$49+$A70,1,1,$D70))</f>
        <v>14</v>
      </c>
      <c r="BJ70" s="1" cm="1">
        <f t="array" aca="1" ref="BJ70" ca="1">INDIRECT(ADDRESS($B70,BJ$49+$A70,1,1,$D70))</f>
        <v>15</v>
      </c>
      <c r="BK70" s="1" cm="1">
        <f t="array" aca="1" ref="BK70" ca="1">INDIRECT(ADDRESS($B70,BK$49+$A70,1,1,$D70))</f>
        <v>22</v>
      </c>
      <c r="BL70" s="1" cm="1">
        <f t="array" aca="1" ref="BL70" ca="1">INDIRECT(ADDRESS($B70,BL$49+$A70,1,1,$D70))</f>
        <v>28</v>
      </c>
      <c r="BM70" s="1" cm="1">
        <f t="array" aca="1" ref="BM70" ca="1">INDIRECT(ADDRESS($B70,BM$49+$A70,1,1,$D70))</f>
        <v>37</v>
      </c>
      <c r="BN70" s="1" cm="1">
        <f t="array" aca="1" ref="BN70" ca="1">INDIRECT(ADDRESS($B70,BN$49+$A70,1,1,$D70))</f>
        <v>48</v>
      </c>
      <c r="BO70" s="1" cm="1">
        <f t="array" aca="1" ref="BO70" ca="1">INDIRECT(ADDRESS($B70,BO$49+$A70,1,1,$D70))</f>
        <v>0</v>
      </c>
      <c r="BP70" s="1" cm="1">
        <f t="array" aca="1" ref="BP70" ca="1">INDIRECT(ADDRESS($B70,BP$49+$A70,1,1,$D70))</f>
        <v>0</v>
      </c>
      <c r="BQ70" s="1" cm="1">
        <f t="array" aca="1" ref="BQ70" ca="1">INDIRECT(ADDRESS($B70,BQ$49+$A70,1,1,$D70))</f>
        <v>0</v>
      </c>
      <c r="BR70" s="1" cm="1">
        <f t="array" aca="1" ref="BR70" ca="1">INDIRECT(ADDRESS($B70,BR$49+$A70,1,1,$D70))</f>
        <v>0</v>
      </c>
      <c r="BS70" s="1" cm="1">
        <f t="array" aca="1" ref="BS70" ca="1">INDIRECT(ADDRESS($B70,BS$49+$A70,1,1,$D70))</f>
        <v>0</v>
      </c>
      <c r="BT70" s="1" cm="1">
        <f t="array" aca="1" ref="BT70" ca="1">INDIRECT(ADDRESS($B70,BT$49+$A70,1,1,$D70))</f>
        <v>0</v>
      </c>
      <c r="BU70" s="1" cm="1">
        <f t="array" aca="1" ref="BU70" ca="1">INDIRECT(ADDRESS($B70,BU$49+$A70,1,1,$D70))</f>
        <v>0</v>
      </c>
      <c r="BV70" s="1" cm="1">
        <f t="array" aca="1" ref="BV70" ca="1">INDIRECT(ADDRESS($B70,BV$49+$A70,1,1,$D70))</f>
        <v>0</v>
      </c>
    </row>
    <row r="71" spans="1:74" x14ac:dyDescent="0.25">
      <c r="A71">
        <v>8</v>
      </c>
      <c r="B71">
        <f ca="1">MATCH($C71,INDIRECT("'"&amp;$C$87&amp;"'!A:A"),0)</f>
        <v>28</v>
      </c>
      <c r="C71" s="1" t="str">
        <f t="shared" ref="C71:C73" si="4">C9</f>
        <v>Switzerland Zurich</v>
      </c>
      <c r="D71" t="str">
        <f>D70</f>
        <v>Deaths</v>
      </c>
      <c r="E71" s="1" cm="1">
        <f t="array" aca="1" ref="E71" ca="1">INDIRECT(ADDRESS($B71,E$49+$A71,1,1,$D71))</f>
        <v>0</v>
      </c>
      <c r="F71" s="1" cm="1">
        <f t="array" aca="1" ref="F71" ca="1">INDIRECT(ADDRESS($B71,F$49+$A71,1,1,$D71))</f>
        <v>0</v>
      </c>
      <c r="G71" s="1" cm="1">
        <f t="array" aca="1" ref="G71" ca="1">INDIRECT(ADDRESS($B71,G$49+$A71,1,1,$D71))</f>
        <v>0</v>
      </c>
      <c r="H71" s="1" cm="1">
        <f t="array" aca="1" ref="H71" ca="1">INDIRECT(ADDRESS($B71,H$49+$A71,1,1,$D71))</f>
        <v>0</v>
      </c>
      <c r="I71" s="1" cm="1">
        <f t="array" aca="1" ref="I71" ca="1">INDIRECT(ADDRESS($B71,I$49+$A71,1,1,$D71))</f>
        <v>0</v>
      </c>
      <c r="J71" s="1" cm="1">
        <f t="array" aca="1" ref="J71" ca="1">INDIRECT(ADDRESS($B71,J$49+$A71,1,1,$D71))</f>
        <v>0</v>
      </c>
      <c r="K71" s="1" cm="1">
        <f t="array" aca="1" ref="K71" ca="1">INDIRECT(ADDRESS($B71,K$49+$A71,1,1,$D71))</f>
        <v>0</v>
      </c>
      <c r="L71" s="1" cm="1">
        <f t="array" aca="1" ref="L71" ca="1">INDIRECT(ADDRESS($B71,L$49+$A71,1,1,$D71))</f>
        <v>0</v>
      </c>
      <c r="M71" s="1" cm="1">
        <f t="array" aca="1" ref="M71" ca="1">INDIRECT(ADDRESS($B71,M$49+$A71,1,1,$D71))</f>
        <v>0</v>
      </c>
      <c r="N71" s="1" cm="1">
        <f t="array" aca="1" ref="N71" ca="1">INDIRECT(ADDRESS($B71,N$49+$A71,1,1,$D71))</f>
        <v>0</v>
      </c>
      <c r="O71" s="1" cm="1">
        <f t="array" aca="1" ref="O71" ca="1">INDIRECT(ADDRESS($B71,O$49+$A71,1,1,$D71))</f>
        <v>0</v>
      </c>
      <c r="P71" s="1" cm="1">
        <f t="array" aca="1" ref="P71" ca="1">INDIRECT(ADDRESS($B71,P$49+$A71,1,1,$D71))</f>
        <v>0</v>
      </c>
      <c r="Q71" s="1" cm="1">
        <f t="array" aca="1" ref="Q71" ca="1">INDIRECT(ADDRESS($B71,Q$49+$A71,1,1,$D71))</f>
        <v>0</v>
      </c>
      <c r="R71" s="1" cm="1">
        <f t="array" aca="1" ref="R71" ca="1">INDIRECT(ADDRESS($B71,R$49+$A71,1,1,$D71))</f>
        <v>0</v>
      </c>
      <c r="S71" s="1" cm="1">
        <f t="array" aca="1" ref="S71" ca="1">INDIRECT(ADDRESS($B71,S$49+$A71,1,1,$D71))</f>
        <v>0</v>
      </c>
      <c r="T71" s="1" cm="1">
        <f t="array" aca="1" ref="T71" ca="1">INDIRECT(ADDRESS($B71,T$49+$A71,1,1,$D71))</f>
        <v>0</v>
      </c>
      <c r="U71" s="1" cm="1">
        <f t="array" aca="1" ref="U71" ca="1">INDIRECT(ADDRESS($B71,U$49+$A71,1,1,$D71))</f>
        <v>0</v>
      </c>
      <c r="V71" s="1" cm="1">
        <f t="array" aca="1" ref="V71" ca="1">INDIRECT(ADDRESS($B71,V$49+$A71,1,1,$D71))</f>
        <v>0</v>
      </c>
      <c r="W71" s="1" cm="1">
        <f t="array" aca="1" ref="W71" ca="1">INDIRECT(ADDRESS($B71,W$49+$A71,1,1,$D71))</f>
        <v>0</v>
      </c>
      <c r="X71" s="1" cm="1">
        <f t="array" aca="1" ref="X71" ca="1">INDIRECT(ADDRESS($B71,X$49+$A71,1,1,$D71))</f>
        <v>0</v>
      </c>
      <c r="Y71" s="1" cm="1">
        <f t="array" aca="1" ref="Y71" ca="1">INDIRECT(ADDRESS($B71,Y$49+$A71,1,1,$D71))</f>
        <v>0</v>
      </c>
      <c r="Z71" s="1" cm="1">
        <f t="array" aca="1" ref="Z71" ca="1">INDIRECT(ADDRESS($B71,Z$49+$A71,1,1,$D71))</f>
        <v>0</v>
      </c>
      <c r="AA71" s="1" cm="1">
        <f t="array" aca="1" ref="AA71" ca="1">INDIRECT(ADDRESS($B71,AA$49+$A71,1,1,$D71))</f>
        <v>0</v>
      </c>
      <c r="AB71" s="1" cm="1">
        <f t="array" aca="1" ref="AB71" ca="1">INDIRECT(ADDRESS($B71,AB$49+$A71,1,1,$D71))</f>
        <v>0</v>
      </c>
      <c r="AC71" s="1" cm="1">
        <f t="array" aca="1" ref="AC71" ca="1">INDIRECT(ADDRESS($B71,AC$49+$A71,1,1,$D71))</f>
        <v>0</v>
      </c>
      <c r="AD71" s="1" cm="1">
        <f t="array" aca="1" ref="AD71" ca="1">INDIRECT(ADDRESS($B71,AD$49+$A71,1,1,$D71))</f>
        <v>0</v>
      </c>
      <c r="AE71" s="1" cm="1">
        <f t="array" aca="1" ref="AE71" ca="1">INDIRECT(ADDRESS($B71,AE$49+$A71,1,1,$D71))</f>
        <v>0</v>
      </c>
      <c r="AF71" s="1" cm="1">
        <f t="array" aca="1" ref="AF71" ca="1">INDIRECT(ADDRESS($B71,AF$49+$A71,1,1,$D71))</f>
        <v>0</v>
      </c>
      <c r="AG71" s="1" cm="1">
        <f t="array" aca="1" ref="AG71" ca="1">INDIRECT(ADDRESS($B71,AG$49+$A71,1,1,$D71))</f>
        <v>0</v>
      </c>
      <c r="AH71" s="1" cm="1">
        <f t="array" aca="1" ref="AH71" ca="1">INDIRECT(ADDRESS($B71,AH$49+$A71,1,1,$D71))</f>
        <v>0</v>
      </c>
      <c r="AI71" s="1" cm="1">
        <f t="array" aca="1" ref="AI71" ca="1">INDIRECT(ADDRESS($B71,AI$49+$A71,1,1,$D71))</f>
        <v>0</v>
      </c>
      <c r="AJ71" s="1" cm="1">
        <f t="array" aca="1" ref="AJ71" ca="1">INDIRECT(ADDRESS($B71,AJ$49+$A71,1,1,$D71))</f>
        <v>0</v>
      </c>
      <c r="AK71" s="1" cm="1">
        <f t="array" aca="1" ref="AK71" ca="1">INDIRECT(ADDRESS($B71,AK$49+$A71,1,1,$D71))</f>
        <v>0</v>
      </c>
      <c r="AL71" s="1" cm="1">
        <f t="array" aca="1" ref="AL71" ca="1">INDIRECT(ADDRESS($B71,AL$49+$A71,1,1,$D71))</f>
        <v>0</v>
      </c>
      <c r="AM71" s="1" cm="1">
        <f t="array" aca="1" ref="AM71" ca="1">INDIRECT(ADDRESS($B71,AM$49+$A71,1,1,$D71))</f>
        <v>0</v>
      </c>
      <c r="AN71" s="1" cm="1">
        <f t="array" aca="1" ref="AN71" ca="1">INDIRECT(ADDRESS($B71,AN$49+$A71,1,1,$D71))</f>
        <v>0</v>
      </c>
      <c r="AO71" s="1" cm="1">
        <f t="array" aca="1" ref="AO71" ca="1">INDIRECT(ADDRESS($B71,AO$49+$A71,1,1,$D71))</f>
        <v>0</v>
      </c>
      <c r="AP71" s="1" cm="1">
        <f t="array" aca="1" ref="AP71" ca="1">INDIRECT(ADDRESS($B71,AP$49+$A71,1,1,$D71))</f>
        <v>0</v>
      </c>
      <c r="AQ71" s="1" cm="1">
        <f t="array" aca="1" ref="AQ71" ca="1">INDIRECT(ADDRESS($B71,AQ$49+$A71,1,1,$D71))</f>
        <v>0</v>
      </c>
      <c r="AR71" s="1" cm="1">
        <f t="array" aca="1" ref="AR71" ca="1">INDIRECT(ADDRESS($B71,AR$49+$A71,1,1,$D71))</f>
        <v>0</v>
      </c>
      <c r="AS71" s="1" cm="1">
        <f t="array" aca="1" ref="AS71" ca="1">INDIRECT(ADDRESS($B71,AS$49+$A71,1,1,$D71))</f>
        <v>0</v>
      </c>
      <c r="AT71" s="1" cm="1">
        <f t="array" aca="1" ref="AT71" ca="1">INDIRECT(ADDRESS($B71,AT$49+$A71,1,1,$D71))</f>
        <v>0</v>
      </c>
      <c r="AU71" s="1" cm="1">
        <f t="array" aca="1" ref="AU71" ca="1">INDIRECT(ADDRESS($B71,AU$49+$A71,1,1,$D71))</f>
        <v>0</v>
      </c>
      <c r="AV71" s="1" cm="1">
        <f t="array" aca="1" ref="AV71" ca="1">INDIRECT(ADDRESS($B71,AV$49+$A71,1,1,$D71))</f>
        <v>0</v>
      </c>
      <c r="AW71" s="1" cm="1">
        <f t="array" aca="1" ref="AW71" ca="1">INDIRECT(ADDRESS($B71,AW$49+$A71,1,1,$D71))</f>
        <v>0</v>
      </c>
      <c r="AX71" s="1" cm="1">
        <f t="array" aca="1" ref="AX71" ca="1">INDIRECT(ADDRESS($B71,AX$49+$A71,1,1,$D71))</f>
        <v>0</v>
      </c>
      <c r="AY71" s="1" cm="1">
        <f t="array" aca="1" ref="AY71" ca="1">INDIRECT(ADDRESS($B71,AY$49+$A71,1,1,$D71))</f>
        <v>0</v>
      </c>
      <c r="AZ71" s="1" cm="1">
        <f t="array" aca="1" ref="AZ71" ca="1">INDIRECT(ADDRESS($B71,AZ$49+$A71,1,1,$D71))</f>
        <v>0</v>
      </c>
      <c r="BA71" s="1" cm="1">
        <f t="array" aca="1" ref="BA71" ca="1">INDIRECT(ADDRESS($B71,BA$49+$A71,1,1,$D71))</f>
        <v>0</v>
      </c>
      <c r="BB71" s="1" cm="1">
        <f t="array" aca="1" ref="BB71" ca="1">INDIRECT(ADDRESS($B71,BB$49+$A71,1,1,$D71))</f>
        <v>0</v>
      </c>
      <c r="BC71" s="1" cm="1">
        <f t="array" aca="1" ref="BC71" ca="1">INDIRECT(ADDRESS($B71,BC$49+$A71,1,1,$D71))</f>
        <v>0</v>
      </c>
      <c r="BD71" s="1" cm="1">
        <f t="array" aca="1" ref="BD71" ca="1">INDIRECT(ADDRESS($B71,BD$49+$A71,1,1,$D71))</f>
        <v>0</v>
      </c>
      <c r="BE71" s="1" cm="1">
        <f t="array" aca="1" ref="BE71" ca="1">INDIRECT(ADDRESS($B71,BE$49+$A71,1,1,$D71))</f>
        <v>0</v>
      </c>
      <c r="BF71" s="1" cm="1">
        <f t="array" aca="1" ref="BF71" ca="1">INDIRECT(ADDRESS($B71,BF$49+$A71,1,1,$D71))</f>
        <v>0</v>
      </c>
      <c r="BG71" s="1" cm="1">
        <f t="array" aca="1" ref="BG71" ca="1">INDIRECT(ADDRESS($B71,BG$49+$A71,1,1,$D71))</f>
        <v>1</v>
      </c>
      <c r="BH71" s="1" cm="1">
        <f t="array" aca="1" ref="BH71" ca="1">INDIRECT(ADDRESS($B71,BH$49+$A71,1,1,$D71))</f>
        <v>1</v>
      </c>
      <c r="BI71" s="1" cm="1">
        <f t="array" aca="1" ref="BI71" ca="1">INDIRECT(ADDRESS($B71,BI$49+$A71,1,1,$D71))</f>
        <v>1</v>
      </c>
      <c r="BJ71" s="1" cm="1">
        <f t="array" aca="1" ref="BJ71" ca="1">INDIRECT(ADDRESS($B71,BJ$49+$A71,1,1,$D71))</f>
        <v>3</v>
      </c>
      <c r="BK71" s="1" cm="1">
        <f t="array" aca="1" ref="BK71" ca="1">INDIRECT(ADDRESS($B71,BK$49+$A71,1,1,$D71))</f>
        <v>3</v>
      </c>
      <c r="BL71" s="1" cm="1">
        <f t="array" aca="1" ref="BL71" ca="1">INDIRECT(ADDRESS($B71,BL$49+$A71,1,1,$D71))</f>
        <v>3</v>
      </c>
      <c r="BM71" s="1" cm="1">
        <f t="array" aca="1" ref="BM71" ca="1">INDIRECT(ADDRESS($B71,BM$49+$A71,1,1,$D71))</f>
        <v>3</v>
      </c>
      <c r="BN71" s="1" cm="1">
        <f t="array" aca="1" ref="BN71" ca="1">INDIRECT(ADDRESS($B71,BN$49+$A71,1,1,$D71))</f>
        <v>5</v>
      </c>
      <c r="BO71" s="1" cm="1">
        <f t="array" aca="1" ref="BO71" ca="1">INDIRECT(ADDRESS($B71,BO$49+$A71,1,1,$D71))</f>
        <v>0</v>
      </c>
      <c r="BP71" s="1" cm="1">
        <f t="array" aca="1" ref="BP71" ca="1">INDIRECT(ADDRESS($B71,BP$49+$A71,1,1,$D71))</f>
        <v>0</v>
      </c>
      <c r="BQ71" s="1" cm="1">
        <f t="array" aca="1" ref="BQ71" ca="1">INDIRECT(ADDRESS($B71,BQ$49+$A71,1,1,$D71))</f>
        <v>0</v>
      </c>
      <c r="BR71" s="1" cm="1">
        <f t="array" aca="1" ref="BR71" ca="1">INDIRECT(ADDRESS($B71,BR$49+$A71,1,1,$D71))</f>
        <v>0</v>
      </c>
      <c r="BS71" s="1" cm="1">
        <f t="array" aca="1" ref="BS71" ca="1">INDIRECT(ADDRESS($B71,BS$49+$A71,1,1,$D71))</f>
        <v>0</v>
      </c>
      <c r="BT71" s="1" cm="1">
        <f t="array" aca="1" ref="BT71" ca="1">INDIRECT(ADDRESS($B71,BT$49+$A71,1,1,$D71))</f>
        <v>0</v>
      </c>
      <c r="BU71" s="1" cm="1">
        <f t="array" aca="1" ref="BU71" ca="1">INDIRECT(ADDRESS($B71,BU$49+$A71,1,1,$D71))</f>
        <v>0</v>
      </c>
      <c r="BV71" s="1" cm="1">
        <f t="array" aca="1" ref="BV71" ca="1">INDIRECT(ADDRESS($B71,BV$49+$A71,1,1,$D71))</f>
        <v>0</v>
      </c>
    </row>
    <row r="72" spans="1:74" x14ac:dyDescent="0.25">
      <c r="A72">
        <v>8</v>
      </c>
      <c r="B72">
        <f ca="1">MATCH($C72,INDIRECT("'"&amp;$C$87&amp;"'!A:A"),0)</f>
        <v>26</v>
      </c>
      <c r="C72" s="1" t="str">
        <f t="shared" si="4"/>
        <v>Switzerland Vaud</v>
      </c>
      <c r="D72" t="str">
        <f>D71</f>
        <v>Deaths</v>
      </c>
      <c r="E72" s="1" cm="1">
        <f t="array" aca="1" ref="E72" ca="1">INDIRECT(ADDRESS($B72,E$49+$A72,1,1,$D72))</f>
        <v>0</v>
      </c>
      <c r="F72" s="1" cm="1">
        <f t="array" aca="1" ref="F72" ca="1">INDIRECT(ADDRESS($B72,F$49+$A72,1,1,$D72))</f>
        <v>0</v>
      </c>
      <c r="G72" s="1" cm="1">
        <f t="array" aca="1" ref="G72" ca="1">INDIRECT(ADDRESS($B72,G$49+$A72,1,1,$D72))</f>
        <v>0</v>
      </c>
      <c r="H72" s="1" cm="1">
        <f t="array" aca="1" ref="H72" ca="1">INDIRECT(ADDRESS($B72,H$49+$A72,1,1,$D72))</f>
        <v>0</v>
      </c>
      <c r="I72" s="1" cm="1">
        <f t="array" aca="1" ref="I72" ca="1">INDIRECT(ADDRESS($B72,I$49+$A72,1,1,$D72))</f>
        <v>0</v>
      </c>
      <c r="J72" s="1" cm="1">
        <f t="array" aca="1" ref="J72" ca="1">INDIRECT(ADDRESS($B72,J$49+$A72,1,1,$D72))</f>
        <v>0</v>
      </c>
      <c r="K72" s="1" cm="1">
        <f t="array" aca="1" ref="K72" ca="1">INDIRECT(ADDRESS($B72,K$49+$A72,1,1,$D72))</f>
        <v>0</v>
      </c>
      <c r="L72" s="1" cm="1">
        <f t="array" aca="1" ref="L72" ca="1">INDIRECT(ADDRESS($B72,L$49+$A72,1,1,$D72))</f>
        <v>0</v>
      </c>
      <c r="M72" s="1" cm="1">
        <f t="array" aca="1" ref="M72" ca="1">INDIRECT(ADDRESS($B72,M$49+$A72,1,1,$D72))</f>
        <v>0</v>
      </c>
      <c r="N72" s="1" cm="1">
        <f t="array" aca="1" ref="N72" ca="1">INDIRECT(ADDRESS($B72,N$49+$A72,1,1,$D72))</f>
        <v>0</v>
      </c>
      <c r="O72" s="1" cm="1">
        <f t="array" aca="1" ref="O72" ca="1">INDIRECT(ADDRESS($B72,O$49+$A72,1,1,$D72))</f>
        <v>0</v>
      </c>
      <c r="P72" s="1" cm="1">
        <f t="array" aca="1" ref="P72" ca="1">INDIRECT(ADDRESS($B72,P$49+$A72,1,1,$D72))</f>
        <v>0</v>
      </c>
      <c r="Q72" s="1" cm="1">
        <f t="array" aca="1" ref="Q72" ca="1">INDIRECT(ADDRESS($B72,Q$49+$A72,1,1,$D72))</f>
        <v>0</v>
      </c>
      <c r="R72" s="1" cm="1">
        <f t="array" aca="1" ref="R72" ca="1">INDIRECT(ADDRESS($B72,R$49+$A72,1,1,$D72))</f>
        <v>0</v>
      </c>
      <c r="S72" s="1" cm="1">
        <f t="array" aca="1" ref="S72" ca="1">INDIRECT(ADDRESS($B72,S$49+$A72,1,1,$D72))</f>
        <v>0</v>
      </c>
      <c r="T72" s="1" cm="1">
        <f t="array" aca="1" ref="T72" ca="1">INDIRECT(ADDRESS($B72,T$49+$A72,1,1,$D72))</f>
        <v>0</v>
      </c>
      <c r="U72" s="1" cm="1">
        <f t="array" aca="1" ref="U72" ca="1">INDIRECT(ADDRESS($B72,U$49+$A72,1,1,$D72))</f>
        <v>0</v>
      </c>
      <c r="V72" s="1" cm="1">
        <f t="array" aca="1" ref="V72" ca="1">INDIRECT(ADDRESS($B72,V$49+$A72,1,1,$D72))</f>
        <v>0</v>
      </c>
      <c r="W72" s="1" cm="1">
        <f t="array" aca="1" ref="W72" ca="1">INDIRECT(ADDRESS($B72,W$49+$A72,1,1,$D72))</f>
        <v>0</v>
      </c>
      <c r="X72" s="1" cm="1">
        <f t="array" aca="1" ref="X72" ca="1">INDIRECT(ADDRESS($B72,X$49+$A72,1,1,$D72))</f>
        <v>0</v>
      </c>
      <c r="Y72" s="1" cm="1">
        <f t="array" aca="1" ref="Y72" ca="1">INDIRECT(ADDRESS($B72,Y$49+$A72,1,1,$D72))</f>
        <v>0</v>
      </c>
      <c r="Z72" s="1" cm="1">
        <f t="array" aca="1" ref="Z72" ca="1">INDIRECT(ADDRESS($B72,Z$49+$A72,1,1,$D72))</f>
        <v>0</v>
      </c>
      <c r="AA72" s="1" cm="1">
        <f t="array" aca="1" ref="AA72" ca="1">INDIRECT(ADDRESS($B72,AA$49+$A72,1,1,$D72))</f>
        <v>0</v>
      </c>
      <c r="AB72" s="1" cm="1">
        <f t="array" aca="1" ref="AB72" ca="1">INDIRECT(ADDRESS($B72,AB$49+$A72,1,1,$D72))</f>
        <v>0</v>
      </c>
      <c r="AC72" s="1" cm="1">
        <f t="array" aca="1" ref="AC72" ca="1">INDIRECT(ADDRESS($B72,AC$49+$A72,1,1,$D72))</f>
        <v>0</v>
      </c>
      <c r="AD72" s="1" cm="1">
        <f t="array" aca="1" ref="AD72" ca="1">INDIRECT(ADDRESS($B72,AD$49+$A72,1,1,$D72))</f>
        <v>0</v>
      </c>
      <c r="AE72" s="1" cm="1">
        <f t="array" aca="1" ref="AE72" ca="1">INDIRECT(ADDRESS($B72,AE$49+$A72,1,1,$D72))</f>
        <v>0</v>
      </c>
      <c r="AF72" s="1" cm="1">
        <f t="array" aca="1" ref="AF72" ca="1">INDIRECT(ADDRESS($B72,AF$49+$A72,1,1,$D72))</f>
        <v>0</v>
      </c>
      <c r="AG72" s="1" cm="1">
        <f t="array" aca="1" ref="AG72" ca="1">INDIRECT(ADDRESS($B72,AG$49+$A72,1,1,$D72))</f>
        <v>0</v>
      </c>
      <c r="AH72" s="1" cm="1">
        <f t="array" aca="1" ref="AH72" ca="1">INDIRECT(ADDRESS($B72,AH$49+$A72,1,1,$D72))</f>
        <v>0</v>
      </c>
      <c r="AI72" s="1" cm="1">
        <f t="array" aca="1" ref="AI72" ca="1">INDIRECT(ADDRESS($B72,AI$49+$A72,1,1,$D72))</f>
        <v>0</v>
      </c>
      <c r="AJ72" s="1" cm="1">
        <f t="array" aca="1" ref="AJ72" ca="1">INDIRECT(ADDRESS($B72,AJ$49+$A72,1,1,$D72))</f>
        <v>0</v>
      </c>
      <c r="AK72" s="1" cm="1">
        <f t="array" aca="1" ref="AK72" ca="1">INDIRECT(ADDRESS($B72,AK$49+$A72,1,1,$D72))</f>
        <v>0</v>
      </c>
      <c r="AL72" s="1" cm="1">
        <f t="array" aca="1" ref="AL72" ca="1">INDIRECT(ADDRESS($B72,AL$49+$A72,1,1,$D72))</f>
        <v>0</v>
      </c>
      <c r="AM72" s="1" cm="1">
        <f t="array" aca="1" ref="AM72" ca="1">INDIRECT(ADDRESS($B72,AM$49+$A72,1,1,$D72))</f>
        <v>0</v>
      </c>
      <c r="AN72" s="1" cm="1">
        <f t="array" aca="1" ref="AN72" ca="1">INDIRECT(ADDRESS($B72,AN$49+$A72,1,1,$D72))</f>
        <v>0</v>
      </c>
      <c r="AO72" s="1" cm="1">
        <f t="array" aca="1" ref="AO72" ca="1">INDIRECT(ADDRESS($B72,AO$49+$A72,1,1,$D72))</f>
        <v>0</v>
      </c>
      <c r="AP72" s="1" cm="1">
        <f t="array" aca="1" ref="AP72" ca="1">INDIRECT(ADDRESS($B72,AP$49+$A72,1,1,$D72))</f>
        <v>0</v>
      </c>
      <c r="AQ72" s="1" cm="1">
        <f t="array" aca="1" ref="AQ72" ca="1">INDIRECT(ADDRESS($B72,AQ$49+$A72,1,1,$D72))</f>
        <v>0</v>
      </c>
      <c r="AR72" s="1" cm="1">
        <f t="array" aca="1" ref="AR72" ca="1">INDIRECT(ADDRESS($B72,AR$49+$A72,1,1,$D72))</f>
        <v>0</v>
      </c>
      <c r="AS72" s="1" cm="1">
        <f t="array" aca="1" ref="AS72" ca="1">INDIRECT(ADDRESS($B72,AS$49+$A72,1,1,$D72))</f>
        <v>0</v>
      </c>
      <c r="AT72" s="1" cm="1">
        <f t="array" aca="1" ref="AT72" ca="1">INDIRECT(ADDRESS($B72,AT$49+$A72,1,1,$D72))</f>
        <v>0</v>
      </c>
      <c r="AU72" s="1" cm="1">
        <f t="array" aca="1" ref="AU72" ca="1">INDIRECT(ADDRESS($B72,AU$49+$A72,1,1,$D72))</f>
        <v>0</v>
      </c>
      <c r="AV72" s="1" cm="1">
        <f t="array" aca="1" ref="AV72" ca="1">INDIRECT(ADDRESS($B72,AV$49+$A72,1,1,$D72))</f>
        <v>0</v>
      </c>
      <c r="AW72" s="1" cm="1">
        <f t="array" aca="1" ref="AW72" ca="1">INDIRECT(ADDRESS($B72,AW$49+$A72,1,1,$D72))</f>
        <v>1</v>
      </c>
      <c r="AX72" s="1" cm="1">
        <f t="array" aca="1" ref="AX72" ca="1">INDIRECT(ADDRESS($B72,AX$49+$A72,1,1,$D72))</f>
        <v>1</v>
      </c>
      <c r="AY72" s="1" cm="1">
        <f t="array" aca="1" ref="AY72" ca="1">INDIRECT(ADDRESS($B72,AY$49+$A72,1,1,$D72))</f>
        <v>1</v>
      </c>
      <c r="AZ72" s="1" cm="1">
        <f t="array" aca="1" ref="AZ72" ca="1">INDIRECT(ADDRESS($B72,AZ$49+$A72,1,1,$D72))</f>
        <v>1</v>
      </c>
      <c r="BA72" s="1" cm="1">
        <f t="array" aca="1" ref="BA72" ca="1">INDIRECT(ADDRESS($B72,BA$49+$A72,1,1,$D72))</f>
        <v>1</v>
      </c>
      <c r="BB72" s="1" cm="1">
        <f t="array" aca="1" ref="BB72" ca="1">INDIRECT(ADDRESS($B72,BB$49+$A72,1,1,$D72))</f>
        <v>1</v>
      </c>
      <c r="BC72" s="1" cm="1">
        <f t="array" aca="1" ref="BC72" ca="1">INDIRECT(ADDRESS($B72,BC$49+$A72,1,1,$D72))</f>
        <v>1</v>
      </c>
      <c r="BD72" s="1" cm="1">
        <f t="array" aca="1" ref="BD72" ca="1">INDIRECT(ADDRESS($B72,BD$49+$A72,1,1,$D72))</f>
        <v>2</v>
      </c>
      <c r="BE72" s="1" cm="1">
        <f t="array" aca="1" ref="BE72" ca="1">INDIRECT(ADDRESS($B72,BE$49+$A72,1,1,$D72))</f>
        <v>3</v>
      </c>
      <c r="BF72" s="1" cm="1">
        <f t="array" aca="1" ref="BF72" ca="1">INDIRECT(ADDRESS($B72,BF$49+$A72,1,1,$D72))</f>
        <v>4</v>
      </c>
      <c r="BG72" s="1" cm="1">
        <f t="array" aca="1" ref="BG72" ca="1">INDIRECT(ADDRESS($B72,BG$49+$A72,1,1,$D72))</f>
        <v>5</v>
      </c>
      <c r="BH72" s="1" cm="1">
        <f t="array" aca="1" ref="BH72" ca="1">INDIRECT(ADDRESS($B72,BH$49+$A72,1,1,$D72))</f>
        <v>5</v>
      </c>
      <c r="BI72" s="1" cm="1">
        <f t="array" aca="1" ref="BI72" ca="1">INDIRECT(ADDRESS($B72,BI$49+$A72,1,1,$D72))</f>
        <v>5</v>
      </c>
      <c r="BJ72" s="1" cm="1">
        <f t="array" aca="1" ref="BJ72" ca="1">INDIRECT(ADDRESS($B72,BJ$49+$A72,1,1,$D72))</f>
        <v>7</v>
      </c>
      <c r="BK72" s="1" cm="1">
        <f t="array" aca="1" ref="BK72" ca="1">INDIRECT(ADDRESS($B72,BK$49+$A72,1,1,$D72))</f>
        <v>12</v>
      </c>
      <c r="BL72" s="1" cm="1">
        <f t="array" aca="1" ref="BL72" ca="1">INDIRECT(ADDRESS($B72,BL$49+$A72,1,1,$D72))</f>
        <v>15</v>
      </c>
      <c r="BM72" s="1" cm="1">
        <f t="array" aca="1" ref="BM72" ca="1">INDIRECT(ADDRESS($B72,BM$49+$A72,1,1,$D72))</f>
        <v>16</v>
      </c>
      <c r="BN72" s="1" cm="1">
        <f t="array" aca="1" ref="BN72" ca="1">INDIRECT(ADDRESS($B72,BN$49+$A72,1,1,$D72))</f>
        <v>17</v>
      </c>
      <c r="BO72" s="1" cm="1">
        <f t="array" aca="1" ref="BO72" ca="1">INDIRECT(ADDRESS($B72,BO$49+$A72,1,1,$D72))</f>
        <v>0</v>
      </c>
      <c r="BP72" s="1" cm="1">
        <f t="array" aca="1" ref="BP72" ca="1">INDIRECT(ADDRESS($B72,BP$49+$A72,1,1,$D72))</f>
        <v>0</v>
      </c>
      <c r="BQ72" s="1" cm="1">
        <f t="array" aca="1" ref="BQ72" ca="1">INDIRECT(ADDRESS($B72,BQ$49+$A72,1,1,$D72))</f>
        <v>0</v>
      </c>
      <c r="BR72" s="1" cm="1">
        <f t="array" aca="1" ref="BR72" ca="1">INDIRECT(ADDRESS($B72,BR$49+$A72,1,1,$D72))</f>
        <v>0</v>
      </c>
      <c r="BS72" s="1" cm="1">
        <f t="array" aca="1" ref="BS72" ca="1">INDIRECT(ADDRESS($B72,BS$49+$A72,1,1,$D72))</f>
        <v>0</v>
      </c>
      <c r="BT72" s="1" cm="1">
        <f t="array" aca="1" ref="BT72" ca="1">INDIRECT(ADDRESS($B72,BT$49+$A72,1,1,$D72))</f>
        <v>0</v>
      </c>
      <c r="BU72" s="1" cm="1">
        <f t="array" aca="1" ref="BU72" ca="1">INDIRECT(ADDRESS($B72,BU$49+$A72,1,1,$D72))</f>
        <v>0</v>
      </c>
      <c r="BV72" s="1" cm="1">
        <f t="array" aca="1" ref="BV72" ca="1">INDIRECT(ADDRESS($B72,BV$49+$A72,1,1,$D72))</f>
        <v>0</v>
      </c>
    </row>
    <row r="73" spans="1:74" x14ac:dyDescent="0.25">
      <c r="A73">
        <v>8</v>
      </c>
      <c r="B73">
        <f ca="1">MATCH($C73,INDIRECT("'"&amp;$C$87&amp;"'!A:A"),0)</f>
        <v>8</v>
      </c>
      <c r="C73" s="1" t="str">
        <f t="shared" si="4"/>
        <v>Switzerland Berne</v>
      </c>
      <c r="D73" t="str">
        <f>D72</f>
        <v>Deaths</v>
      </c>
      <c r="E73" s="1" cm="1">
        <f t="array" aca="1" ref="E73" ca="1">INDIRECT(ADDRESS($B73,E$49+$A73,1,1,$D73))</f>
        <v>0</v>
      </c>
      <c r="F73" s="1" cm="1">
        <f t="array" aca="1" ref="F73" ca="1">INDIRECT(ADDRESS($B73,F$49+$A73,1,1,$D73))</f>
        <v>0</v>
      </c>
      <c r="G73" s="1" cm="1">
        <f t="array" aca="1" ref="G73" ca="1">INDIRECT(ADDRESS($B73,G$49+$A73,1,1,$D73))</f>
        <v>0</v>
      </c>
      <c r="H73" s="1" cm="1">
        <f t="array" aca="1" ref="H73" ca="1">INDIRECT(ADDRESS($B73,H$49+$A73,1,1,$D73))</f>
        <v>0</v>
      </c>
      <c r="I73" s="1" cm="1">
        <f t="array" aca="1" ref="I73" ca="1">INDIRECT(ADDRESS($B73,I$49+$A73,1,1,$D73))</f>
        <v>0</v>
      </c>
      <c r="J73" s="1" cm="1">
        <f t="array" aca="1" ref="J73" ca="1">INDIRECT(ADDRESS($B73,J$49+$A73,1,1,$D73))</f>
        <v>0</v>
      </c>
      <c r="K73" s="1" cm="1">
        <f t="array" aca="1" ref="K73" ca="1">INDIRECT(ADDRESS($B73,K$49+$A73,1,1,$D73))</f>
        <v>0</v>
      </c>
      <c r="L73" s="1" cm="1">
        <f t="array" aca="1" ref="L73" ca="1">INDIRECT(ADDRESS($B73,L$49+$A73,1,1,$D73))</f>
        <v>0</v>
      </c>
      <c r="M73" s="1" cm="1">
        <f t="array" aca="1" ref="M73" ca="1">INDIRECT(ADDRESS($B73,M$49+$A73,1,1,$D73))</f>
        <v>0</v>
      </c>
      <c r="N73" s="1" cm="1">
        <f t="array" aca="1" ref="N73" ca="1">INDIRECT(ADDRESS($B73,N$49+$A73,1,1,$D73))</f>
        <v>0</v>
      </c>
      <c r="O73" s="1" cm="1">
        <f t="array" aca="1" ref="O73" ca="1">INDIRECT(ADDRESS($B73,O$49+$A73,1,1,$D73))</f>
        <v>0</v>
      </c>
      <c r="P73" s="1" cm="1">
        <f t="array" aca="1" ref="P73" ca="1">INDIRECT(ADDRESS($B73,P$49+$A73,1,1,$D73))</f>
        <v>0</v>
      </c>
      <c r="Q73" s="1" cm="1">
        <f t="array" aca="1" ref="Q73" ca="1">INDIRECT(ADDRESS($B73,Q$49+$A73,1,1,$D73))</f>
        <v>0</v>
      </c>
      <c r="R73" s="1" cm="1">
        <f t="array" aca="1" ref="R73" ca="1">INDIRECT(ADDRESS($B73,R$49+$A73,1,1,$D73))</f>
        <v>0</v>
      </c>
      <c r="S73" s="1" cm="1">
        <f t="array" aca="1" ref="S73" ca="1">INDIRECT(ADDRESS($B73,S$49+$A73,1,1,$D73))</f>
        <v>0</v>
      </c>
      <c r="T73" s="1" cm="1">
        <f t="array" aca="1" ref="T73" ca="1">INDIRECT(ADDRESS($B73,T$49+$A73,1,1,$D73))</f>
        <v>0</v>
      </c>
      <c r="U73" s="1" cm="1">
        <f t="array" aca="1" ref="U73" ca="1">INDIRECT(ADDRESS($B73,U$49+$A73,1,1,$D73))</f>
        <v>0</v>
      </c>
      <c r="V73" s="1" cm="1">
        <f t="array" aca="1" ref="V73" ca="1">INDIRECT(ADDRESS($B73,V$49+$A73,1,1,$D73))</f>
        <v>0</v>
      </c>
      <c r="W73" s="1" cm="1">
        <f t="array" aca="1" ref="W73" ca="1">INDIRECT(ADDRESS($B73,W$49+$A73,1,1,$D73))</f>
        <v>0</v>
      </c>
      <c r="X73" s="1" cm="1">
        <f t="array" aca="1" ref="X73" ca="1">INDIRECT(ADDRESS($B73,X$49+$A73,1,1,$D73))</f>
        <v>0</v>
      </c>
      <c r="Y73" s="1" cm="1">
        <f t="array" aca="1" ref="Y73" ca="1">INDIRECT(ADDRESS($B73,Y$49+$A73,1,1,$D73))</f>
        <v>0</v>
      </c>
      <c r="Z73" s="1" cm="1">
        <f t="array" aca="1" ref="Z73" ca="1">INDIRECT(ADDRESS($B73,Z$49+$A73,1,1,$D73))</f>
        <v>0</v>
      </c>
      <c r="AA73" s="1" cm="1">
        <f t="array" aca="1" ref="AA73" ca="1">INDIRECT(ADDRESS($B73,AA$49+$A73,1,1,$D73))</f>
        <v>0</v>
      </c>
      <c r="AB73" s="1" cm="1">
        <f t="array" aca="1" ref="AB73" ca="1">INDIRECT(ADDRESS($B73,AB$49+$A73,1,1,$D73))</f>
        <v>0</v>
      </c>
      <c r="AC73" s="1" cm="1">
        <f t="array" aca="1" ref="AC73" ca="1">INDIRECT(ADDRESS($B73,AC$49+$A73,1,1,$D73))</f>
        <v>0</v>
      </c>
      <c r="AD73" s="1" cm="1">
        <f t="array" aca="1" ref="AD73" ca="1">INDIRECT(ADDRESS($B73,AD$49+$A73,1,1,$D73))</f>
        <v>0</v>
      </c>
      <c r="AE73" s="1" cm="1">
        <f t="array" aca="1" ref="AE73" ca="1">INDIRECT(ADDRESS($B73,AE$49+$A73,1,1,$D73))</f>
        <v>0</v>
      </c>
      <c r="AF73" s="1" cm="1">
        <f t="array" aca="1" ref="AF73" ca="1">INDIRECT(ADDRESS($B73,AF$49+$A73,1,1,$D73))</f>
        <v>0</v>
      </c>
      <c r="AG73" s="1" cm="1">
        <f t="array" aca="1" ref="AG73" ca="1">INDIRECT(ADDRESS($B73,AG$49+$A73,1,1,$D73))</f>
        <v>0</v>
      </c>
      <c r="AH73" s="1" cm="1">
        <f t="array" aca="1" ref="AH73" ca="1">INDIRECT(ADDRESS($B73,AH$49+$A73,1,1,$D73))</f>
        <v>0</v>
      </c>
      <c r="AI73" s="1" cm="1">
        <f t="array" aca="1" ref="AI73" ca="1">INDIRECT(ADDRESS($B73,AI$49+$A73,1,1,$D73))</f>
        <v>0</v>
      </c>
      <c r="AJ73" s="1" cm="1">
        <f t="array" aca="1" ref="AJ73" ca="1">INDIRECT(ADDRESS($B73,AJ$49+$A73,1,1,$D73))</f>
        <v>0</v>
      </c>
      <c r="AK73" s="1" cm="1">
        <f t="array" aca="1" ref="AK73" ca="1">INDIRECT(ADDRESS($B73,AK$49+$A73,1,1,$D73))</f>
        <v>0</v>
      </c>
      <c r="AL73" s="1" cm="1">
        <f t="array" aca="1" ref="AL73" ca="1">INDIRECT(ADDRESS($B73,AL$49+$A73,1,1,$D73))</f>
        <v>0</v>
      </c>
      <c r="AM73" s="1" cm="1">
        <f t="array" aca="1" ref="AM73" ca="1">INDIRECT(ADDRESS($B73,AM$49+$A73,1,1,$D73))</f>
        <v>0</v>
      </c>
      <c r="AN73" s="1" cm="1">
        <f t="array" aca="1" ref="AN73" ca="1">INDIRECT(ADDRESS($B73,AN$49+$A73,1,1,$D73))</f>
        <v>0</v>
      </c>
      <c r="AO73" s="1" cm="1">
        <f t="array" aca="1" ref="AO73" ca="1">INDIRECT(ADDRESS($B73,AO$49+$A73,1,1,$D73))</f>
        <v>0</v>
      </c>
      <c r="AP73" s="1" cm="1">
        <f t="array" aca="1" ref="AP73" ca="1">INDIRECT(ADDRESS($B73,AP$49+$A73,1,1,$D73))</f>
        <v>0</v>
      </c>
      <c r="AQ73" s="1" cm="1">
        <f t="array" aca="1" ref="AQ73" ca="1">INDIRECT(ADDRESS($B73,AQ$49+$A73,1,1,$D73))</f>
        <v>0</v>
      </c>
      <c r="AR73" s="1" cm="1">
        <f t="array" aca="1" ref="AR73" ca="1">INDIRECT(ADDRESS($B73,AR$49+$A73,1,1,$D73))</f>
        <v>0</v>
      </c>
      <c r="AS73" s="1" cm="1">
        <f t="array" aca="1" ref="AS73" ca="1">INDIRECT(ADDRESS($B73,AS$49+$A73,1,1,$D73))</f>
        <v>0</v>
      </c>
      <c r="AT73" s="1" cm="1">
        <f t="array" aca="1" ref="AT73" ca="1">INDIRECT(ADDRESS($B73,AT$49+$A73,1,1,$D73))</f>
        <v>0</v>
      </c>
      <c r="AU73" s="1" cm="1">
        <f t="array" aca="1" ref="AU73" ca="1">INDIRECT(ADDRESS($B73,AU$49+$A73,1,1,$D73))</f>
        <v>0</v>
      </c>
      <c r="AV73" s="1" cm="1">
        <f t="array" aca="1" ref="AV73" ca="1">INDIRECT(ADDRESS($B73,AV$49+$A73,1,1,$D73))</f>
        <v>0</v>
      </c>
      <c r="AW73" s="1" cm="1">
        <f t="array" aca="1" ref="AW73" ca="1">INDIRECT(ADDRESS($B73,AW$49+$A73,1,1,$D73))</f>
        <v>0</v>
      </c>
      <c r="AX73" s="1" cm="1">
        <f t="array" aca="1" ref="AX73" ca="1">INDIRECT(ADDRESS($B73,AX$49+$A73,1,1,$D73))</f>
        <v>0</v>
      </c>
      <c r="AY73" s="1" cm="1">
        <f t="array" aca="1" ref="AY73" ca="1">INDIRECT(ADDRESS($B73,AY$49+$A73,1,1,$D73))</f>
        <v>0</v>
      </c>
      <c r="AZ73" s="1" cm="1">
        <f t="array" aca="1" ref="AZ73" ca="1">INDIRECT(ADDRESS($B73,AZ$49+$A73,1,1,$D73))</f>
        <v>0</v>
      </c>
      <c r="BA73" s="1" cm="1">
        <f t="array" aca="1" ref="BA73" ca="1">INDIRECT(ADDRESS($B73,BA$49+$A73,1,1,$D73))</f>
        <v>0</v>
      </c>
      <c r="BB73" s="1" cm="1">
        <f t="array" aca="1" ref="BB73" ca="1">INDIRECT(ADDRESS($B73,BB$49+$A73,1,1,$D73))</f>
        <v>0</v>
      </c>
      <c r="BC73" s="1" cm="1">
        <f t="array" aca="1" ref="BC73" ca="1">INDIRECT(ADDRESS($B73,BC$49+$A73,1,1,$D73))</f>
        <v>0</v>
      </c>
      <c r="BD73" s="1" cm="1">
        <f t="array" aca="1" ref="BD73" ca="1">INDIRECT(ADDRESS($B73,BD$49+$A73,1,1,$D73))</f>
        <v>0</v>
      </c>
      <c r="BE73" s="1" cm="1">
        <f t="array" aca="1" ref="BE73" ca="1">INDIRECT(ADDRESS($B73,BE$49+$A73,1,1,$D73))</f>
        <v>0</v>
      </c>
      <c r="BF73" s="1" cm="1">
        <f t="array" aca="1" ref="BF73" ca="1">INDIRECT(ADDRESS($B73,BF$49+$A73,1,1,$D73))</f>
        <v>0</v>
      </c>
      <c r="BG73" s="1" cm="1">
        <f t="array" aca="1" ref="BG73" ca="1">INDIRECT(ADDRESS($B73,BG$49+$A73,1,1,$D73))</f>
        <v>1</v>
      </c>
      <c r="BH73" s="1" cm="1">
        <f t="array" aca="1" ref="BH73" ca="1">INDIRECT(ADDRESS($B73,BH$49+$A73,1,1,$D73))</f>
        <v>1</v>
      </c>
      <c r="BI73" s="1" cm="1">
        <f t="array" aca="1" ref="BI73" ca="1">INDIRECT(ADDRESS($B73,BI$49+$A73,1,1,$D73))</f>
        <v>1</v>
      </c>
      <c r="BJ73" s="1" cm="1">
        <f t="array" aca="1" ref="BJ73" ca="1">INDIRECT(ADDRESS($B73,BJ$49+$A73,1,1,$D73))</f>
        <v>1</v>
      </c>
      <c r="BK73" s="1" cm="1">
        <f t="array" aca="1" ref="BK73" ca="1">INDIRECT(ADDRESS($B73,BK$49+$A73,1,1,$D73))</f>
        <v>2</v>
      </c>
      <c r="BL73" s="1" cm="1">
        <f t="array" aca="1" ref="BL73" ca="1">INDIRECT(ADDRESS($B73,BL$49+$A73,1,1,$D73))</f>
        <v>3</v>
      </c>
      <c r="BM73" s="1" cm="1">
        <f t="array" aca="1" ref="BM73" ca="1">INDIRECT(ADDRESS($B73,BM$49+$A73,1,1,$D73))</f>
        <v>3</v>
      </c>
      <c r="BN73" s="1" cm="1">
        <f t="array" aca="1" ref="BN73" ca="1">INDIRECT(ADDRESS($B73,BN$49+$A73,1,1,$D73))</f>
        <v>5</v>
      </c>
      <c r="BO73" s="1" cm="1">
        <f t="array" aca="1" ref="BO73" ca="1">INDIRECT(ADDRESS($B73,BO$49+$A73,1,1,$D73))</f>
        <v>0</v>
      </c>
      <c r="BP73" s="1" cm="1">
        <f t="array" aca="1" ref="BP73" ca="1">INDIRECT(ADDRESS($B73,BP$49+$A73,1,1,$D73))</f>
        <v>0</v>
      </c>
      <c r="BQ73" s="1" cm="1">
        <f t="array" aca="1" ref="BQ73" ca="1">INDIRECT(ADDRESS($B73,BQ$49+$A73,1,1,$D73))</f>
        <v>0</v>
      </c>
      <c r="BR73" s="1" cm="1">
        <f t="array" aca="1" ref="BR73" ca="1">INDIRECT(ADDRESS($B73,BR$49+$A73,1,1,$D73))</f>
        <v>0</v>
      </c>
      <c r="BS73" s="1" cm="1">
        <f t="array" aca="1" ref="BS73" ca="1">INDIRECT(ADDRESS($B73,BS$49+$A73,1,1,$D73))</f>
        <v>0</v>
      </c>
      <c r="BT73" s="1" cm="1">
        <f t="array" aca="1" ref="BT73" ca="1">INDIRECT(ADDRESS($B73,BT$49+$A73,1,1,$D73))</f>
        <v>0</v>
      </c>
      <c r="BU73" s="1" cm="1">
        <f t="array" aca="1" ref="BU73" ca="1">INDIRECT(ADDRESS($B73,BU$49+$A73,1,1,$D73))</f>
        <v>0</v>
      </c>
      <c r="BV73" s="1" cm="1">
        <f t="array" aca="1" ref="BV73" ca="1">INDIRECT(ADDRESS($B73,BV$49+$A73,1,1,$D73))</f>
        <v>0</v>
      </c>
    </row>
    <row r="74" spans="1:7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C75" s="4" t="s">
        <v>143</v>
      </c>
      <c r="D75" s="4"/>
      <c r="E75" s="5" t="str">
        <f t="shared" ref="E75:AJ75" ca="1" si="5">E51</f>
        <v>2020-01-22</v>
      </c>
      <c r="F75" s="5" t="str">
        <f t="shared" ca="1" si="5"/>
        <v>2020-01-23</v>
      </c>
      <c r="G75" s="5" t="str">
        <f t="shared" ca="1" si="5"/>
        <v>2020-01-24</v>
      </c>
      <c r="H75" s="5" t="str">
        <f t="shared" ca="1" si="5"/>
        <v>2020-01-25</v>
      </c>
      <c r="I75" s="5" t="str">
        <f t="shared" ca="1" si="5"/>
        <v>2020-01-26</v>
      </c>
      <c r="J75" s="5" t="str">
        <f t="shared" ca="1" si="5"/>
        <v>2020-01-27</v>
      </c>
      <c r="K75" s="5" t="str">
        <f t="shared" ca="1" si="5"/>
        <v>2020-01-28</v>
      </c>
      <c r="L75" s="5" t="str">
        <f t="shared" ca="1" si="5"/>
        <v>2020-01-29</v>
      </c>
      <c r="M75" s="5" t="str">
        <f t="shared" ca="1" si="5"/>
        <v>2020-01-30</v>
      </c>
      <c r="N75" s="5" t="str">
        <f t="shared" ca="1" si="5"/>
        <v>2020-01-31</v>
      </c>
      <c r="O75" s="5" t="str">
        <f t="shared" ca="1" si="5"/>
        <v>2020-02-01</v>
      </c>
      <c r="P75" s="5" t="str">
        <f t="shared" ca="1" si="5"/>
        <v>2020-02-02</v>
      </c>
      <c r="Q75" s="5" t="str">
        <f t="shared" ca="1" si="5"/>
        <v>2020-02-03</v>
      </c>
      <c r="R75" s="5" t="str">
        <f t="shared" ca="1" si="5"/>
        <v>2020-02-04</v>
      </c>
      <c r="S75" s="5" t="str">
        <f t="shared" ca="1" si="5"/>
        <v>2020-02-05</v>
      </c>
      <c r="T75" s="5" t="str">
        <f t="shared" ca="1" si="5"/>
        <v>2020-02-06</v>
      </c>
      <c r="U75" s="5" t="str">
        <f t="shared" ca="1" si="5"/>
        <v>2020-02-07</v>
      </c>
      <c r="V75" s="5" t="str">
        <f t="shared" ca="1" si="5"/>
        <v>2020-02-08</v>
      </c>
      <c r="W75" s="5" t="str">
        <f t="shared" ca="1" si="5"/>
        <v>2020-02-09</v>
      </c>
      <c r="X75" s="5" t="str">
        <f t="shared" ca="1" si="5"/>
        <v>2020-02-10</v>
      </c>
      <c r="Y75" s="5" t="str">
        <f t="shared" ca="1" si="5"/>
        <v>2020-02-11</v>
      </c>
      <c r="Z75" s="5" t="str">
        <f t="shared" ca="1" si="5"/>
        <v>2020-02-12</v>
      </c>
      <c r="AA75" s="5" t="str">
        <f t="shared" ca="1" si="5"/>
        <v>2020-02-13</v>
      </c>
      <c r="AB75" s="5" t="str">
        <f t="shared" ca="1" si="5"/>
        <v>2020-02-14</v>
      </c>
      <c r="AC75" s="5" t="str">
        <f t="shared" ca="1" si="5"/>
        <v>2020-02-15</v>
      </c>
      <c r="AD75" s="5" t="str">
        <f t="shared" ca="1" si="5"/>
        <v>2020-02-16</v>
      </c>
      <c r="AE75" s="5" t="str">
        <f t="shared" ca="1" si="5"/>
        <v>2020-02-17</v>
      </c>
      <c r="AF75" s="5" t="str">
        <f t="shared" ca="1" si="5"/>
        <v>2020-02-18</v>
      </c>
      <c r="AG75" s="5" t="str">
        <f t="shared" ca="1" si="5"/>
        <v>2020-02-19</v>
      </c>
      <c r="AH75" s="5" t="str">
        <f t="shared" ca="1" si="5"/>
        <v>2020-02-20</v>
      </c>
      <c r="AI75" s="5" t="str">
        <f t="shared" ca="1" si="5"/>
        <v>2020-02-21</v>
      </c>
      <c r="AJ75" s="5" t="str">
        <f t="shared" ca="1" si="5"/>
        <v>2020-02-22</v>
      </c>
      <c r="AK75" s="5" t="str">
        <f t="shared" ref="AK75:BP75" ca="1" si="6">AK51</f>
        <v>2020-02-23</v>
      </c>
      <c r="AL75" s="5" t="str">
        <f t="shared" ca="1" si="6"/>
        <v>2020-02-24</v>
      </c>
      <c r="AM75" s="5" t="str">
        <f t="shared" ca="1" si="6"/>
        <v>2020-02-25</v>
      </c>
      <c r="AN75" s="5" t="str">
        <f t="shared" ca="1" si="6"/>
        <v>2020-02-26</v>
      </c>
      <c r="AO75" s="5" t="str">
        <f t="shared" ca="1" si="6"/>
        <v>2020-02-27</v>
      </c>
      <c r="AP75" s="5" t="str">
        <f t="shared" ca="1" si="6"/>
        <v>2020-02-28</v>
      </c>
      <c r="AQ75" s="5" t="str">
        <f t="shared" ca="1" si="6"/>
        <v>2020-02-29</v>
      </c>
      <c r="AR75" s="5" t="str">
        <f t="shared" ca="1" si="6"/>
        <v>2020-03-01</v>
      </c>
      <c r="AS75" s="5" t="str">
        <f t="shared" ca="1" si="6"/>
        <v>2020-03-02</v>
      </c>
      <c r="AT75" s="5" t="str">
        <f t="shared" ca="1" si="6"/>
        <v>2020-03-03</v>
      </c>
      <c r="AU75" s="5" t="str">
        <f t="shared" ca="1" si="6"/>
        <v>2020-03-04</v>
      </c>
      <c r="AV75" s="5" t="str">
        <f t="shared" ca="1" si="6"/>
        <v>2020-03-05</v>
      </c>
      <c r="AW75" s="5" t="str">
        <f t="shared" ca="1" si="6"/>
        <v>2020-03-06</v>
      </c>
      <c r="AX75" s="5" t="str">
        <f t="shared" ca="1" si="6"/>
        <v>2020-03-07</v>
      </c>
      <c r="AY75" s="5" t="str">
        <f t="shared" ca="1" si="6"/>
        <v>2020-03-08</v>
      </c>
      <c r="AZ75" s="5" t="str">
        <f t="shared" ca="1" si="6"/>
        <v>2020-03-09</v>
      </c>
      <c r="BA75" s="5" t="str">
        <f t="shared" ca="1" si="6"/>
        <v>2020-03-10</v>
      </c>
      <c r="BB75" s="5" t="str">
        <f t="shared" ca="1" si="6"/>
        <v>2020-03-11</v>
      </c>
      <c r="BC75" s="5" t="str">
        <f t="shared" ca="1" si="6"/>
        <v>2020-03-12</v>
      </c>
      <c r="BD75" s="5" t="str">
        <f t="shared" ca="1" si="6"/>
        <v>2020-03-13</v>
      </c>
      <c r="BE75" s="5" t="str">
        <f t="shared" ca="1" si="6"/>
        <v>2020-03-14</v>
      </c>
      <c r="BF75" s="5" t="str">
        <f t="shared" ca="1" si="6"/>
        <v>2020-03-15</v>
      </c>
      <c r="BG75" s="5" t="str">
        <f t="shared" ca="1" si="6"/>
        <v>2020-03-16</v>
      </c>
      <c r="BH75" s="5" t="str">
        <f t="shared" ca="1" si="6"/>
        <v>2020-03-17</v>
      </c>
      <c r="BI75" s="5" t="str">
        <f t="shared" ca="1" si="6"/>
        <v>2020-03-18</v>
      </c>
      <c r="BJ75" s="5" t="str">
        <f t="shared" ca="1" si="6"/>
        <v>2020-03-19</v>
      </c>
      <c r="BK75" s="5" t="str">
        <f t="shared" ca="1" si="6"/>
        <v>2020-03-20</v>
      </c>
      <c r="BL75" s="5" t="str">
        <f t="shared" ca="1" si="6"/>
        <v>2020-03-21</v>
      </c>
      <c r="BM75" s="5" t="str">
        <f t="shared" ca="1" si="6"/>
        <v>2020-03-22</v>
      </c>
      <c r="BN75" s="5" t="str">
        <f t="shared" ca="1" si="6"/>
        <v>2020-03-23</v>
      </c>
      <c r="BO75" s="5">
        <f t="shared" ca="1" si="6"/>
        <v>0</v>
      </c>
      <c r="BP75" s="5">
        <f t="shared" ca="1" si="6"/>
        <v>0</v>
      </c>
      <c r="BQ75" s="5">
        <f t="shared" ref="BQ75:BV75" ca="1" si="7">BQ51</f>
        <v>0</v>
      </c>
      <c r="BR75" s="5">
        <f t="shared" ca="1" si="7"/>
        <v>0</v>
      </c>
      <c r="BS75" s="5">
        <f t="shared" ca="1" si="7"/>
        <v>0</v>
      </c>
      <c r="BT75" s="5">
        <f t="shared" ca="1" si="7"/>
        <v>0</v>
      </c>
      <c r="BU75" s="5">
        <f t="shared" ca="1" si="7"/>
        <v>0</v>
      </c>
      <c r="BV75" s="5">
        <f t="shared" ca="1" si="7"/>
        <v>0</v>
      </c>
    </row>
    <row r="76" spans="1:74" x14ac:dyDescent="0.25">
      <c r="C76" s="1" t="str">
        <f>C8</f>
        <v>Switzerland Ticino</v>
      </c>
      <c r="D76" t="str">
        <f>C75</f>
        <v>Presently ill</v>
      </c>
      <c r="E76" s="1">
        <f t="shared" ref="E76:AJ76" ca="1" si="8">E52-E64-E70</f>
        <v>0</v>
      </c>
      <c r="F76" s="1">
        <f t="shared" ca="1" si="8"/>
        <v>0</v>
      </c>
      <c r="G76" s="1">
        <f t="shared" ca="1" si="8"/>
        <v>0</v>
      </c>
      <c r="H76" s="1">
        <f t="shared" ca="1" si="8"/>
        <v>0</v>
      </c>
      <c r="I76" s="1">
        <f t="shared" ca="1" si="8"/>
        <v>0</v>
      </c>
      <c r="J76" s="1">
        <f t="shared" ca="1" si="8"/>
        <v>0</v>
      </c>
      <c r="K76" s="1">
        <f t="shared" ca="1" si="8"/>
        <v>0</v>
      </c>
      <c r="L76" s="1">
        <f t="shared" ca="1" si="8"/>
        <v>0</v>
      </c>
      <c r="M76" s="1">
        <f t="shared" ca="1" si="8"/>
        <v>0</v>
      </c>
      <c r="N76" s="1">
        <f t="shared" ca="1" si="8"/>
        <v>0</v>
      </c>
      <c r="O76" s="1">
        <f t="shared" ca="1" si="8"/>
        <v>0</v>
      </c>
      <c r="P76" s="1">
        <f t="shared" ca="1" si="8"/>
        <v>0</v>
      </c>
      <c r="Q76" s="1">
        <f t="shared" ca="1" si="8"/>
        <v>0</v>
      </c>
      <c r="R76" s="1">
        <f t="shared" ca="1" si="8"/>
        <v>0</v>
      </c>
      <c r="S76" s="1">
        <f t="shared" ca="1" si="8"/>
        <v>0</v>
      </c>
      <c r="T76" s="1">
        <f t="shared" ca="1" si="8"/>
        <v>0</v>
      </c>
      <c r="U76" s="1">
        <f t="shared" ca="1" si="8"/>
        <v>0</v>
      </c>
      <c r="V76" s="1">
        <f t="shared" ca="1" si="8"/>
        <v>0</v>
      </c>
      <c r="W76" s="1">
        <f t="shared" ca="1" si="8"/>
        <v>0</v>
      </c>
      <c r="X76" s="1">
        <f t="shared" ca="1" si="8"/>
        <v>0</v>
      </c>
      <c r="Y76" s="1">
        <f t="shared" ca="1" si="8"/>
        <v>0</v>
      </c>
      <c r="Z76" s="1">
        <f t="shared" ca="1" si="8"/>
        <v>0</v>
      </c>
      <c r="AA76" s="1">
        <f t="shared" ca="1" si="8"/>
        <v>0</v>
      </c>
      <c r="AB76" s="1">
        <f t="shared" ca="1" si="8"/>
        <v>0</v>
      </c>
      <c r="AC76" s="1">
        <f t="shared" ca="1" si="8"/>
        <v>0</v>
      </c>
      <c r="AD76" s="1">
        <f t="shared" ca="1" si="8"/>
        <v>0</v>
      </c>
      <c r="AE76" s="1">
        <f t="shared" ca="1" si="8"/>
        <v>0</v>
      </c>
      <c r="AF76" s="1">
        <f t="shared" ca="1" si="8"/>
        <v>0</v>
      </c>
      <c r="AG76" s="1">
        <f t="shared" ca="1" si="8"/>
        <v>0</v>
      </c>
      <c r="AH76" s="1">
        <f t="shared" ca="1" si="8"/>
        <v>0</v>
      </c>
      <c r="AI76" s="1">
        <f t="shared" ca="1" si="8"/>
        <v>0</v>
      </c>
      <c r="AJ76" s="1">
        <f t="shared" ca="1" si="8"/>
        <v>0</v>
      </c>
      <c r="AK76" s="1">
        <f t="shared" ref="AK76:BP76" ca="1" si="9">AK52-AK64-AK70</f>
        <v>0</v>
      </c>
      <c r="AL76" s="1">
        <f t="shared" ca="1" si="9"/>
        <v>0</v>
      </c>
      <c r="AM76" s="1">
        <f t="shared" ca="1" si="9"/>
        <v>1</v>
      </c>
      <c r="AN76" s="1">
        <f t="shared" ca="1" si="9"/>
        <v>1</v>
      </c>
      <c r="AO76" s="1">
        <f t="shared" ca="1" si="9"/>
        <v>1</v>
      </c>
      <c r="AP76" s="1">
        <f t="shared" ca="1" si="9"/>
        <v>1</v>
      </c>
      <c r="AQ76" s="1">
        <f t="shared" ca="1" si="9"/>
        <v>1</v>
      </c>
      <c r="AR76" s="1">
        <f t="shared" ca="1" si="9"/>
        <v>1</v>
      </c>
      <c r="AS76" s="1">
        <f t="shared" ca="1" si="9"/>
        <v>2</v>
      </c>
      <c r="AT76" s="1">
        <f t="shared" ca="1" si="9"/>
        <v>4</v>
      </c>
      <c r="AU76" s="1">
        <f t="shared" ca="1" si="9"/>
        <v>5</v>
      </c>
      <c r="AV76" s="1">
        <f t="shared" ca="1" si="9"/>
        <v>5</v>
      </c>
      <c r="AW76" s="1">
        <f t="shared" ca="1" si="9"/>
        <v>5</v>
      </c>
      <c r="AX76" s="1">
        <f t="shared" ca="1" si="9"/>
        <v>5</v>
      </c>
      <c r="AY76" s="1">
        <f t="shared" ca="1" si="9"/>
        <v>5</v>
      </c>
      <c r="AZ76" s="1">
        <f t="shared" ca="1" si="9"/>
        <v>5</v>
      </c>
      <c r="BA76" s="1">
        <f t="shared" ca="1" si="9"/>
        <v>4</v>
      </c>
      <c r="BB76" s="1">
        <f t="shared" ca="1" si="9"/>
        <v>4</v>
      </c>
      <c r="BC76" s="1">
        <f t="shared" ca="1" si="9"/>
        <v>179</v>
      </c>
      <c r="BD76" s="1">
        <f t="shared" ca="1" si="9"/>
        <v>257</v>
      </c>
      <c r="BE76" s="1">
        <f t="shared" ca="1" si="9"/>
        <v>262</v>
      </c>
      <c r="BF76" s="1">
        <f t="shared" ca="1" si="9"/>
        <v>285</v>
      </c>
      <c r="BG76" s="1">
        <f t="shared" ca="1" si="9"/>
        <v>322</v>
      </c>
      <c r="BH76" s="1">
        <f t="shared" ca="1" si="9"/>
        <v>412</v>
      </c>
      <c r="BI76" s="1">
        <f t="shared" ca="1" si="9"/>
        <v>497</v>
      </c>
      <c r="BJ76" s="1">
        <f t="shared" ca="1" si="9"/>
        <v>623</v>
      </c>
      <c r="BK76" s="1">
        <f t="shared" ca="1" si="9"/>
        <v>812</v>
      </c>
      <c r="BL76" s="1">
        <f t="shared" ca="1" si="9"/>
        <v>890</v>
      </c>
      <c r="BM76" s="1">
        <f t="shared" ca="1" si="9"/>
        <v>902</v>
      </c>
      <c r="BN76" s="1">
        <f t="shared" ca="1" si="9"/>
        <v>1117</v>
      </c>
      <c r="BO76" s="1">
        <f t="shared" ca="1" si="9"/>
        <v>0</v>
      </c>
      <c r="BP76" s="1">
        <f t="shared" ca="1" si="9"/>
        <v>0</v>
      </c>
      <c r="BQ76" s="1">
        <f t="shared" ref="BQ76:BV76" ca="1" si="10">BQ52-BQ64-BQ70</f>
        <v>0</v>
      </c>
      <c r="BR76" s="1">
        <f t="shared" ca="1" si="10"/>
        <v>0</v>
      </c>
      <c r="BS76" s="1">
        <f t="shared" ca="1" si="10"/>
        <v>0</v>
      </c>
      <c r="BT76" s="1">
        <f t="shared" ca="1" si="10"/>
        <v>0</v>
      </c>
      <c r="BU76" s="1">
        <f t="shared" ca="1" si="10"/>
        <v>0</v>
      </c>
      <c r="BV76" s="1">
        <f t="shared" ca="1" si="10"/>
        <v>0</v>
      </c>
    </row>
    <row r="77" spans="1:74" x14ac:dyDescent="0.25">
      <c r="C77" s="1" t="str">
        <f>C9</f>
        <v>Switzerland Zurich</v>
      </c>
      <c r="D77" t="str">
        <f>D76</f>
        <v>Presently ill</v>
      </c>
      <c r="E77" s="1">
        <f t="shared" ref="E77:AJ77" ca="1" si="11">E53-E65-E71</f>
        <v>0</v>
      </c>
      <c r="F77" s="1">
        <f t="shared" ca="1" si="11"/>
        <v>0</v>
      </c>
      <c r="G77" s="1">
        <f t="shared" ca="1" si="11"/>
        <v>0</v>
      </c>
      <c r="H77" s="1">
        <f t="shared" ca="1" si="11"/>
        <v>0</v>
      </c>
      <c r="I77" s="1">
        <f t="shared" ca="1" si="11"/>
        <v>0</v>
      </c>
      <c r="J77" s="1">
        <f t="shared" ca="1" si="11"/>
        <v>0</v>
      </c>
      <c r="K77" s="1">
        <f t="shared" ca="1" si="11"/>
        <v>0</v>
      </c>
      <c r="L77" s="1">
        <f t="shared" ca="1" si="11"/>
        <v>0</v>
      </c>
      <c r="M77" s="1">
        <f t="shared" ca="1" si="11"/>
        <v>0</v>
      </c>
      <c r="N77" s="1">
        <f t="shared" ca="1" si="11"/>
        <v>0</v>
      </c>
      <c r="O77" s="1">
        <f t="shared" ca="1" si="11"/>
        <v>0</v>
      </c>
      <c r="P77" s="1">
        <f t="shared" ca="1" si="11"/>
        <v>0</v>
      </c>
      <c r="Q77" s="1">
        <f t="shared" ca="1" si="11"/>
        <v>0</v>
      </c>
      <c r="R77" s="1">
        <f t="shared" ca="1" si="11"/>
        <v>0</v>
      </c>
      <c r="S77" s="1">
        <f t="shared" ca="1" si="11"/>
        <v>0</v>
      </c>
      <c r="T77" s="1">
        <f t="shared" ca="1" si="11"/>
        <v>0</v>
      </c>
      <c r="U77" s="1">
        <f t="shared" ca="1" si="11"/>
        <v>0</v>
      </c>
      <c r="V77" s="1">
        <f t="shared" ca="1" si="11"/>
        <v>0</v>
      </c>
      <c r="W77" s="1">
        <f t="shared" ca="1" si="11"/>
        <v>0</v>
      </c>
      <c r="X77" s="1">
        <f t="shared" ca="1" si="11"/>
        <v>0</v>
      </c>
      <c r="Y77" s="1">
        <f t="shared" ca="1" si="11"/>
        <v>0</v>
      </c>
      <c r="Z77" s="1">
        <f t="shared" ca="1" si="11"/>
        <v>0</v>
      </c>
      <c r="AA77" s="1">
        <f t="shared" ca="1" si="11"/>
        <v>0</v>
      </c>
      <c r="AB77" s="1">
        <f t="shared" ca="1" si="11"/>
        <v>0</v>
      </c>
      <c r="AC77" s="1">
        <f t="shared" ca="1" si="11"/>
        <v>0</v>
      </c>
      <c r="AD77" s="1">
        <f t="shared" ca="1" si="11"/>
        <v>0</v>
      </c>
      <c r="AE77" s="1">
        <f t="shared" ca="1" si="11"/>
        <v>0</v>
      </c>
      <c r="AF77" s="1">
        <f t="shared" ca="1" si="11"/>
        <v>0</v>
      </c>
      <c r="AG77" s="1">
        <f t="shared" ca="1" si="11"/>
        <v>0</v>
      </c>
      <c r="AH77" s="1">
        <f t="shared" ca="1" si="11"/>
        <v>0</v>
      </c>
      <c r="AI77" s="1">
        <f t="shared" ca="1" si="11"/>
        <v>0</v>
      </c>
      <c r="AJ77" s="1">
        <f t="shared" ca="1" si="11"/>
        <v>0</v>
      </c>
      <c r="AK77" s="1">
        <f t="shared" ref="AK77:BP77" ca="1" si="12">AK53-AK65-AK71</f>
        <v>0</v>
      </c>
      <c r="AL77" s="1">
        <f t="shared" ca="1" si="12"/>
        <v>0</v>
      </c>
      <c r="AM77" s="1">
        <f t="shared" ca="1" si="12"/>
        <v>0</v>
      </c>
      <c r="AN77" s="1">
        <f t="shared" ca="1" si="12"/>
        <v>0</v>
      </c>
      <c r="AO77" s="1">
        <f t="shared" ca="1" si="12"/>
        <v>1</v>
      </c>
      <c r="AP77" s="1">
        <f t="shared" ca="1" si="12"/>
        <v>2</v>
      </c>
      <c r="AQ77" s="1">
        <f t="shared" ca="1" si="12"/>
        <v>2</v>
      </c>
      <c r="AR77" s="1">
        <f t="shared" ca="1" si="12"/>
        <v>2</v>
      </c>
      <c r="AS77" s="1">
        <f t="shared" ca="1" si="12"/>
        <v>2</v>
      </c>
      <c r="AT77" s="1">
        <f t="shared" ca="1" si="12"/>
        <v>9</v>
      </c>
      <c r="AU77" s="1">
        <f t="shared" ca="1" si="12"/>
        <v>9</v>
      </c>
      <c r="AV77" s="1">
        <f t="shared" ca="1" si="12"/>
        <v>19</v>
      </c>
      <c r="AW77" s="1">
        <f t="shared" ca="1" si="12"/>
        <v>26</v>
      </c>
      <c r="AX77" s="1">
        <f t="shared" ca="1" si="12"/>
        <v>30</v>
      </c>
      <c r="AY77" s="1">
        <f t="shared" ca="1" si="12"/>
        <v>37</v>
      </c>
      <c r="AZ77" s="1">
        <f t="shared" ca="1" si="12"/>
        <v>40</v>
      </c>
      <c r="BA77" s="1">
        <f t="shared" ca="1" si="12"/>
        <v>49</v>
      </c>
      <c r="BB77" s="1">
        <f t="shared" ca="1" si="12"/>
        <v>59</v>
      </c>
      <c r="BC77" s="1">
        <f t="shared" ca="1" si="12"/>
        <v>91</v>
      </c>
      <c r="BD77" s="1">
        <f t="shared" ca="1" si="12"/>
        <v>138</v>
      </c>
      <c r="BE77" s="1">
        <f t="shared" ca="1" si="12"/>
        <v>138</v>
      </c>
      <c r="BF77" s="1">
        <f t="shared" ca="1" si="12"/>
        <v>138</v>
      </c>
      <c r="BG77" s="1">
        <f t="shared" ca="1" si="12"/>
        <v>268</v>
      </c>
      <c r="BH77" s="1">
        <f t="shared" ca="1" si="12"/>
        <v>285</v>
      </c>
      <c r="BI77" s="1">
        <f t="shared" ca="1" si="12"/>
        <v>415</v>
      </c>
      <c r="BJ77" s="1">
        <f t="shared" ca="1" si="12"/>
        <v>507</v>
      </c>
      <c r="BK77" s="1">
        <f t="shared" ca="1" si="12"/>
        <v>747</v>
      </c>
      <c r="BL77" s="1">
        <f t="shared" ca="1" si="12"/>
        <v>743</v>
      </c>
      <c r="BM77" s="1">
        <f t="shared" ca="1" si="12"/>
        <v>736</v>
      </c>
      <c r="BN77" s="1">
        <f t="shared" ca="1" si="12"/>
        <v>1028</v>
      </c>
      <c r="BO77" s="1">
        <f t="shared" ca="1" si="12"/>
        <v>0</v>
      </c>
      <c r="BP77" s="1">
        <f t="shared" ca="1" si="12"/>
        <v>0</v>
      </c>
      <c r="BQ77" s="1">
        <f t="shared" ref="BQ77:BV77" ca="1" si="13">BQ53-BQ65-BQ71</f>
        <v>0</v>
      </c>
      <c r="BR77" s="1">
        <f t="shared" ca="1" si="13"/>
        <v>0</v>
      </c>
      <c r="BS77" s="1">
        <f t="shared" ca="1" si="13"/>
        <v>0</v>
      </c>
      <c r="BT77" s="1">
        <f t="shared" ca="1" si="13"/>
        <v>0</v>
      </c>
      <c r="BU77" s="1">
        <f t="shared" ca="1" si="13"/>
        <v>0</v>
      </c>
      <c r="BV77" s="1">
        <f t="shared" ca="1" si="13"/>
        <v>0</v>
      </c>
    </row>
    <row r="78" spans="1:74" x14ac:dyDescent="0.25">
      <c r="C78" s="1" t="str">
        <f>C10</f>
        <v>Switzerland Vaud</v>
      </c>
      <c r="D78" t="str">
        <f>D77</f>
        <v>Presently ill</v>
      </c>
      <c r="E78" s="1">
        <f t="shared" ref="E78:AJ78" ca="1" si="14">E54-E66-E72</f>
        <v>0</v>
      </c>
      <c r="F78" s="1">
        <f t="shared" ca="1" si="14"/>
        <v>0</v>
      </c>
      <c r="G78" s="1">
        <f t="shared" ca="1" si="14"/>
        <v>0</v>
      </c>
      <c r="H78" s="1">
        <f t="shared" ca="1" si="14"/>
        <v>0</v>
      </c>
      <c r="I78" s="1">
        <f t="shared" ca="1" si="14"/>
        <v>0</v>
      </c>
      <c r="J78" s="1">
        <f t="shared" ca="1" si="14"/>
        <v>0</v>
      </c>
      <c r="K78" s="1">
        <f t="shared" ca="1" si="14"/>
        <v>0</v>
      </c>
      <c r="L78" s="1">
        <f t="shared" ca="1" si="14"/>
        <v>0</v>
      </c>
      <c r="M78" s="1">
        <f t="shared" ca="1" si="14"/>
        <v>0</v>
      </c>
      <c r="N78" s="1">
        <f t="shared" ca="1" si="14"/>
        <v>0</v>
      </c>
      <c r="O78" s="1">
        <f t="shared" ca="1" si="14"/>
        <v>0</v>
      </c>
      <c r="P78" s="1">
        <f t="shared" ca="1" si="14"/>
        <v>0</v>
      </c>
      <c r="Q78" s="1">
        <f t="shared" ca="1" si="14"/>
        <v>0</v>
      </c>
      <c r="R78" s="1">
        <f t="shared" ca="1" si="14"/>
        <v>0</v>
      </c>
      <c r="S78" s="1">
        <f t="shared" ca="1" si="14"/>
        <v>0</v>
      </c>
      <c r="T78" s="1">
        <f t="shared" ca="1" si="14"/>
        <v>0</v>
      </c>
      <c r="U78" s="1">
        <f t="shared" ca="1" si="14"/>
        <v>0</v>
      </c>
      <c r="V78" s="1">
        <f t="shared" ca="1" si="14"/>
        <v>0</v>
      </c>
      <c r="W78" s="1">
        <f t="shared" ca="1" si="14"/>
        <v>0</v>
      </c>
      <c r="X78" s="1">
        <f t="shared" ca="1" si="14"/>
        <v>0</v>
      </c>
      <c r="Y78" s="1">
        <f t="shared" ca="1" si="14"/>
        <v>0</v>
      </c>
      <c r="Z78" s="1">
        <f t="shared" ca="1" si="14"/>
        <v>0</v>
      </c>
      <c r="AA78" s="1">
        <f t="shared" ca="1" si="14"/>
        <v>0</v>
      </c>
      <c r="AB78" s="1">
        <f t="shared" ca="1" si="14"/>
        <v>0</v>
      </c>
      <c r="AC78" s="1">
        <f t="shared" ca="1" si="14"/>
        <v>0</v>
      </c>
      <c r="AD78" s="1">
        <f t="shared" ca="1" si="14"/>
        <v>0</v>
      </c>
      <c r="AE78" s="1">
        <f t="shared" ca="1" si="14"/>
        <v>0</v>
      </c>
      <c r="AF78" s="1">
        <f t="shared" ca="1" si="14"/>
        <v>0</v>
      </c>
      <c r="AG78" s="1">
        <f t="shared" ca="1" si="14"/>
        <v>0</v>
      </c>
      <c r="AH78" s="1">
        <f t="shared" ca="1" si="14"/>
        <v>0</v>
      </c>
      <c r="AI78" s="1">
        <f t="shared" ca="1" si="14"/>
        <v>0</v>
      </c>
      <c r="AJ78" s="1">
        <f t="shared" ca="1" si="14"/>
        <v>0</v>
      </c>
      <c r="AK78" s="1">
        <f t="shared" ref="AK78:BP78" ca="1" si="15">AK54-AK66-AK72</f>
        <v>0</v>
      </c>
      <c r="AL78" s="1">
        <f t="shared" ca="1" si="15"/>
        <v>0</v>
      </c>
      <c r="AM78" s="1">
        <f t="shared" ca="1" si="15"/>
        <v>0</v>
      </c>
      <c r="AN78" s="1">
        <f t="shared" ca="1" si="15"/>
        <v>0</v>
      </c>
      <c r="AO78" s="1">
        <f t="shared" ca="1" si="15"/>
        <v>0</v>
      </c>
      <c r="AP78" s="1">
        <f t="shared" ca="1" si="15"/>
        <v>0</v>
      </c>
      <c r="AQ78" s="1">
        <f t="shared" ca="1" si="15"/>
        <v>0</v>
      </c>
      <c r="AR78" s="1">
        <f t="shared" ca="1" si="15"/>
        <v>0</v>
      </c>
      <c r="AS78" s="1">
        <f t="shared" ca="1" si="15"/>
        <v>0</v>
      </c>
      <c r="AT78" s="1">
        <f t="shared" ca="1" si="15"/>
        <v>0</v>
      </c>
      <c r="AU78" s="1">
        <f t="shared" ca="1" si="15"/>
        <v>0</v>
      </c>
      <c r="AV78" s="1">
        <f t="shared" ca="1" si="15"/>
        <v>0</v>
      </c>
      <c r="AW78" s="1">
        <f t="shared" ca="1" si="15"/>
        <v>22</v>
      </c>
      <c r="AX78" s="1">
        <f t="shared" ca="1" si="15"/>
        <v>29</v>
      </c>
      <c r="AY78" s="1">
        <f t="shared" ca="1" si="15"/>
        <v>39</v>
      </c>
      <c r="AZ78" s="1">
        <f t="shared" ca="1" si="15"/>
        <v>50</v>
      </c>
      <c r="BA78" s="1">
        <f t="shared" ca="1" si="15"/>
        <v>76</v>
      </c>
      <c r="BB78" s="1">
        <f t="shared" ca="1" si="15"/>
        <v>107</v>
      </c>
      <c r="BC78" s="1">
        <f t="shared" ca="1" si="15"/>
        <v>155</v>
      </c>
      <c r="BD78" s="1">
        <f t="shared" ca="1" si="15"/>
        <v>202</v>
      </c>
      <c r="BE78" s="1">
        <f t="shared" ca="1" si="15"/>
        <v>347</v>
      </c>
      <c r="BF78" s="1">
        <f t="shared" ca="1" si="15"/>
        <v>402</v>
      </c>
      <c r="BG78" s="1">
        <f t="shared" ca="1" si="15"/>
        <v>503</v>
      </c>
      <c r="BH78" s="1">
        <f t="shared" ca="1" si="15"/>
        <v>603</v>
      </c>
      <c r="BI78" s="1">
        <f t="shared" ca="1" si="15"/>
        <v>791</v>
      </c>
      <c r="BJ78" s="1">
        <f t="shared" ca="1" si="15"/>
        <v>1205</v>
      </c>
      <c r="BK78" s="1">
        <f t="shared" ca="1" si="15"/>
        <v>1409</v>
      </c>
      <c r="BL78" s="1">
        <f t="shared" ca="1" si="15"/>
        <v>1646</v>
      </c>
      <c r="BM78" s="1">
        <f t="shared" ca="1" si="15"/>
        <v>1742</v>
      </c>
      <c r="BN78" s="1">
        <f t="shared" ca="1" si="15"/>
        <v>2111</v>
      </c>
      <c r="BO78" s="1">
        <f t="shared" ca="1" si="15"/>
        <v>0</v>
      </c>
      <c r="BP78" s="1">
        <f t="shared" ca="1" si="15"/>
        <v>0</v>
      </c>
      <c r="BQ78" s="1">
        <f t="shared" ref="BQ78:BV78" ca="1" si="16">BQ54-BQ66-BQ72</f>
        <v>0</v>
      </c>
      <c r="BR78" s="1">
        <f t="shared" ca="1" si="16"/>
        <v>0</v>
      </c>
      <c r="BS78" s="1">
        <f t="shared" ca="1" si="16"/>
        <v>0</v>
      </c>
      <c r="BT78" s="1">
        <f t="shared" ca="1" si="16"/>
        <v>0</v>
      </c>
      <c r="BU78" s="1">
        <f t="shared" ca="1" si="16"/>
        <v>0</v>
      </c>
      <c r="BV78" s="1">
        <f t="shared" ca="1" si="16"/>
        <v>0</v>
      </c>
    </row>
    <row r="79" spans="1:74" x14ac:dyDescent="0.25">
      <c r="C79" s="1" t="str">
        <f>C11</f>
        <v>Switzerland Berne</v>
      </c>
      <c r="D79" t="str">
        <f>D78</f>
        <v>Presently ill</v>
      </c>
      <c r="E79" s="1">
        <f t="shared" ref="E79:AJ79" ca="1" si="17">E55-E67-E73</f>
        <v>0</v>
      </c>
      <c r="F79" s="1">
        <f t="shared" ca="1" si="17"/>
        <v>0</v>
      </c>
      <c r="G79" s="1">
        <f t="shared" ca="1" si="17"/>
        <v>0</v>
      </c>
      <c r="H79" s="1">
        <f t="shared" ca="1" si="17"/>
        <v>0</v>
      </c>
      <c r="I79" s="1">
        <f t="shared" ca="1" si="17"/>
        <v>0</v>
      </c>
      <c r="J79" s="1">
        <f t="shared" ca="1" si="17"/>
        <v>0</v>
      </c>
      <c r="K79" s="1">
        <f t="shared" ca="1" si="17"/>
        <v>0</v>
      </c>
      <c r="L79" s="1">
        <f t="shared" ca="1" si="17"/>
        <v>0</v>
      </c>
      <c r="M79" s="1">
        <f t="shared" ca="1" si="17"/>
        <v>0</v>
      </c>
      <c r="N79" s="1">
        <f t="shared" ca="1" si="17"/>
        <v>0</v>
      </c>
      <c r="O79" s="1">
        <f t="shared" ca="1" si="17"/>
        <v>0</v>
      </c>
      <c r="P79" s="1">
        <f t="shared" ca="1" si="17"/>
        <v>0</v>
      </c>
      <c r="Q79" s="1">
        <f t="shared" ca="1" si="17"/>
        <v>0</v>
      </c>
      <c r="R79" s="1">
        <f t="shared" ca="1" si="17"/>
        <v>0</v>
      </c>
      <c r="S79" s="1">
        <f t="shared" ca="1" si="17"/>
        <v>0</v>
      </c>
      <c r="T79" s="1">
        <f t="shared" ca="1" si="17"/>
        <v>0</v>
      </c>
      <c r="U79" s="1">
        <f t="shared" ca="1" si="17"/>
        <v>0</v>
      </c>
      <c r="V79" s="1">
        <f t="shared" ca="1" si="17"/>
        <v>0</v>
      </c>
      <c r="W79" s="1">
        <f t="shared" ca="1" si="17"/>
        <v>0</v>
      </c>
      <c r="X79" s="1">
        <f t="shared" ca="1" si="17"/>
        <v>0</v>
      </c>
      <c r="Y79" s="1">
        <f t="shared" ca="1" si="17"/>
        <v>0</v>
      </c>
      <c r="Z79" s="1">
        <f t="shared" ca="1" si="17"/>
        <v>0</v>
      </c>
      <c r="AA79" s="1">
        <f t="shared" ca="1" si="17"/>
        <v>0</v>
      </c>
      <c r="AB79" s="1">
        <f t="shared" ca="1" si="17"/>
        <v>0</v>
      </c>
      <c r="AC79" s="1">
        <f t="shared" ca="1" si="17"/>
        <v>0</v>
      </c>
      <c r="AD79" s="1">
        <f t="shared" ca="1" si="17"/>
        <v>0</v>
      </c>
      <c r="AE79" s="1">
        <f t="shared" ca="1" si="17"/>
        <v>0</v>
      </c>
      <c r="AF79" s="1">
        <f t="shared" ca="1" si="17"/>
        <v>0</v>
      </c>
      <c r="AG79" s="1">
        <f t="shared" ca="1" si="17"/>
        <v>0</v>
      </c>
      <c r="AH79" s="1">
        <f t="shared" ca="1" si="17"/>
        <v>0</v>
      </c>
      <c r="AI79" s="1">
        <f t="shared" ca="1" si="17"/>
        <v>0</v>
      </c>
      <c r="AJ79" s="1">
        <f t="shared" ca="1" si="17"/>
        <v>0</v>
      </c>
      <c r="AK79" s="1">
        <f t="shared" ref="AK79:BP79" ca="1" si="18">AK55-AK67-AK73</f>
        <v>0</v>
      </c>
      <c r="AL79" s="1">
        <f t="shared" ca="1" si="18"/>
        <v>0</v>
      </c>
      <c r="AM79" s="1">
        <f t="shared" ca="1" si="18"/>
        <v>0</v>
      </c>
      <c r="AN79" s="1">
        <f t="shared" ca="1" si="18"/>
        <v>0</v>
      </c>
      <c r="AO79" s="1">
        <f t="shared" ca="1" si="18"/>
        <v>0</v>
      </c>
      <c r="AP79" s="1">
        <f t="shared" ca="1" si="18"/>
        <v>0</v>
      </c>
      <c r="AQ79" s="1">
        <f t="shared" ca="1" si="18"/>
        <v>0</v>
      </c>
      <c r="AR79" s="1">
        <f t="shared" ca="1" si="18"/>
        <v>0</v>
      </c>
      <c r="AS79" s="1">
        <f t="shared" ca="1" si="18"/>
        <v>0</v>
      </c>
      <c r="AT79" s="1">
        <f t="shared" ca="1" si="18"/>
        <v>0</v>
      </c>
      <c r="AU79" s="1">
        <f t="shared" ca="1" si="18"/>
        <v>0</v>
      </c>
      <c r="AV79" s="1">
        <f t="shared" ca="1" si="18"/>
        <v>0</v>
      </c>
      <c r="AW79" s="1">
        <f t="shared" ca="1" si="18"/>
        <v>0</v>
      </c>
      <c r="AX79" s="1">
        <f t="shared" ca="1" si="18"/>
        <v>0</v>
      </c>
      <c r="AY79" s="1">
        <f t="shared" ca="1" si="18"/>
        <v>0</v>
      </c>
      <c r="AZ79" s="1">
        <f t="shared" ca="1" si="18"/>
        <v>0</v>
      </c>
      <c r="BA79" s="1">
        <f t="shared" ca="1" si="18"/>
        <v>0</v>
      </c>
      <c r="BB79" s="1">
        <f t="shared" ca="1" si="18"/>
        <v>0</v>
      </c>
      <c r="BC79" s="1">
        <f t="shared" ca="1" si="18"/>
        <v>0</v>
      </c>
      <c r="BD79" s="1">
        <f t="shared" ca="1" si="18"/>
        <v>0</v>
      </c>
      <c r="BE79" s="1">
        <f t="shared" ca="1" si="18"/>
        <v>0</v>
      </c>
      <c r="BF79" s="1">
        <f t="shared" ca="1" si="18"/>
        <v>0</v>
      </c>
      <c r="BG79" s="1">
        <f t="shared" ca="1" si="18"/>
        <v>122</v>
      </c>
      <c r="BH79" s="1">
        <f t="shared" ca="1" si="18"/>
        <v>122</v>
      </c>
      <c r="BI79" s="1">
        <f t="shared" ca="1" si="18"/>
        <v>192</v>
      </c>
      <c r="BJ79" s="1">
        <f t="shared" ca="1" si="18"/>
        <v>281</v>
      </c>
      <c r="BK79" s="1">
        <f t="shared" ca="1" si="18"/>
        <v>375</v>
      </c>
      <c r="BL79" s="1">
        <f t="shared" ca="1" si="18"/>
        <v>415</v>
      </c>
      <c r="BM79" s="1">
        <f t="shared" ca="1" si="18"/>
        <v>415</v>
      </c>
      <c r="BN79" s="1">
        <f t="shared" ca="1" si="18"/>
        <v>465</v>
      </c>
      <c r="BO79" s="1">
        <f t="shared" ca="1" si="18"/>
        <v>0</v>
      </c>
      <c r="BP79" s="1">
        <f t="shared" ca="1" si="18"/>
        <v>0</v>
      </c>
      <c r="BQ79" s="1">
        <f t="shared" ref="BQ79:BV79" ca="1" si="19">BQ55-BQ67-BQ73</f>
        <v>0</v>
      </c>
      <c r="BR79" s="1">
        <f t="shared" ca="1" si="19"/>
        <v>0</v>
      </c>
      <c r="BS79" s="1">
        <f t="shared" ca="1" si="19"/>
        <v>0</v>
      </c>
      <c r="BT79" s="1">
        <f t="shared" ca="1" si="19"/>
        <v>0</v>
      </c>
      <c r="BU79" s="1">
        <f t="shared" ca="1" si="19"/>
        <v>0</v>
      </c>
      <c r="BV79" s="1">
        <f t="shared" ca="1" si="19"/>
        <v>0</v>
      </c>
    </row>
    <row r="80" spans="1:7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C81" s="4" t="s">
        <v>144</v>
      </c>
      <c r="D81" s="4"/>
      <c r="E81" s="5" t="str">
        <f t="shared" ref="E81:AJ81" ca="1" si="20">E51</f>
        <v>2020-01-22</v>
      </c>
      <c r="F81" s="5" t="str">
        <f t="shared" ca="1" si="20"/>
        <v>2020-01-23</v>
      </c>
      <c r="G81" s="5" t="str">
        <f t="shared" ca="1" si="20"/>
        <v>2020-01-24</v>
      </c>
      <c r="H81" s="5" t="str">
        <f t="shared" ca="1" si="20"/>
        <v>2020-01-25</v>
      </c>
      <c r="I81" s="5" t="str">
        <f t="shared" ca="1" si="20"/>
        <v>2020-01-26</v>
      </c>
      <c r="J81" s="5" t="str">
        <f t="shared" ca="1" si="20"/>
        <v>2020-01-27</v>
      </c>
      <c r="K81" s="5" t="str">
        <f t="shared" ca="1" si="20"/>
        <v>2020-01-28</v>
      </c>
      <c r="L81" s="5" t="str">
        <f t="shared" ca="1" si="20"/>
        <v>2020-01-29</v>
      </c>
      <c r="M81" s="5" t="str">
        <f t="shared" ca="1" si="20"/>
        <v>2020-01-30</v>
      </c>
      <c r="N81" s="5" t="str">
        <f t="shared" ca="1" si="20"/>
        <v>2020-01-31</v>
      </c>
      <c r="O81" s="5" t="str">
        <f t="shared" ca="1" si="20"/>
        <v>2020-02-01</v>
      </c>
      <c r="P81" s="5" t="str">
        <f t="shared" ca="1" si="20"/>
        <v>2020-02-02</v>
      </c>
      <c r="Q81" s="5" t="str">
        <f t="shared" ca="1" si="20"/>
        <v>2020-02-03</v>
      </c>
      <c r="R81" s="5" t="str">
        <f t="shared" ca="1" si="20"/>
        <v>2020-02-04</v>
      </c>
      <c r="S81" s="5" t="str">
        <f t="shared" ca="1" si="20"/>
        <v>2020-02-05</v>
      </c>
      <c r="T81" s="5" t="str">
        <f t="shared" ca="1" si="20"/>
        <v>2020-02-06</v>
      </c>
      <c r="U81" s="5" t="str">
        <f t="shared" ca="1" si="20"/>
        <v>2020-02-07</v>
      </c>
      <c r="V81" s="5" t="str">
        <f t="shared" ca="1" si="20"/>
        <v>2020-02-08</v>
      </c>
      <c r="W81" s="5" t="str">
        <f t="shared" ca="1" si="20"/>
        <v>2020-02-09</v>
      </c>
      <c r="X81" s="5" t="str">
        <f t="shared" ca="1" si="20"/>
        <v>2020-02-10</v>
      </c>
      <c r="Y81" s="5" t="str">
        <f t="shared" ca="1" si="20"/>
        <v>2020-02-11</v>
      </c>
      <c r="Z81" s="5" t="str">
        <f t="shared" ca="1" si="20"/>
        <v>2020-02-12</v>
      </c>
      <c r="AA81" s="5" t="str">
        <f t="shared" ca="1" si="20"/>
        <v>2020-02-13</v>
      </c>
      <c r="AB81" s="5" t="str">
        <f t="shared" ca="1" si="20"/>
        <v>2020-02-14</v>
      </c>
      <c r="AC81" s="5" t="str">
        <f t="shared" ca="1" si="20"/>
        <v>2020-02-15</v>
      </c>
      <c r="AD81" s="5" t="str">
        <f t="shared" ca="1" si="20"/>
        <v>2020-02-16</v>
      </c>
      <c r="AE81" s="5" t="str">
        <f t="shared" ca="1" si="20"/>
        <v>2020-02-17</v>
      </c>
      <c r="AF81" s="5" t="str">
        <f t="shared" ca="1" si="20"/>
        <v>2020-02-18</v>
      </c>
      <c r="AG81" s="5" t="str">
        <f t="shared" ca="1" si="20"/>
        <v>2020-02-19</v>
      </c>
      <c r="AH81" s="5" t="str">
        <f t="shared" ca="1" si="20"/>
        <v>2020-02-20</v>
      </c>
      <c r="AI81" s="5" t="str">
        <f t="shared" ca="1" si="20"/>
        <v>2020-02-21</v>
      </c>
      <c r="AJ81" s="5" t="str">
        <f t="shared" ca="1" si="20"/>
        <v>2020-02-22</v>
      </c>
      <c r="AK81" s="5" t="str">
        <f t="shared" ref="AK81:BP81" ca="1" si="21">AK51</f>
        <v>2020-02-23</v>
      </c>
      <c r="AL81" s="5" t="str">
        <f t="shared" ca="1" si="21"/>
        <v>2020-02-24</v>
      </c>
      <c r="AM81" s="5" t="str">
        <f t="shared" ca="1" si="21"/>
        <v>2020-02-25</v>
      </c>
      <c r="AN81" s="5" t="str">
        <f t="shared" ca="1" si="21"/>
        <v>2020-02-26</v>
      </c>
      <c r="AO81" s="5" t="str">
        <f t="shared" ca="1" si="21"/>
        <v>2020-02-27</v>
      </c>
      <c r="AP81" s="5" t="str">
        <f t="shared" ca="1" si="21"/>
        <v>2020-02-28</v>
      </c>
      <c r="AQ81" s="5" t="str">
        <f t="shared" ca="1" si="21"/>
        <v>2020-02-29</v>
      </c>
      <c r="AR81" s="5" t="str">
        <f t="shared" ca="1" si="21"/>
        <v>2020-03-01</v>
      </c>
      <c r="AS81" s="5" t="str">
        <f t="shared" ca="1" si="21"/>
        <v>2020-03-02</v>
      </c>
      <c r="AT81" s="5" t="str">
        <f t="shared" ca="1" si="21"/>
        <v>2020-03-03</v>
      </c>
      <c r="AU81" s="5" t="str">
        <f t="shared" ca="1" si="21"/>
        <v>2020-03-04</v>
      </c>
      <c r="AV81" s="5" t="str">
        <f t="shared" ca="1" si="21"/>
        <v>2020-03-05</v>
      </c>
      <c r="AW81" s="5" t="str">
        <f t="shared" ca="1" si="21"/>
        <v>2020-03-06</v>
      </c>
      <c r="AX81" s="5" t="str">
        <f t="shared" ca="1" si="21"/>
        <v>2020-03-07</v>
      </c>
      <c r="AY81" s="5" t="str">
        <f t="shared" ca="1" si="21"/>
        <v>2020-03-08</v>
      </c>
      <c r="AZ81" s="5" t="str">
        <f t="shared" ca="1" si="21"/>
        <v>2020-03-09</v>
      </c>
      <c r="BA81" s="5" t="str">
        <f t="shared" ca="1" si="21"/>
        <v>2020-03-10</v>
      </c>
      <c r="BB81" s="5" t="str">
        <f t="shared" ca="1" si="21"/>
        <v>2020-03-11</v>
      </c>
      <c r="BC81" s="5" t="str">
        <f t="shared" ca="1" si="21"/>
        <v>2020-03-12</v>
      </c>
      <c r="BD81" s="5" t="str">
        <f t="shared" ca="1" si="21"/>
        <v>2020-03-13</v>
      </c>
      <c r="BE81" s="5" t="str">
        <f t="shared" ca="1" si="21"/>
        <v>2020-03-14</v>
      </c>
      <c r="BF81" s="5" t="str">
        <f t="shared" ca="1" si="21"/>
        <v>2020-03-15</v>
      </c>
      <c r="BG81" s="5" t="str">
        <f t="shared" ca="1" si="21"/>
        <v>2020-03-16</v>
      </c>
      <c r="BH81" s="5" t="str">
        <f t="shared" ca="1" si="21"/>
        <v>2020-03-17</v>
      </c>
      <c r="BI81" s="5" t="str">
        <f t="shared" ca="1" si="21"/>
        <v>2020-03-18</v>
      </c>
      <c r="BJ81" s="5" t="str">
        <f t="shared" ca="1" si="21"/>
        <v>2020-03-19</v>
      </c>
      <c r="BK81" s="5" t="str">
        <f t="shared" ca="1" si="21"/>
        <v>2020-03-20</v>
      </c>
      <c r="BL81" s="5" t="str">
        <f t="shared" ca="1" si="21"/>
        <v>2020-03-21</v>
      </c>
      <c r="BM81" s="5" t="str">
        <f t="shared" ca="1" si="21"/>
        <v>2020-03-22</v>
      </c>
      <c r="BN81" s="5" t="str">
        <f t="shared" ca="1" si="21"/>
        <v>2020-03-23</v>
      </c>
      <c r="BO81" s="5">
        <f t="shared" ca="1" si="21"/>
        <v>0</v>
      </c>
      <c r="BP81" s="5">
        <f t="shared" ca="1" si="21"/>
        <v>0</v>
      </c>
      <c r="BQ81" s="5">
        <f t="shared" ref="BQ81:BV81" ca="1" si="22">BQ51</f>
        <v>0</v>
      </c>
      <c r="BR81" s="5">
        <f t="shared" ca="1" si="22"/>
        <v>0</v>
      </c>
      <c r="BS81" s="5">
        <f t="shared" ca="1" si="22"/>
        <v>0</v>
      </c>
      <c r="BT81" s="5">
        <f t="shared" ca="1" si="22"/>
        <v>0</v>
      </c>
      <c r="BU81" s="5">
        <f t="shared" ca="1" si="22"/>
        <v>0</v>
      </c>
      <c r="BV81" s="5">
        <f t="shared" ca="1" si="22"/>
        <v>0</v>
      </c>
    </row>
    <row r="82" spans="1:74" x14ac:dyDescent="0.25">
      <c r="C82" s="1" t="str">
        <f>C8</f>
        <v>Switzerland Ticino</v>
      </c>
      <c r="D82" t="str">
        <f>C81</f>
        <v>Recovered not reported</v>
      </c>
      <c r="E82" s="1">
        <f t="shared" ref="E82:AJ82" ca="1" si="23">E64-E58</f>
        <v>0</v>
      </c>
      <c r="F82" s="1">
        <f t="shared" ca="1" si="23"/>
        <v>0</v>
      </c>
      <c r="G82" s="1">
        <f t="shared" ca="1" si="23"/>
        <v>0</v>
      </c>
      <c r="H82" s="1">
        <f t="shared" ca="1" si="23"/>
        <v>0</v>
      </c>
      <c r="I82" s="1">
        <f t="shared" ca="1" si="23"/>
        <v>0</v>
      </c>
      <c r="J82" s="1">
        <f t="shared" ca="1" si="23"/>
        <v>0</v>
      </c>
      <c r="K82" s="1">
        <f t="shared" ca="1" si="23"/>
        <v>0</v>
      </c>
      <c r="L82" s="1">
        <f t="shared" ca="1" si="23"/>
        <v>0</v>
      </c>
      <c r="M82" s="1">
        <f t="shared" ca="1" si="23"/>
        <v>0</v>
      </c>
      <c r="N82" s="1">
        <f t="shared" ca="1" si="23"/>
        <v>0</v>
      </c>
      <c r="O82" s="1">
        <f t="shared" ca="1" si="23"/>
        <v>0</v>
      </c>
      <c r="P82" s="1">
        <f t="shared" ca="1" si="23"/>
        <v>0</v>
      </c>
      <c r="Q82" s="1">
        <f t="shared" ca="1" si="23"/>
        <v>0</v>
      </c>
      <c r="R82" s="1">
        <f t="shared" ca="1" si="23"/>
        <v>0</v>
      </c>
      <c r="S82" s="1">
        <f t="shared" ca="1" si="23"/>
        <v>0</v>
      </c>
      <c r="T82" s="1">
        <f t="shared" ca="1" si="23"/>
        <v>0</v>
      </c>
      <c r="U82" s="1">
        <f t="shared" ca="1" si="23"/>
        <v>0</v>
      </c>
      <c r="V82" s="1">
        <f t="shared" ca="1" si="23"/>
        <v>0</v>
      </c>
      <c r="W82" s="1">
        <f t="shared" ca="1" si="23"/>
        <v>0</v>
      </c>
      <c r="X82" s="1">
        <f t="shared" ca="1" si="23"/>
        <v>0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0</v>
      </c>
      <c r="AD82" s="1">
        <f t="shared" ca="1" si="23"/>
        <v>0</v>
      </c>
      <c r="AE82" s="1">
        <f t="shared" ca="1" si="23"/>
        <v>0</v>
      </c>
      <c r="AF82" s="1">
        <f t="shared" ca="1" si="23"/>
        <v>0</v>
      </c>
      <c r="AG82" s="1">
        <f t="shared" ca="1" si="23"/>
        <v>0</v>
      </c>
      <c r="AH82" s="1">
        <f t="shared" ca="1" si="23"/>
        <v>0</v>
      </c>
      <c r="AI82" s="1">
        <f t="shared" ca="1" si="23"/>
        <v>0</v>
      </c>
      <c r="AJ82" s="1">
        <f t="shared" ca="1" si="23"/>
        <v>0</v>
      </c>
      <c r="AK82" s="1">
        <f t="shared" ref="AK82:BP82" ca="1" si="24">AK64-AK58</f>
        <v>0</v>
      </c>
      <c r="AL82" s="1">
        <f t="shared" ca="1" si="24"/>
        <v>0</v>
      </c>
      <c r="AM82" s="1">
        <f t="shared" ca="1" si="24"/>
        <v>0</v>
      </c>
      <c r="AN82" s="1">
        <f t="shared" ca="1" si="24"/>
        <v>0</v>
      </c>
      <c r="AO82" s="1">
        <f t="shared" ca="1" si="24"/>
        <v>0</v>
      </c>
      <c r="AP82" s="1">
        <f t="shared" ca="1" si="24"/>
        <v>0</v>
      </c>
      <c r="AQ82" s="1">
        <f t="shared" ca="1" si="24"/>
        <v>0</v>
      </c>
      <c r="AR82" s="1">
        <f t="shared" ca="1" si="24"/>
        <v>0</v>
      </c>
      <c r="AS82" s="1">
        <f t="shared" ca="1" si="24"/>
        <v>0</v>
      </c>
      <c r="AT82" s="1">
        <f t="shared" ca="1" si="24"/>
        <v>0</v>
      </c>
      <c r="AU82" s="1">
        <f t="shared" ca="1" si="24"/>
        <v>0</v>
      </c>
      <c r="AV82" s="1">
        <f t="shared" ca="1" si="24"/>
        <v>0</v>
      </c>
      <c r="AW82" s="1">
        <f t="shared" ca="1" si="24"/>
        <v>0</v>
      </c>
      <c r="AX82" s="1">
        <f t="shared" ca="1" si="24"/>
        <v>0</v>
      </c>
      <c r="AY82" s="1">
        <f t="shared" ca="1" si="24"/>
        <v>0</v>
      </c>
      <c r="AZ82" s="1">
        <f t="shared" ca="1" si="24"/>
        <v>0</v>
      </c>
      <c r="BA82" s="1">
        <f t="shared" ca="1" si="24"/>
        <v>0</v>
      </c>
      <c r="BB82" s="1">
        <f t="shared" ca="1" si="24"/>
        <v>0</v>
      </c>
      <c r="BC82" s="1">
        <f t="shared" ca="1" si="24"/>
        <v>0</v>
      </c>
      <c r="BD82" s="1">
        <f t="shared" ca="1" si="24"/>
        <v>0</v>
      </c>
      <c r="BE82" s="1">
        <f t="shared" ca="1" si="24"/>
        <v>0</v>
      </c>
      <c r="BF82" s="1">
        <f t="shared" ca="1" si="24"/>
        <v>0</v>
      </c>
      <c r="BG82" s="1">
        <f t="shared" ca="1" si="24"/>
        <v>0</v>
      </c>
      <c r="BH82" s="1">
        <f t="shared" ca="1" si="24"/>
        <v>0</v>
      </c>
      <c r="BI82" s="1">
        <f t="shared" ca="1" si="24"/>
        <v>0</v>
      </c>
      <c r="BJ82" s="1">
        <f t="shared" ca="1" si="24"/>
        <v>0</v>
      </c>
      <c r="BK82" s="1">
        <f t="shared" ca="1" si="24"/>
        <v>0</v>
      </c>
      <c r="BL82" s="1">
        <f t="shared" ca="1" si="24"/>
        <v>0</v>
      </c>
      <c r="BM82" s="1">
        <f t="shared" ca="1" si="24"/>
        <v>0</v>
      </c>
      <c r="BN82" s="1">
        <f t="shared" ca="1" si="24"/>
        <v>0</v>
      </c>
      <c r="BO82" s="1">
        <f t="shared" ca="1" si="24"/>
        <v>0</v>
      </c>
      <c r="BP82" s="1">
        <f t="shared" ca="1" si="24"/>
        <v>0</v>
      </c>
      <c r="BQ82" s="1">
        <f t="shared" ref="BQ82:BV82" ca="1" si="25">BQ64-BQ58</f>
        <v>0</v>
      </c>
      <c r="BR82" s="1">
        <f t="shared" ca="1" si="25"/>
        <v>0</v>
      </c>
      <c r="BS82" s="1">
        <f t="shared" ca="1" si="25"/>
        <v>0</v>
      </c>
      <c r="BT82" s="1">
        <f t="shared" ca="1" si="25"/>
        <v>0</v>
      </c>
      <c r="BU82" s="1">
        <f t="shared" ca="1" si="25"/>
        <v>0</v>
      </c>
      <c r="BV82" s="1">
        <f t="shared" ca="1" si="25"/>
        <v>0</v>
      </c>
    </row>
    <row r="83" spans="1:74" x14ac:dyDescent="0.25">
      <c r="C83" s="1" t="str">
        <f>C9</f>
        <v>Switzerland Zurich</v>
      </c>
      <c r="D83" t="str">
        <f>D82</f>
        <v>Recovered not reported</v>
      </c>
      <c r="E83" s="1">
        <f t="shared" ref="E83:AJ83" ca="1" si="26">E65-E59</f>
        <v>0</v>
      </c>
      <c r="F83" s="1">
        <f t="shared" ca="1" si="26"/>
        <v>0</v>
      </c>
      <c r="G83" s="1">
        <f t="shared" ca="1" si="26"/>
        <v>0</v>
      </c>
      <c r="H83" s="1">
        <f t="shared" ca="1" si="26"/>
        <v>0</v>
      </c>
      <c r="I83" s="1">
        <f t="shared" ca="1" si="26"/>
        <v>0</v>
      </c>
      <c r="J83" s="1">
        <f t="shared" ca="1" si="26"/>
        <v>0</v>
      </c>
      <c r="K83" s="1">
        <f t="shared" ca="1" si="26"/>
        <v>0</v>
      </c>
      <c r="L83" s="1">
        <f t="shared" ca="1" si="26"/>
        <v>0</v>
      </c>
      <c r="M83" s="1">
        <f t="shared" ca="1" si="26"/>
        <v>0</v>
      </c>
      <c r="N83" s="1">
        <f t="shared" ca="1" si="26"/>
        <v>0</v>
      </c>
      <c r="O83" s="1">
        <f t="shared" ca="1" si="26"/>
        <v>0</v>
      </c>
      <c r="P83" s="1">
        <f t="shared" ca="1" si="26"/>
        <v>0</v>
      </c>
      <c r="Q83" s="1">
        <f t="shared" ca="1" si="26"/>
        <v>0</v>
      </c>
      <c r="R83" s="1">
        <f t="shared" ca="1" si="26"/>
        <v>0</v>
      </c>
      <c r="S83" s="1">
        <f t="shared" ca="1" si="26"/>
        <v>0</v>
      </c>
      <c r="T83" s="1">
        <f t="shared" ca="1" si="26"/>
        <v>0</v>
      </c>
      <c r="U83" s="1">
        <f t="shared" ca="1" si="26"/>
        <v>0</v>
      </c>
      <c r="V83" s="1">
        <f t="shared" ca="1" si="26"/>
        <v>0</v>
      </c>
      <c r="W83" s="1">
        <f t="shared" ca="1" si="26"/>
        <v>0</v>
      </c>
      <c r="X83" s="1">
        <f t="shared" ca="1" si="26"/>
        <v>0</v>
      </c>
      <c r="Y83" s="1">
        <f t="shared" ca="1" si="26"/>
        <v>0</v>
      </c>
      <c r="Z83" s="1">
        <f t="shared" ca="1" si="26"/>
        <v>0</v>
      </c>
      <c r="AA83" s="1">
        <f t="shared" ca="1" si="26"/>
        <v>0</v>
      </c>
      <c r="AB83" s="1">
        <f t="shared" ca="1" si="26"/>
        <v>0</v>
      </c>
      <c r="AC83" s="1">
        <f t="shared" ca="1" si="26"/>
        <v>0</v>
      </c>
      <c r="AD83" s="1">
        <f t="shared" ca="1" si="26"/>
        <v>0</v>
      </c>
      <c r="AE83" s="1">
        <f t="shared" ca="1" si="26"/>
        <v>0</v>
      </c>
      <c r="AF83" s="1">
        <f t="shared" ca="1" si="26"/>
        <v>0</v>
      </c>
      <c r="AG83" s="1">
        <f t="shared" ca="1" si="26"/>
        <v>0</v>
      </c>
      <c r="AH83" s="1">
        <f t="shared" ca="1" si="26"/>
        <v>0</v>
      </c>
      <c r="AI83" s="1">
        <f t="shared" ca="1" si="26"/>
        <v>0</v>
      </c>
      <c r="AJ83" s="1">
        <f t="shared" ca="1" si="26"/>
        <v>0</v>
      </c>
      <c r="AK83" s="1">
        <f t="shared" ref="AK83:BP83" ca="1" si="27">AK65-AK59</f>
        <v>0</v>
      </c>
      <c r="AL83" s="1">
        <f t="shared" ca="1" si="27"/>
        <v>0</v>
      </c>
      <c r="AM83" s="1">
        <f t="shared" ca="1" si="27"/>
        <v>0</v>
      </c>
      <c r="AN83" s="1">
        <f t="shared" ca="1" si="27"/>
        <v>0</v>
      </c>
      <c r="AO83" s="1">
        <f t="shared" ca="1" si="27"/>
        <v>0</v>
      </c>
      <c r="AP83" s="1">
        <f t="shared" ca="1" si="27"/>
        <v>0</v>
      </c>
      <c r="AQ83" s="1">
        <f t="shared" ca="1" si="27"/>
        <v>0</v>
      </c>
      <c r="AR83" s="1">
        <f t="shared" ca="1" si="27"/>
        <v>0</v>
      </c>
      <c r="AS83" s="1">
        <f t="shared" ca="1" si="27"/>
        <v>0</v>
      </c>
      <c r="AT83" s="1">
        <f t="shared" ca="1" si="27"/>
        <v>0</v>
      </c>
      <c r="AU83" s="1">
        <f t="shared" ca="1" si="27"/>
        <v>0</v>
      </c>
      <c r="AV83" s="1">
        <f t="shared" ca="1" si="27"/>
        <v>0</v>
      </c>
      <c r="AW83" s="1">
        <f t="shared" ca="1" si="27"/>
        <v>0</v>
      </c>
      <c r="AX83" s="1">
        <f t="shared" ca="1" si="27"/>
        <v>0</v>
      </c>
      <c r="AY83" s="1">
        <f t="shared" ca="1" si="27"/>
        <v>0</v>
      </c>
      <c r="AZ83" s="1">
        <f t="shared" ca="1" si="27"/>
        <v>0</v>
      </c>
      <c r="BA83" s="1">
        <f t="shared" ca="1" si="27"/>
        <v>0</v>
      </c>
      <c r="BB83" s="1">
        <f t="shared" ca="1" si="27"/>
        <v>0</v>
      </c>
      <c r="BC83" s="1">
        <f t="shared" ca="1" si="27"/>
        <v>1</v>
      </c>
      <c r="BD83" s="1">
        <f t="shared" ca="1" si="27"/>
        <v>2</v>
      </c>
      <c r="BE83" s="1">
        <f t="shared" ca="1" si="27"/>
        <v>2</v>
      </c>
      <c r="BF83" s="1">
        <f t="shared" ca="1" si="27"/>
        <v>2</v>
      </c>
      <c r="BG83" s="1">
        <f t="shared" ca="1" si="27"/>
        <v>1</v>
      </c>
      <c r="BH83" s="1">
        <f t="shared" ca="1" si="27"/>
        <v>8</v>
      </c>
      <c r="BI83" s="1">
        <f t="shared" ca="1" si="27"/>
        <v>8</v>
      </c>
      <c r="BJ83" s="1">
        <f t="shared" ca="1" si="27"/>
        <v>16</v>
      </c>
      <c r="BK83" s="1">
        <f t="shared" ca="1" si="27"/>
        <v>23</v>
      </c>
      <c r="BL83" s="1">
        <f t="shared" ca="1" si="27"/>
        <v>27</v>
      </c>
      <c r="BM83" s="1">
        <f t="shared" ca="1" si="27"/>
        <v>34</v>
      </c>
      <c r="BN83" s="1">
        <f t="shared" ca="1" si="27"/>
        <v>35</v>
      </c>
      <c r="BO83" s="1">
        <f t="shared" ca="1" si="27"/>
        <v>0</v>
      </c>
      <c r="BP83" s="1">
        <f t="shared" ca="1" si="27"/>
        <v>0</v>
      </c>
      <c r="BQ83" s="1">
        <f t="shared" ref="BQ83:BV83" ca="1" si="28">BQ65-BQ59</f>
        <v>0</v>
      </c>
      <c r="BR83" s="1">
        <f t="shared" ca="1" si="28"/>
        <v>0</v>
      </c>
      <c r="BS83" s="1">
        <f t="shared" ca="1" si="28"/>
        <v>0</v>
      </c>
      <c r="BT83" s="1">
        <f t="shared" ca="1" si="28"/>
        <v>0</v>
      </c>
      <c r="BU83" s="1">
        <f t="shared" ca="1" si="28"/>
        <v>0</v>
      </c>
      <c r="BV83" s="1">
        <f t="shared" ca="1" si="28"/>
        <v>0</v>
      </c>
    </row>
    <row r="84" spans="1:74" x14ac:dyDescent="0.25">
      <c r="C84" s="1" t="str">
        <f>C10</f>
        <v>Switzerland Vaud</v>
      </c>
      <c r="D84" t="str">
        <f>D83</f>
        <v>Recovered not reported</v>
      </c>
      <c r="E84" s="1">
        <f t="shared" ref="E84:AJ84" ca="1" si="29">E66-E60</f>
        <v>0</v>
      </c>
      <c r="F84" s="1">
        <f t="shared" ca="1" si="29"/>
        <v>0</v>
      </c>
      <c r="G84" s="1">
        <f t="shared" ca="1" si="29"/>
        <v>0</v>
      </c>
      <c r="H84" s="1">
        <f t="shared" ca="1" si="29"/>
        <v>0</v>
      </c>
      <c r="I84" s="1">
        <f t="shared" ca="1" si="29"/>
        <v>0</v>
      </c>
      <c r="J84" s="1">
        <f t="shared" ca="1" si="29"/>
        <v>0</v>
      </c>
      <c r="K84" s="1">
        <f t="shared" ca="1" si="29"/>
        <v>0</v>
      </c>
      <c r="L84" s="1">
        <f t="shared" ca="1" si="29"/>
        <v>0</v>
      </c>
      <c r="M84" s="1">
        <f t="shared" ca="1" si="29"/>
        <v>0</v>
      </c>
      <c r="N84" s="1">
        <f t="shared" ca="1" si="29"/>
        <v>0</v>
      </c>
      <c r="O84" s="1">
        <f t="shared" ca="1" si="29"/>
        <v>0</v>
      </c>
      <c r="P84" s="1">
        <f t="shared" ca="1" si="29"/>
        <v>0</v>
      </c>
      <c r="Q84" s="1">
        <f t="shared" ca="1" si="29"/>
        <v>0</v>
      </c>
      <c r="R84" s="1">
        <f t="shared" ca="1" si="29"/>
        <v>0</v>
      </c>
      <c r="S84" s="1">
        <f t="shared" ca="1" si="29"/>
        <v>0</v>
      </c>
      <c r="T84" s="1">
        <f t="shared" ca="1" si="29"/>
        <v>0</v>
      </c>
      <c r="U84" s="1">
        <f t="shared" ca="1" si="29"/>
        <v>0</v>
      </c>
      <c r="V84" s="1">
        <f t="shared" ca="1" si="29"/>
        <v>0</v>
      </c>
      <c r="W84" s="1">
        <f t="shared" ca="1" si="29"/>
        <v>0</v>
      </c>
      <c r="X84" s="1">
        <f t="shared" ca="1" si="29"/>
        <v>0</v>
      </c>
      <c r="Y84" s="1">
        <f t="shared" ca="1" si="29"/>
        <v>0</v>
      </c>
      <c r="Z84" s="1">
        <f t="shared" ca="1" si="29"/>
        <v>0</v>
      </c>
      <c r="AA84" s="1">
        <f t="shared" ca="1" si="29"/>
        <v>0</v>
      </c>
      <c r="AB84" s="1">
        <f t="shared" ca="1" si="29"/>
        <v>0</v>
      </c>
      <c r="AC84" s="1">
        <f t="shared" ca="1" si="29"/>
        <v>0</v>
      </c>
      <c r="AD84" s="1">
        <f t="shared" ca="1" si="29"/>
        <v>0</v>
      </c>
      <c r="AE84" s="1">
        <f t="shared" ca="1" si="29"/>
        <v>0</v>
      </c>
      <c r="AF84" s="1">
        <f t="shared" ca="1" si="29"/>
        <v>0</v>
      </c>
      <c r="AG84" s="1">
        <f t="shared" ca="1" si="29"/>
        <v>0</v>
      </c>
      <c r="AH84" s="1">
        <f t="shared" ca="1" si="29"/>
        <v>0</v>
      </c>
      <c r="AI84" s="1">
        <f t="shared" ca="1" si="29"/>
        <v>0</v>
      </c>
      <c r="AJ84" s="1">
        <f t="shared" ca="1" si="29"/>
        <v>0</v>
      </c>
      <c r="AK84" s="1">
        <f t="shared" ref="AK84:BP84" ca="1" si="30">AK66-AK60</f>
        <v>0</v>
      </c>
      <c r="AL84" s="1">
        <f t="shared" ca="1" si="30"/>
        <v>0</v>
      </c>
      <c r="AM84" s="1">
        <f t="shared" ca="1" si="30"/>
        <v>0</v>
      </c>
      <c r="AN84" s="1">
        <f t="shared" ca="1" si="30"/>
        <v>0</v>
      </c>
      <c r="AO84" s="1">
        <f t="shared" ca="1" si="30"/>
        <v>0</v>
      </c>
      <c r="AP84" s="1">
        <f t="shared" ca="1" si="30"/>
        <v>0</v>
      </c>
      <c r="AQ84" s="1">
        <f t="shared" ca="1" si="30"/>
        <v>0</v>
      </c>
      <c r="AR84" s="1">
        <f t="shared" ca="1" si="30"/>
        <v>0</v>
      </c>
      <c r="AS84" s="1">
        <f t="shared" ca="1" si="30"/>
        <v>0</v>
      </c>
      <c r="AT84" s="1">
        <f t="shared" ca="1" si="30"/>
        <v>0</v>
      </c>
      <c r="AU84" s="1">
        <f t="shared" ca="1" si="30"/>
        <v>0</v>
      </c>
      <c r="AV84" s="1">
        <f t="shared" ca="1" si="30"/>
        <v>0</v>
      </c>
      <c r="AW84" s="1">
        <f t="shared" ca="1" si="30"/>
        <v>0</v>
      </c>
      <c r="AX84" s="1">
        <f t="shared" ca="1" si="30"/>
        <v>0</v>
      </c>
      <c r="AY84" s="1">
        <f t="shared" ca="1" si="30"/>
        <v>0</v>
      </c>
      <c r="AZ84" s="1">
        <f t="shared" ca="1" si="30"/>
        <v>0</v>
      </c>
      <c r="BA84" s="1">
        <f t="shared" ca="1" si="30"/>
        <v>0</v>
      </c>
      <c r="BB84" s="1">
        <f t="shared" ca="1" si="30"/>
        <v>0</v>
      </c>
      <c r="BC84" s="1">
        <f t="shared" ca="1" si="30"/>
        <v>0</v>
      </c>
      <c r="BD84" s="1">
        <f t="shared" ca="1" si="30"/>
        <v>0</v>
      </c>
      <c r="BE84" s="1">
        <f t="shared" ca="1" si="30"/>
        <v>0</v>
      </c>
      <c r="BF84" s="1">
        <f t="shared" ca="1" si="30"/>
        <v>0</v>
      </c>
      <c r="BG84" s="1">
        <f t="shared" ca="1" si="30"/>
        <v>0</v>
      </c>
      <c r="BH84" s="1">
        <f t="shared" ca="1" si="30"/>
        <v>0</v>
      </c>
      <c r="BI84" s="1">
        <f t="shared" ca="1" si="30"/>
        <v>0</v>
      </c>
      <c r="BJ84" s="1">
        <f t="shared" ca="1" si="30"/>
        <v>0</v>
      </c>
      <c r="BK84" s="1">
        <f t="shared" ca="1" si="30"/>
        <v>11</v>
      </c>
      <c r="BL84" s="1">
        <f t="shared" ca="1" si="30"/>
        <v>15</v>
      </c>
      <c r="BM84" s="1">
        <f t="shared" ca="1" si="30"/>
        <v>24</v>
      </c>
      <c r="BN84" s="1">
        <f t="shared" ca="1" si="30"/>
        <v>34</v>
      </c>
      <c r="BO84" s="1">
        <f t="shared" ca="1" si="30"/>
        <v>0</v>
      </c>
      <c r="BP84" s="1">
        <f t="shared" ca="1" si="30"/>
        <v>0</v>
      </c>
      <c r="BQ84" s="1">
        <f t="shared" ref="BQ84:BV84" ca="1" si="31">BQ66-BQ60</f>
        <v>0</v>
      </c>
      <c r="BR84" s="1">
        <f t="shared" ca="1" si="31"/>
        <v>0</v>
      </c>
      <c r="BS84" s="1">
        <f t="shared" ca="1" si="31"/>
        <v>0</v>
      </c>
      <c r="BT84" s="1">
        <f t="shared" ca="1" si="31"/>
        <v>0</v>
      </c>
      <c r="BU84" s="1">
        <f t="shared" ca="1" si="31"/>
        <v>0</v>
      </c>
      <c r="BV84" s="1">
        <f t="shared" ca="1" si="31"/>
        <v>0</v>
      </c>
    </row>
    <row r="85" spans="1:74" x14ac:dyDescent="0.25">
      <c r="C85" s="1" t="str">
        <f>C11</f>
        <v>Switzerland Berne</v>
      </c>
      <c r="D85" t="str">
        <f>D84</f>
        <v>Recovered not reported</v>
      </c>
      <c r="E85" s="1">
        <f t="shared" ref="E85:AJ85" ca="1" si="32">E67-E61</f>
        <v>0</v>
      </c>
      <c r="F85" s="1">
        <f t="shared" ca="1" si="32"/>
        <v>0</v>
      </c>
      <c r="G85" s="1">
        <f t="shared" ca="1" si="32"/>
        <v>0</v>
      </c>
      <c r="H85" s="1">
        <f t="shared" ca="1" si="32"/>
        <v>0</v>
      </c>
      <c r="I85" s="1">
        <f t="shared" ca="1" si="32"/>
        <v>0</v>
      </c>
      <c r="J85" s="1">
        <f t="shared" ca="1" si="32"/>
        <v>0</v>
      </c>
      <c r="K85" s="1">
        <f t="shared" ca="1" si="32"/>
        <v>0</v>
      </c>
      <c r="L85" s="1">
        <f t="shared" ca="1" si="32"/>
        <v>0</v>
      </c>
      <c r="M85" s="1">
        <f t="shared" ca="1" si="32"/>
        <v>0</v>
      </c>
      <c r="N85" s="1">
        <f t="shared" ca="1" si="32"/>
        <v>0</v>
      </c>
      <c r="O85" s="1">
        <f t="shared" ca="1" si="32"/>
        <v>0</v>
      </c>
      <c r="P85" s="1">
        <f t="shared" ca="1" si="32"/>
        <v>0</v>
      </c>
      <c r="Q85" s="1">
        <f t="shared" ca="1" si="32"/>
        <v>0</v>
      </c>
      <c r="R85" s="1">
        <f t="shared" ca="1" si="32"/>
        <v>0</v>
      </c>
      <c r="S85" s="1">
        <f t="shared" ca="1" si="32"/>
        <v>0</v>
      </c>
      <c r="T85" s="1">
        <f t="shared" ca="1" si="32"/>
        <v>0</v>
      </c>
      <c r="U85" s="1">
        <f t="shared" ca="1" si="32"/>
        <v>0</v>
      </c>
      <c r="V85" s="1">
        <f t="shared" ca="1" si="32"/>
        <v>0</v>
      </c>
      <c r="W85" s="1">
        <f t="shared" ca="1" si="32"/>
        <v>0</v>
      </c>
      <c r="X85" s="1">
        <f t="shared" ca="1" si="32"/>
        <v>0</v>
      </c>
      <c r="Y85" s="1">
        <f t="shared" ca="1" si="32"/>
        <v>0</v>
      </c>
      <c r="Z85" s="1">
        <f t="shared" ca="1" si="32"/>
        <v>0</v>
      </c>
      <c r="AA85" s="1">
        <f t="shared" ca="1" si="32"/>
        <v>0</v>
      </c>
      <c r="AB85" s="1">
        <f t="shared" ca="1" si="32"/>
        <v>0</v>
      </c>
      <c r="AC85" s="1">
        <f t="shared" ca="1" si="32"/>
        <v>0</v>
      </c>
      <c r="AD85" s="1">
        <f t="shared" ca="1" si="32"/>
        <v>0</v>
      </c>
      <c r="AE85" s="1">
        <f t="shared" ca="1" si="32"/>
        <v>0</v>
      </c>
      <c r="AF85" s="1">
        <f t="shared" ca="1" si="32"/>
        <v>0</v>
      </c>
      <c r="AG85" s="1">
        <f t="shared" ca="1" si="32"/>
        <v>0</v>
      </c>
      <c r="AH85" s="1">
        <f t="shared" ca="1" si="32"/>
        <v>0</v>
      </c>
      <c r="AI85" s="1">
        <f t="shared" ca="1" si="32"/>
        <v>0</v>
      </c>
      <c r="AJ85" s="1">
        <f t="shared" ca="1" si="32"/>
        <v>0</v>
      </c>
      <c r="AK85" s="1">
        <f t="shared" ref="AK85:BP85" ca="1" si="33">AK67-AK61</f>
        <v>0</v>
      </c>
      <c r="AL85" s="1">
        <f t="shared" ca="1" si="33"/>
        <v>0</v>
      </c>
      <c r="AM85" s="1">
        <f t="shared" ca="1" si="33"/>
        <v>0</v>
      </c>
      <c r="AN85" s="1">
        <f t="shared" ca="1" si="33"/>
        <v>0</v>
      </c>
      <c r="AO85" s="1">
        <f t="shared" ca="1" si="33"/>
        <v>0</v>
      </c>
      <c r="AP85" s="1">
        <f t="shared" ca="1" si="33"/>
        <v>0</v>
      </c>
      <c r="AQ85" s="1">
        <f t="shared" ca="1" si="33"/>
        <v>0</v>
      </c>
      <c r="AR85" s="1">
        <f t="shared" ca="1" si="33"/>
        <v>0</v>
      </c>
      <c r="AS85" s="1">
        <f t="shared" ca="1" si="33"/>
        <v>0</v>
      </c>
      <c r="AT85" s="1">
        <f t="shared" ca="1" si="33"/>
        <v>0</v>
      </c>
      <c r="AU85" s="1">
        <f t="shared" ca="1" si="33"/>
        <v>0</v>
      </c>
      <c r="AV85" s="1">
        <f t="shared" ca="1" si="33"/>
        <v>0</v>
      </c>
      <c r="AW85" s="1">
        <f t="shared" ca="1" si="33"/>
        <v>0</v>
      </c>
      <c r="AX85" s="1">
        <f t="shared" ca="1" si="33"/>
        <v>0</v>
      </c>
      <c r="AY85" s="1">
        <f t="shared" ca="1" si="33"/>
        <v>0</v>
      </c>
      <c r="AZ85" s="1">
        <f t="shared" ca="1" si="33"/>
        <v>0</v>
      </c>
      <c r="BA85" s="1">
        <f t="shared" ca="1" si="33"/>
        <v>0</v>
      </c>
      <c r="BB85" s="1">
        <f t="shared" ca="1" si="33"/>
        <v>0</v>
      </c>
      <c r="BC85" s="1">
        <f t="shared" ca="1" si="33"/>
        <v>0</v>
      </c>
      <c r="BD85" s="1">
        <f t="shared" ca="1" si="33"/>
        <v>0</v>
      </c>
      <c r="BE85" s="1">
        <f t="shared" ca="1" si="33"/>
        <v>0</v>
      </c>
      <c r="BF85" s="1">
        <f t="shared" ca="1" si="33"/>
        <v>0</v>
      </c>
      <c r="BG85" s="1">
        <f t="shared" ca="1" si="33"/>
        <v>0</v>
      </c>
      <c r="BH85" s="1">
        <f t="shared" ca="1" si="33"/>
        <v>0</v>
      </c>
      <c r="BI85" s="1">
        <f t="shared" ca="1" si="33"/>
        <v>0</v>
      </c>
      <c r="BJ85" s="1">
        <f t="shared" ca="1" si="33"/>
        <v>0</v>
      </c>
      <c r="BK85" s="1">
        <f t="shared" ca="1" si="33"/>
        <v>0</v>
      </c>
      <c r="BL85" s="1">
        <f t="shared" ca="1" si="33"/>
        <v>0</v>
      </c>
      <c r="BM85" s="1">
        <f t="shared" ca="1" si="33"/>
        <v>0</v>
      </c>
      <c r="BN85" s="1">
        <f t="shared" ca="1" si="33"/>
        <v>0</v>
      </c>
      <c r="BO85" s="1">
        <f t="shared" ca="1" si="33"/>
        <v>0</v>
      </c>
      <c r="BP85" s="1">
        <f t="shared" ca="1" si="33"/>
        <v>0</v>
      </c>
      <c r="BQ85" s="1">
        <f t="shared" ref="BQ85:BV85" ca="1" si="34">BQ67-BQ61</f>
        <v>0</v>
      </c>
      <c r="BR85" s="1">
        <f t="shared" ca="1" si="34"/>
        <v>0</v>
      </c>
      <c r="BS85" s="1">
        <f t="shared" ca="1" si="34"/>
        <v>0</v>
      </c>
      <c r="BT85" s="1">
        <f t="shared" ca="1" si="34"/>
        <v>0</v>
      </c>
      <c r="BU85" s="1">
        <f t="shared" ca="1" si="34"/>
        <v>0</v>
      </c>
      <c r="BV85" s="1">
        <f t="shared" ca="1" si="34"/>
        <v>0</v>
      </c>
    </row>
    <row r="86" spans="1:7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>
        <v>6</v>
      </c>
      <c r="B87">
        <f ca="1">MATCH("Country/Region",INDIRECT("'Confirmed'!A:A"),0)</f>
        <v>1</v>
      </c>
      <c r="C87" s="4" t="s">
        <v>137</v>
      </c>
      <c r="D87" s="4"/>
      <c r="E87" s="4" t="str" cm="1">
        <f t="array" aca="1" ref="E87" ca="1">INDIRECT(ADDRESS($B87,E$49+$A87,1,1,"Confirmed Trend"))</f>
        <v>2020-01-22</v>
      </c>
      <c r="F87" s="4" t="str" cm="1">
        <f t="array" aca="1" ref="F87" ca="1">INDIRECT(ADDRESS($B87,F$49+$A87,1,1,"Confirmed Trend"))</f>
        <v>2020-01-23</v>
      </c>
      <c r="G87" s="4" t="str" cm="1">
        <f t="array" aca="1" ref="G87" ca="1">INDIRECT(ADDRESS($B87,G$49+$A87,1,1,"Confirmed Trend"))</f>
        <v>2020-01-24</v>
      </c>
      <c r="H87" s="4" t="str" cm="1">
        <f t="array" aca="1" ref="H87" ca="1">INDIRECT(ADDRESS($B87,H$49+$A87,1,1,"Confirmed Trend"))</f>
        <v>2020-01-25</v>
      </c>
      <c r="I87" s="4" t="str" cm="1">
        <f t="array" aca="1" ref="I87" ca="1">INDIRECT(ADDRESS($B87,I$49+$A87,1,1,"Confirmed Trend"))</f>
        <v>2020-01-26</v>
      </c>
      <c r="J87" s="4" t="str" cm="1">
        <f t="array" aca="1" ref="J87" ca="1">INDIRECT(ADDRESS($B87,J$49+$A87,1,1,"Confirmed Trend"))</f>
        <v>2020-01-27</v>
      </c>
      <c r="K87" s="4" t="str" cm="1">
        <f t="array" aca="1" ref="K87" ca="1">INDIRECT(ADDRESS($B87,K$49+$A87,1,1,"Confirmed Trend"))</f>
        <v>2020-01-28</v>
      </c>
      <c r="L87" s="4" t="str" cm="1">
        <f t="array" aca="1" ref="L87" ca="1">INDIRECT(ADDRESS($B87,L$49+$A87,1,1,"Confirmed Trend"))</f>
        <v>2020-01-29</v>
      </c>
      <c r="M87" s="4" t="str" cm="1">
        <f t="array" aca="1" ref="M87" ca="1">INDIRECT(ADDRESS($B87,M$49+$A87,1,1,"Confirmed Trend"))</f>
        <v>2020-01-30</v>
      </c>
      <c r="N87" s="4" t="str" cm="1">
        <f t="array" aca="1" ref="N87" ca="1">INDIRECT(ADDRESS($B87,N$49+$A87,1,1,"Confirmed Trend"))</f>
        <v>2020-01-31</v>
      </c>
      <c r="O87" s="4" t="str" cm="1">
        <f t="array" aca="1" ref="O87" ca="1">INDIRECT(ADDRESS($B87,O$49+$A87,1,1,"Confirmed Trend"))</f>
        <v>2020-02-01</v>
      </c>
      <c r="P87" s="4" t="str" cm="1">
        <f t="array" aca="1" ref="P87" ca="1">INDIRECT(ADDRESS($B87,P$49+$A87,1,1,"Confirmed Trend"))</f>
        <v>2020-02-02</v>
      </c>
      <c r="Q87" s="4" t="str" cm="1">
        <f t="array" aca="1" ref="Q87" ca="1">INDIRECT(ADDRESS($B87,Q$49+$A87,1,1,"Confirmed Trend"))</f>
        <v>2020-02-03</v>
      </c>
      <c r="R87" s="4" t="str" cm="1">
        <f t="array" aca="1" ref="R87" ca="1">INDIRECT(ADDRESS($B87,R$49+$A87,1,1,"Confirmed Trend"))</f>
        <v>2020-02-04</v>
      </c>
      <c r="S87" s="4" t="str" cm="1">
        <f t="array" aca="1" ref="S87" ca="1">INDIRECT(ADDRESS($B87,S$49+$A87,1,1,"Confirmed Trend"))</f>
        <v>2020-02-05</v>
      </c>
      <c r="T87" s="4" t="str" cm="1">
        <f t="array" aca="1" ref="T87" ca="1">INDIRECT(ADDRESS($B87,T$49+$A87,1,1,"Confirmed Trend"))</f>
        <v>2020-02-06</v>
      </c>
      <c r="U87" s="4" t="str" cm="1">
        <f t="array" aca="1" ref="U87" ca="1">INDIRECT(ADDRESS($B87,U$49+$A87,1,1,"Confirmed Trend"))</f>
        <v>2020-02-07</v>
      </c>
      <c r="V87" s="4" t="str" cm="1">
        <f t="array" aca="1" ref="V87" ca="1">INDIRECT(ADDRESS($B87,V$49+$A87,1,1,"Confirmed Trend"))</f>
        <v>2020-02-08</v>
      </c>
      <c r="W87" s="4" t="str" cm="1">
        <f t="array" aca="1" ref="W87" ca="1">INDIRECT(ADDRESS($B87,W$49+$A87,1,1,"Confirmed Trend"))</f>
        <v>2020-02-09</v>
      </c>
      <c r="X87" s="4" t="str" cm="1">
        <f t="array" aca="1" ref="X87" ca="1">INDIRECT(ADDRESS($B87,X$49+$A87,1,1,"Confirmed Trend"))</f>
        <v>2020-02-10</v>
      </c>
      <c r="Y87" s="4" t="str" cm="1">
        <f t="array" aca="1" ref="Y87" ca="1">INDIRECT(ADDRESS($B87,Y$49+$A87,1,1,"Confirmed Trend"))</f>
        <v>2020-02-11</v>
      </c>
      <c r="Z87" s="4" t="str" cm="1">
        <f t="array" aca="1" ref="Z87" ca="1">INDIRECT(ADDRESS($B87,Z$49+$A87,1,1,"Confirmed Trend"))</f>
        <v>2020-02-12</v>
      </c>
      <c r="AA87" s="4" t="str" cm="1">
        <f t="array" aca="1" ref="AA87" ca="1">INDIRECT(ADDRESS($B87,AA$49+$A87,1,1,"Confirmed Trend"))</f>
        <v>2020-02-13</v>
      </c>
      <c r="AB87" s="4" t="str" cm="1">
        <f t="array" aca="1" ref="AB87" ca="1">INDIRECT(ADDRESS($B87,AB$49+$A87,1,1,"Confirmed Trend"))</f>
        <v>2020-02-14</v>
      </c>
      <c r="AC87" s="4" t="str" cm="1">
        <f t="array" aca="1" ref="AC87" ca="1">INDIRECT(ADDRESS($B87,AC$49+$A87,1,1,"Confirmed Trend"))</f>
        <v>2020-02-15</v>
      </c>
      <c r="AD87" s="4" t="str" cm="1">
        <f t="array" aca="1" ref="AD87" ca="1">INDIRECT(ADDRESS($B87,AD$49+$A87,1,1,"Confirmed Trend"))</f>
        <v>2020-02-16</v>
      </c>
      <c r="AE87" s="4" t="str" cm="1">
        <f t="array" aca="1" ref="AE87" ca="1">INDIRECT(ADDRESS($B87,AE$49+$A87,1,1,"Confirmed Trend"))</f>
        <v>2020-02-17</v>
      </c>
      <c r="AF87" s="4" t="str" cm="1">
        <f t="array" aca="1" ref="AF87" ca="1">INDIRECT(ADDRESS($B87,AF$49+$A87,1,1,"Confirmed Trend"))</f>
        <v>2020-02-18</v>
      </c>
      <c r="AG87" s="4" t="str" cm="1">
        <f t="array" aca="1" ref="AG87" ca="1">INDIRECT(ADDRESS($B87,AG$49+$A87,1,1,"Confirmed Trend"))</f>
        <v>2020-02-19</v>
      </c>
      <c r="AH87" s="4" t="str" cm="1">
        <f t="array" aca="1" ref="AH87" ca="1">INDIRECT(ADDRESS($B87,AH$49+$A87,1,1,"Confirmed Trend"))</f>
        <v>2020-02-20</v>
      </c>
      <c r="AI87" s="4" t="str" cm="1">
        <f t="array" aca="1" ref="AI87" ca="1">INDIRECT(ADDRESS($B87,AI$49+$A87,1,1,"Confirmed Trend"))</f>
        <v>2020-02-21</v>
      </c>
      <c r="AJ87" s="4" t="str" cm="1">
        <f t="array" aca="1" ref="AJ87" ca="1">INDIRECT(ADDRESS($B87,AJ$49+$A87,1,1,"Confirmed Trend"))</f>
        <v>2020-02-22</v>
      </c>
      <c r="AK87" s="4" t="str" cm="1">
        <f t="array" aca="1" ref="AK87" ca="1">INDIRECT(ADDRESS($B87,AK$49+$A87,1,1,"Confirmed Trend"))</f>
        <v>2020-02-23</v>
      </c>
      <c r="AL87" s="4" t="str" cm="1">
        <f t="array" aca="1" ref="AL87" ca="1">INDIRECT(ADDRESS($B87,AL$49+$A87,1,1,"Confirmed Trend"))</f>
        <v>2020-02-24</v>
      </c>
      <c r="AM87" s="4" t="str" cm="1">
        <f t="array" aca="1" ref="AM87" ca="1">INDIRECT(ADDRESS($B87,AM$49+$A87,1,1,"Confirmed Trend"))</f>
        <v>2020-02-25</v>
      </c>
      <c r="AN87" s="4" t="str" cm="1">
        <f t="array" aca="1" ref="AN87" ca="1">INDIRECT(ADDRESS($B87,AN$49+$A87,1,1,"Confirmed Trend"))</f>
        <v>2020-02-26</v>
      </c>
      <c r="AO87" s="4" t="str" cm="1">
        <f t="array" aca="1" ref="AO87" ca="1">INDIRECT(ADDRESS($B87,AO$49+$A87,1,1,"Confirmed Trend"))</f>
        <v>2020-02-27</v>
      </c>
      <c r="AP87" s="4" t="str" cm="1">
        <f t="array" aca="1" ref="AP87" ca="1">INDIRECT(ADDRESS($B87,AP$49+$A87,1,1,"Confirmed Trend"))</f>
        <v>2020-02-28</v>
      </c>
      <c r="AQ87" s="4" t="str" cm="1">
        <f t="array" aca="1" ref="AQ87" ca="1">INDIRECT(ADDRESS($B87,AQ$49+$A87,1,1,"Confirmed Trend"))</f>
        <v>2020-02-29</v>
      </c>
      <c r="AR87" s="4" t="str" cm="1">
        <f t="array" aca="1" ref="AR87" ca="1">INDIRECT(ADDRESS($B87,AR$49+$A87,1,1,"Confirmed Trend"))</f>
        <v>2020-03-01</v>
      </c>
      <c r="AS87" s="4" t="str" cm="1">
        <f t="array" aca="1" ref="AS87" ca="1">INDIRECT(ADDRESS($B87,AS$49+$A87,1,1,"Confirmed Trend"))</f>
        <v>2020-03-02</v>
      </c>
      <c r="AT87" s="4" t="str" cm="1">
        <f t="array" aca="1" ref="AT87" ca="1">INDIRECT(ADDRESS($B87,AT$49+$A87,1,1,"Confirmed Trend"))</f>
        <v>2020-03-03</v>
      </c>
      <c r="AU87" s="4" t="str" cm="1">
        <f t="array" aca="1" ref="AU87" ca="1">INDIRECT(ADDRESS($B87,AU$49+$A87,1,1,"Confirmed Trend"))</f>
        <v>2020-03-04</v>
      </c>
      <c r="AV87" s="4" t="str" cm="1">
        <f t="array" aca="1" ref="AV87" ca="1">INDIRECT(ADDRESS($B87,AV$49+$A87,1,1,"Confirmed Trend"))</f>
        <v>2020-03-05</v>
      </c>
      <c r="AW87" s="4" t="str" cm="1">
        <f t="array" aca="1" ref="AW87" ca="1">INDIRECT(ADDRESS($B87,AW$49+$A87,1,1,"Confirmed Trend"))</f>
        <v>2020-03-06</v>
      </c>
      <c r="AX87" s="4" t="str" cm="1">
        <f t="array" aca="1" ref="AX87" ca="1">INDIRECT(ADDRESS($B87,AX$49+$A87,1,1,"Confirmed Trend"))</f>
        <v>2020-03-07</v>
      </c>
      <c r="AY87" s="4" t="str" cm="1">
        <f t="array" aca="1" ref="AY87" ca="1">INDIRECT(ADDRESS($B87,AY$49+$A87,1,1,"Confirmed Trend"))</f>
        <v>2020-03-08</v>
      </c>
      <c r="AZ87" s="4" t="str" cm="1">
        <f t="array" aca="1" ref="AZ87" ca="1">INDIRECT(ADDRESS($B87,AZ$49+$A87,1,1,"Confirmed Trend"))</f>
        <v>2020-03-09</v>
      </c>
      <c r="BA87" s="4" t="str" cm="1">
        <f t="array" aca="1" ref="BA87" ca="1">INDIRECT(ADDRESS($B87,BA$49+$A87,1,1,"Confirmed Trend"))</f>
        <v>2020-03-10</v>
      </c>
      <c r="BB87" s="4" t="str" cm="1">
        <f t="array" aca="1" ref="BB87" ca="1">INDIRECT(ADDRESS($B87,BB$49+$A87,1,1,"Confirmed Trend"))</f>
        <v>2020-03-11</v>
      </c>
      <c r="BC87" s="4" t="str" cm="1">
        <f t="array" aca="1" ref="BC87" ca="1">INDIRECT(ADDRESS($B87,BC$49+$A87,1,1,"Confirmed Trend"))</f>
        <v>2020-03-12</v>
      </c>
      <c r="BD87" s="4" t="str" cm="1">
        <f t="array" aca="1" ref="BD87" ca="1">INDIRECT(ADDRESS($B87,BD$49+$A87,1,1,"Confirmed Trend"))</f>
        <v>2020-03-13</v>
      </c>
      <c r="BE87" s="4" t="str" cm="1">
        <f t="array" aca="1" ref="BE87" ca="1">INDIRECT(ADDRESS($B87,BE$49+$A87,1,1,"Confirmed Trend"))</f>
        <v>2020-03-14</v>
      </c>
      <c r="BF87" s="4" t="str" cm="1">
        <f t="array" aca="1" ref="BF87" ca="1">INDIRECT(ADDRESS($B87,BF$49+$A87,1,1,"Confirmed Trend"))</f>
        <v>2020-03-15</v>
      </c>
      <c r="BG87" s="4" t="str" cm="1">
        <f t="array" aca="1" ref="BG87" ca="1">INDIRECT(ADDRESS($B87,BG$49+$A87,1,1,"Confirmed Trend"))</f>
        <v>2020-03-16</v>
      </c>
      <c r="BH87" s="4" t="str" cm="1">
        <f t="array" aca="1" ref="BH87" ca="1">INDIRECT(ADDRESS($B87,BH$49+$A87,1,1,"Confirmed Trend"))</f>
        <v>2020-03-17</v>
      </c>
      <c r="BI87" s="4" t="str" cm="1">
        <f t="array" aca="1" ref="BI87" ca="1">INDIRECT(ADDRESS($B87,BI$49+$A87,1,1,"Confirmed Trend"))</f>
        <v>2020-03-18</v>
      </c>
      <c r="BJ87" s="4" t="str" cm="1">
        <f t="array" aca="1" ref="BJ87" ca="1">INDIRECT(ADDRESS($B87,BJ$49+$A87,1,1,"Confirmed Trend"))</f>
        <v>2020-03-19</v>
      </c>
      <c r="BK87" s="4" t="str" cm="1">
        <f t="array" aca="1" ref="BK87" ca="1">INDIRECT(ADDRESS($B87,BK$49+$A87,1,1,"Confirmed Trend"))</f>
        <v>2020-03-20</v>
      </c>
      <c r="BL87" s="4" t="str" cm="1">
        <f t="array" aca="1" ref="BL87" ca="1">INDIRECT(ADDRESS($B87,BL$49+$A87,1,1,"Confirmed Trend"))</f>
        <v>2020-03-21</v>
      </c>
      <c r="BM87" s="4" t="str" cm="1">
        <f t="array" aca="1" ref="BM87" ca="1">INDIRECT(ADDRESS($B87,BM$49+$A87,1,1,"Confirmed Trend"))</f>
        <v>2020-03-22</v>
      </c>
      <c r="BN87" s="4" t="str" cm="1">
        <f t="array" aca="1" ref="BN87" ca="1">INDIRECT(ADDRESS($B87,BN$49+$A87,1,1,"Confirmed Trend"))</f>
        <v>2020-03-23</v>
      </c>
      <c r="BO87" s="4" t="str" cm="1">
        <f t="array" aca="1" ref="BO87" ca="1">INDIRECT(ADDRESS($B87,BO$49+$A87,1,1,"Confirmed Trend"))</f>
        <v>Last Trend</v>
      </c>
      <c r="BP87" s="4" cm="1">
        <f t="array" aca="1" ref="BP87" ca="1">INDIRECT(ADDRESS($B87,BP$49+$A87,1,1,"Confirmed Trend"))</f>
        <v>0</v>
      </c>
      <c r="BQ87" s="4" cm="1">
        <f t="array" aca="1" ref="BQ87" ca="1">INDIRECT(ADDRESS($B87,BQ$49+$A87,1,1,"Confirmed Trend"))</f>
        <v>0</v>
      </c>
      <c r="BR87" s="4" cm="1">
        <f t="array" aca="1" ref="BR87" ca="1">INDIRECT(ADDRESS($B87,BR$49+$A87,1,1,"Confirmed Trend"))</f>
        <v>0</v>
      </c>
      <c r="BS87" s="4" cm="1">
        <f t="array" aca="1" ref="BS87" ca="1">INDIRECT(ADDRESS($B87,BS$49+$A87,1,1,"Confirmed Trend"))</f>
        <v>0</v>
      </c>
      <c r="BT87" s="4" cm="1">
        <f t="array" aca="1" ref="BT87" ca="1">INDIRECT(ADDRESS($B87,BT$49+$A87,1,1,"Confirmed Trend"))</f>
        <v>0</v>
      </c>
      <c r="BU87" s="4" cm="1">
        <f t="array" aca="1" ref="BU87" ca="1">INDIRECT(ADDRESS($B87,BU$49+$A87,1,1,"Confirmed Trend"))</f>
        <v>0</v>
      </c>
      <c r="BV87" s="4" cm="1">
        <f t="array" aca="1" ref="BV87" ca="1">INDIRECT(ADDRESS($B87,BV$49+$A87,1,1,"Confirmed Trend"))</f>
        <v>0</v>
      </c>
    </row>
    <row r="88" spans="1:74" x14ac:dyDescent="0.25">
      <c r="A88">
        <v>6</v>
      </c>
      <c r="B88">
        <f ca="1">MATCH($C88,INDIRECT("'"&amp;$C$87&amp;"'!A:A"),0)</f>
        <v>23</v>
      </c>
      <c r="C88" s="1" t="str">
        <f>C8</f>
        <v>Switzerland Ticino</v>
      </c>
      <c r="D88" t="str">
        <f>C87</f>
        <v>Confirmed Trend</v>
      </c>
      <c r="E88" s="3" cm="1">
        <f t="array" aca="1" ref="E88" ca="1">INDIRECT(ADDRESS($B88,E$49+$A88,1,1,$C$87))</f>
        <v>0</v>
      </c>
      <c r="F88" s="3" cm="1">
        <f t="array" aca="1" ref="F88" ca="1">INDIRECT(ADDRESS($B88,F$49+$A88,1,1,$C$87))</f>
        <v>0</v>
      </c>
      <c r="G88" s="3" cm="1">
        <f t="array" aca="1" ref="G88" ca="1">INDIRECT(ADDRESS($B88,G$49+$A88,1,1,$C$87))</f>
        <v>0</v>
      </c>
      <c r="H88" s="3" cm="1">
        <f t="array" aca="1" ref="H88" ca="1">INDIRECT(ADDRESS($B88,H$49+$A88,1,1,$C$87))</f>
        <v>0</v>
      </c>
      <c r="I88" s="3" cm="1">
        <f t="array" aca="1" ref="I88" ca="1">INDIRECT(ADDRESS($B88,I$49+$A88,1,1,$C$87))</f>
        <v>0</v>
      </c>
      <c r="J88" s="3" cm="1">
        <f t="array" aca="1" ref="J88" ca="1">INDIRECT(ADDRESS($B88,J$49+$A88,1,1,$C$87))</f>
        <v>0</v>
      </c>
      <c r="K88" s="3" cm="1">
        <f t="array" aca="1" ref="K88" ca="1">INDIRECT(ADDRESS($B88,K$49+$A88,1,1,$C$87))</f>
        <v>0</v>
      </c>
      <c r="L88" s="3" cm="1">
        <f t="array" aca="1" ref="L88" ca="1">INDIRECT(ADDRESS($B88,L$49+$A88,1,1,$C$87))</f>
        <v>0</v>
      </c>
      <c r="M88" s="3" cm="1">
        <f t="array" aca="1" ref="M88" ca="1">INDIRECT(ADDRESS($B88,M$49+$A88,1,1,$C$87))</f>
        <v>0</v>
      </c>
      <c r="N88" s="3" cm="1">
        <f t="array" aca="1" ref="N88" ca="1">INDIRECT(ADDRESS($B88,N$49+$A88,1,1,$C$87))</f>
        <v>0</v>
      </c>
      <c r="O88" s="3" cm="1">
        <f t="array" aca="1" ref="O88" ca="1">INDIRECT(ADDRESS($B88,O$49+$A88,1,1,$C$87))</f>
        <v>0</v>
      </c>
      <c r="P88" s="3" cm="1">
        <f t="array" aca="1" ref="P88" ca="1">INDIRECT(ADDRESS($B88,P$49+$A88,1,1,$C$87))</f>
        <v>0</v>
      </c>
      <c r="Q88" s="3" cm="1">
        <f t="array" aca="1" ref="Q88" ca="1">INDIRECT(ADDRESS($B88,Q$49+$A88,1,1,$C$87))</f>
        <v>0</v>
      </c>
      <c r="R88" s="3" cm="1">
        <f t="array" aca="1" ref="R88" ca="1">INDIRECT(ADDRESS($B88,R$49+$A88,1,1,$C$87))</f>
        <v>0</v>
      </c>
      <c r="S88" s="3" cm="1">
        <f t="array" aca="1" ref="S88" ca="1">INDIRECT(ADDRESS($B88,S$49+$A88,1,1,$C$87))</f>
        <v>0</v>
      </c>
      <c r="T88" s="3" cm="1">
        <f t="array" aca="1" ref="T88" ca="1">INDIRECT(ADDRESS($B88,T$49+$A88,1,1,$C$87))</f>
        <v>0</v>
      </c>
      <c r="U88" s="3" cm="1">
        <f t="array" aca="1" ref="U88" ca="1">INDIRECT(ADDRESS($B88,U$49+$A88,1,1,$C$87))</f>
        <v>0</v>
      </c>
      <c r="V88" s="3" cm="1">
        <f t="array" aca="1" ref="V88" ca="1">INDIRECT(ADDRESS($B88,V$49+$A88,1,1,$C$87))</f>
        <v>0</v>
      </c>
      <c r="W88" s="3" cm="1">
        <f t="array" aca="1" ref="W88" ca="1">INDIRECT(ADDRESS($B88,W$49+$A88,1,1,$C$87))</f>
        <v>0</v>
      </c>
      <c r="X88" s="3" cm="1">
        <f t="array" aca="1" ref="X88" ca="1">INDIRECT(ADDRESS($B88,X$49+$A88,1,1,$C$87))</f>
        <v>0</v>
      </c>
      <c r="Y88" s="3" cm="1">
        <f t="array" aca="1" ref="Y88" ca="1">INDIRECT(ADDRESS($B88,Y$49+$A88,1,1,$C$87))</f>
        <v>0</v>
      </c>
      <c r="Z88" s="3" cm="1">
        <f t="array" aca="1" ref="Z88" ca="1">INDIRECT(ADDRESS($B88,Z$49+$A88,1,1,$C$87))</f>
        <v>0</v>
      </c>
      <c r="AA88" s="3" cm="1">
        <f t="array" aca="1" ref="AA88" ca="1">INDIRECT(ADDRESS($B88,AA$49+$A88,1,1,$C$87))</f>
        <v>0</v>
      </c>
      <c r="AB88" s="3" cm="1">
        <f t="array" aca="1" ref="AB88" ca="1">INDIRECT(ADDRESS($B88,AB$49+$A88,1,1,$C$87))</f>
        <v>0</v>
      </c>
      <c r="AC88" s="3" cm="1">
        <f t="array" aca="1" ref="AC88" ca="1">INDIRECT(ADDRESS($B88,AC$49+$A88,1,1,$C$87))</f>
        <v>0</v>
      </c>
      <c r="AD88" s="3" cm="1">
        <f t="array" aca="1" ref="AD88" ca="1">INDIRECT(ADDRESS($B88,AD$49+$A88,1,1,$C$87))</f>
        <v>0</v>
      </c>
      <c r="AE88" s="3" cm="1">
        <f t="array" aca="1" ref="AE88" ca="1">INDIRECT(ADDRESS($B88,AE$49+$A88,1,1,$C$87))</f>
        <v>0</v>
      </c>
      <c r="AF88" s="3" cm="1">
        <f t="array" aca="1" ref="AF88" ca="1">INDIRECT(ADDRESS($B88,AF$49+$A88,1,1,$C$87))</f>
        <v>0</v>
      </c>
      <c r="AG88" s="3" cm="1">
        <f t="array" aca="1" ref="AG88" ca="1">INDIRECT(ADDRESS($B88,AG$49+$A88,1,1,$C$87))</f>
        <v>0</v>
      </c>
      <c r="AH88" s="3" cm="1">
        <f t="array" aca="1" ref="AH88" ca="1">INDIRECT(ADDRESS($B88,AH$49+$A88,1,1,$C$87))</f>
        <v>0</v>
      </c>
      <c r="AI88" s="3" cm="1">
        <f t="array" aca="1" ref="AI88" ca="1">INDIRECT(ADDRESS($B88,AI$49+$A88,1,1,$C$87))</f>
        <v>0</v>
      </c>
      <c r="AJ88" s="3" cm="1">
        <f t="array" aca="1" ref="AJ88" ca="1">INDIRECT(ADDRESS($B88,AJ$49+$A88,1,1,$C$87))</f>
        <v>0</v>
      </c>
      <c r="AK88" s="3" cm="1">
        <f t="array" aca="1" ref="AK88" ca="1">INDIRECT(ADDRESS($B88,AK$49+$A88,1,1,$C$87))</f>
        <v>0</v>
      </c>
      <c r="AL88" s="3" cm="1">
        <f t="array" aca="1" ref="AL88" ca="1">INDIRECT(ADDRESS($B88,AL$49+$A88,1,1,$C$87))</f>
        <v>0</v>
      </c>
      <c r="AM88" s="3" cm="1">
        <f t="array" aca="1" ref="AM88" ca="1">INDIRECT(ADDRESS($B88,AM$49+$A88,1,1,$C$87))</f>
        <v>0</v>
      </c>
      <c r="AN88" s="3" cm="1">
        <f t="array" aca="1" ref="AN88" ca="1">INDIRECT(ADDRESS($B88,AN$49+$A88,1,1,$C$87))</f>
        <v>0</v>
      </c>
      <c r="AO88" s="3" cm="1">
        <f t="array" aca="1" ref="AO88" ca="1">INDIRECT(ADDRESS($B88,AO$49+$A88,1,1,$C$87))</f>
        <v>0</v>
      </c>
      <c r="AP88" s="3" cm="1">
        <f t="array" aca="1" ref="AP88" ca="1">INDIRECT(ADDRESS($B88,AP$49+$A88,1,1,$C$87))</f>
        <v>0</v>
      </c>
      <c r="AQ88" s="3" cm="1">
        <f t="array" aca="1" ref="AQ88" ca="1">INDIRECT(ADDRESS($B88,AQ$49+$A88,1,1,$C$87))</f>
        <v>0</v>
      </c>
      <c r="AR88" s="3" cm="1">
        <f t="array" aca="1" ref="AR88" ca="1">INDIRECT(ADDRESS($B88,AR$49+$A88,1,1,$C$87))</f>
        <v>0</v>
      </c>
      <c r="AS88" s="3" cm="1">
        <f t="array" aca="1" ref="AS88" ca="1">INDIRECT(ADDRESS($B88,AS$49+$A88,1,1,$C$87))</f>
        <v>7.4569931800000003E-2</v>
      </c>
      <c r="AT88" s="3" cm="1">
        <f t="array" aca="1" ref="AT88" ca="1">INDIRECT(ADDRESS($B88,AT$49+$A88,1,1,$C$87))</f>
        <v>0.23593091699999999</v>
      </c>
      <c r="AU88" s="3" cm="1">
        <f t="array" aca="1" ref="AU88" ca="1">INDIRECT(ADDRESS($B88,AU$49+$A88,1,1,$C$87))</f>
        <v>0.38378257519999998</v>
      </c>
      <c r="AV88" s="3" cm="1">
        <f t="array" aca="1" ref="AV88" ca="1">INDIRECT(ADDRESS($B88,AV$49+$A88,1,1,$C$87))</f>
        <v>0.46977784020000002</v>
      </c>
      <c r="AW88" s="3" cm="1">
        <f t="array" aca="1" ref="AW88" ca="1">INDIRECT(ADDRESS($B88,AW$49+$A88,1,1,$C$87))</f>
        <v>0.39157884189999997</v>
      </c>
      <c r="AX88" s="3" cm="1">
        <f t="array" aca="1" ref="AX88" ca="1">INDIRECT(ADDRESS($B88,AX$49+$A88,1,1,$C$87))</f>
        <v>0.209896735</v>
      </c>
      <c r="AY88" s="3" cm="1">
        <f t="array" aca="1" ref="AY88" ca="1">INDIRECT(ADDRESS($B88,AY$49+$A88,1,1,$C$87))</f>
        <v>8.0624086499999997E-2</v>
      </c>
      <c r="AZ88" s="3" cm="1">
        <f t="array" aca="1" ref="AZ88" ca="1">INDIRECT(ADDRESS($B88,AZ$49+$A88,1,1,$C$87))</f>
        <v>1.7397827300000002E-2</v>
      </c>
      <c r="BA88" s="3" cm="1">
        <f t="array" aca="1" ref="BA88" ca="1">INDIRECT(ADDRESS($B88,BA$49+$A88,1,1,$C$87))</f>
        <v>0</v>
      </c>
      <c r="BB88" s="3" cm="1">
        <f t="array" aca="1" ref="BB88" ca="1">INDIRECT(ADDRESS($B88,BB$49+$A88,1,1,$C$87))</f>
        <v>0</v>
      </c>
      <c r="BC88" s="3" cm="1">
        <f t="array" aca="1" ref="BC88" ca="1">INDIRECT(ADDRESS($B88,BC$49+$A88,1,1,$C$87))</f>
        <v>0.8865381215</v>
      </c>
      <c r="BD88" s="3" cm="1">
        <f t="array" aca="1" ref="BD88" ca="1">INDIRECT(ADDRESS($B88,BD$49+$A88,1,1,$C$87))</f>
        <v>1.3311923905</v>
      </c>
      <c r="BE88" s="3" cm="1">
        <f t="array" aca="1" ref="BE88" ca="1">INDIRECT(ADDRESS($B88,BE$49+$A88,1,1,$C$87))</f>
        <v>1.6164715479</v>
      </c>
      <c r="BF88" s="3" cm="1">
        <f t="array" aca="1" ref="BF88" ca="1">INDIRECT(ADDRESS($B88,BF$49+$A88,1,1,$C$87))</f>
        <v>1.7141465052</v>
      </c>
      <c r="BG88" s="3" cm="1">
        <f t="array" aca="1" ref="BG88" ca="1">INDIRECT(ADDRESS($B88,BG$49+$A88,1,1,$C$87))</f>
        <v>0.46950148819999998</v>
      </c>
      <c r="BH88" s="3" cm="1">
        <f t="array" aca="1" ref="BH88" ca="1">INDIRECT(ADDRESS($B88,BH$49+$A88,1,1,$C$87))</f>
        <v>0.2387114316</v>
      </c>
      <c r="BI88" s="3" cm="1">
        <f t="array" aca="1" ref="BI88" ca="1">INDIRECT(ADDRESS($B88,BI$49+$A88,1,1,$C$87))</f>
        <v>0.15774258029999999</v>
      </c>
      <c r="BJ88" s="3" cm="1">
        <f t="array" aca="1" ref="BJ88" ca="1">INDIRECT(ADDRESS($B88,BJ$49+$A88,1,1,$C$87))</f>
        <v>0.1786583712</v>
      </c>
      <c r="BK88" s="3" cm="1">
        <f t="array" aca="1" ref="BK88" ca="1">INDIRECT(ADDRESS($B88,BK$49+$A88,1,1,$C$87))</f>
        <v>0.22312895720000001</v>
      </c>
      <c r="BL88" s="3" cm="1">
        <f t="array" aca="1" ref="BL88" ca="1">INDIRECT(ADDRESS($B88,BL$49+$A88,1,1,$C$87))</f>
        <v>0.23034921959999999</v>
      </c>
      <c r="BM88" s="3" cm="1">
        <f t="array" aca="1" ref="BM88" ca="1">INDIRECT(ADDRESS($B88,BM$49+$A88,1,1,$C$87))</f>
        <v>0.20816871810000001</v>
      </c>
      <c r="BN88" s="3" cm="1">
        <f t="array" aca="1" ref="BN88" ca="1">INDIRECT(ADDRESS($B88,BN$49+$A88,1,1,$C$87))</f>
        <v>0.17768615300000001</v>
      </c>
      <c r="BO88" s="3" cm="1">
        <f t="array" aca="1" ref="BO88" ca="1">INDIRECT(ADDRESS($B88,BO$49+$A88,1,1,$C$87))</f>
        <v>0.24068157609999999</v>
      </c>
      <c r="BP88" s="3" cm="1">
        <f t="array" aca="1" ref="BP88" ca="1">INDIRECT(ADDRESS($B88,BP$49+$A88,1,1,$C$87))</f>
        <v>0</v>
      </c>
      <c r="BQ88" s="3" cm="1">
        <f t="array" aca="1" ref="BQ88" ca="1">INDIRECT(ADDRESS($B88,BQ$49+$A88,1,1,$C$87))</f>
        <v>0</v>
      </c>
      <c r="BR88" s="3" cm="1">
        <f t="array" aca="1" ref="BR88" ca="1">INDIRECT(ADDRESS($B88,BR$49+$A88,1,1,$C$87))</f>
        <v>0</v>
      </c>
      <c r="BS88" s="3" cm="1">
        <f t="array" aca="1" ref="BS88" ca="1">INDIRECT(ADDRESS($B88,BS$49+$A88,1,1,$C$87))</f>
        <v>0</v>
      </c>
      <c r="BT88" s="3" cm="1">
        <f t="array" aca="1" ref="BT88" ca="1">INDIRECT(ADDRESS($B88,BT$49+$A88,1,1,$C$87))</f>
        <v>0</v>
      </c>
      <c r="BU88" s="3" cm="1">
        <f t="array" aca="1" ref="BU88" ca="1">INDIRECT(ADDRESS($B88,BU$49+$A88,1,1,$C$87))</f>
        <v>0</v>
      </c>
      <c r="BV88" s="3" cm="1">
        <f t="array" aca="1" ref="BV88" ca="1">INDIRECT(ADDRESS($B88,BV$49+$A88,1,1,$C$87))</f>
        <v>0</v>
      </c>
    </row>
    <row r="89" spans="1:74" x14ac:dyDescent="0.25">
      <c r="A89">
        <v>6</v>
      </c>
      <c r="B89">
        <f ca="1">MATCH($C89,INDIRECT("'"&amp;$C$87&amp;"'!A:A"),0)</f>
        <v>28</v>
      </c>
      <c r="C89" s="1" t="str">
        <f>C9</f>
        <v>Switzerland Zurich</v>
      </c>
      <c r="D89" t="str">
        <f>D88</f>
        <v>Confirmed Trend</v>
      </c>
      <c r="E89" s="3" cm="1">
        <f t="array" aca="1" ref="E89" ca="1">INDIRECT(ADDRESS($B89,E$49+$A89,1,1,$C$87))</f>
        <v>0</v>
      </c>
      <c r="F89" s="3" cm="1">
        <f t="array" aca="1" ref="F89" ca="1">INDIRECT(ADDRESS($B89,F$49+$A89,1,1,$C$87))</f>
        <v>0</v>
      </c>
      <c r="G89" s="3" cm="1">
        <f t="array" aca="1" ref="G89" ca="1">INDIRECT(ADDRESS($B89,G$49+$A89,1,1,$C$87))</f>
        <v>0</v>
      </c>
      <c r="H89" s="3" cm="1">
        <f t="array" aca="1" ref="H89" ca="1">INDIRECT(ADDRESS($B89,H$49+$A89,1,1,$C$87))</f>
        <v>0</v>
      </c>
      <c r="I89" s="3" cm="1">
        <f t="array" aca="1" ref="I89" ca="1">INDIRECT(ADDRESS($B89,I$49+$A89,1,1,$C$87))</f>
        <v>0</v>
      </c>
      <c r="J89" s="3" cm="1">
        <f t="array" aca="1" ref="J89" ca="1">INDIRECT(ADDRESS($B89,J$49+$A89,1,1,$C$87))</f>
        <v>0</v>
      </c>
      <c r="K89" s="3" cm="1">
        <f t="array" aca="1" ref="K89" ca="1">INDIRECT(ADDRESS($B89,K$49+$A89,1,1,$C$87))</f>
        <v>0</v>
      </c>
      <c r="L89" s="3" cm="1">
        <f t="array" aca="1" ref="L89" ca="1">INDIRECT(ADDRESS($B89,L$49+$A89,1,1,$C$87))</f>
        <v>0</v>
      </c>
      <c r="M89" s="3" cm="1">
        <f t="array" aca="1" ref="M89" ca="1">INDIRECT(ADDRESS($B89,M$49+$A89,1,1,$C$87))</f>
        <v>0</v>
      </c>
      <c r="N89" s="3" cm="1">
        <f t="array" aca="1" ref="N89" ca="1">INDIRECT(ADDRESS($B89,N$49+$A89,1,1,$C$87))</f>
        <v>0</v>
      </c>
      <c r="O89" s="3" cm="1">
        <f t="array" aca="1" ref="O89" ca="1">INDIRECT(ADDRESS($B89,O$49+$A89,1,1,$C$87))</f>
        <v>0</v>
      </c>
      <c r="P89" s="3" cm="1">
        <f t="array" aca="1" ref="P89" ca="1">INDIRECT(ADDRESS($B89,P$49+$A89,1,1,$C$87))</f>
        <v>0</v>
      </c>
      <c r="Q89" s="3" cm="1">
        <f t="array" aca="1" ref="Q89" ca="1">INDIRECT(ADDRESS($B89,Q$49+$A89,1,1,$C$87))</f>
        <v>0</v>
      </c>
      <c r="R89" s="3" cm="1">
        <f t="array" aca="1" ref="R89" ca="1">INDIRECT(ADDRESS($B89,R$49+$A89,1,1,$C$87))</f>
        <v>0</v>
      </c>
      <c r="S89" s="3" cm="1">
        <f t="array" aca="1" ref="S89" ca="1">INDIRECT(ADDRESS($B89,S$49+$A89,1,1,$C$87))</f>
        <v>0</v>
      </c>
      <c r="T89" s="3" cm="1">
        <f t="array" aca="1" ref="T89" ca="1">INDIRECT(ADDRESS($B89,T$49+$A89,1,1,$C$87))</f>
        <v>0</v>
      </c>
      <c r="U89" s="3" cm="1">
        <f t="array" aca="1" ref="U89" ca="1">INDIRECT(ADDRESS($B89,U$49+$A89,1,1,$C$87))</f>
        <v>0</v>
      </c>
      <c r="V89" s="3" cm="1">
        <f t="array" aca="1" ref="V89" ca="1">INDIRECT(ADDRESS($B89,V$49+$A89,1,1,$C$87))</f>
        <v>0</v>
      </c>
      <c r="W89" s="3" cm="1">
        <f t="array" aca="1" ref="W89" ca="1">INDIRECT(ADDRESS($B89,W$49+$A89,1,1,$C$87))</f>
        <v>0</v>
      </c>
      <c r="X89" s="3" cm="1">
        <f t="array" aca="1" ref="X89" ca="1">INDIRECT(ADDRESS($B89,X$49+$A89,1,1,$C$87))</f>
        <v>0</v>
      </c>
      <c r="Y89" s="3" cm="1">
        <f t="array" aca="1" ref="Y89" ca="1">INDIRECT(ADDRESS($B89,Y$49+$A89,1,1,$C$87))</f>
        <v>0</v>
      </c>
      <c r="Z89" s="3" cm="1">
        <f t="array" aca="1" ref="Z89" ca="1">INDIRECT(ADDRESS($B89,Z$49+$A89,1,1,$C$87))</f>
        <v>0</v>
      </c>
      <c r="AA89" s="3" cm="1">
        <f t="array" aca="1" ref="AA89" ca="1">INDIRECT(ADDRESS($B89,AA$49+$A89,1,1,$C$87))</f>
        <v>0</v>
      </c>
      <c r="AB89" s="3" cm="1">
        <f t="array" aca="1" ref="AB89" ca="1">INDIRECT(ADDRESS($B89,AB$49+$A89,1,1,$C$87))</f>
        <v>0</v>
      </c>
      <c r="AC89" s="3" cm="1">
        <f t="array" aca="1" ref="AC89" ca="1">INDIRECT(ADDRESS($B89,AC$49+$A89,1,1,$C$87))</f>
        <v>0</v>
      </c>
      <c r="AD89" s="3" cm="1">
        <f t="array" aca="1" ref="AD89" ca="1">INDIRECT(ADDRESS($B89,AD$49+$A89,1,1,$C$87))</f>
        <v>0</v>
      </c>
      <c r="AE89" s="3" cm="1">
        <f t="array" aca="1" ref="AE89" ca="1">INDIRECT(ADDRESS($B89,AE$49+$A89,1,1,$C$87))</f>
        <v>0</v>
      </c>
      <c r="AF89" s="3" cm="1">
        <f t="array" aca="1" ref="AF89" ca="1">INDIRECT(ADDRESS($B89,AF$49+$A89,1,1,$C$87))</f>
        <v>0</v>
      </c>
      <c r="AG89" s="3" cm="1">
        <f t="array" aca="1" ref="AG89" ca="1">INDIRECT(ADDRESS($B89,AG$49+$A89,1,1,$C$87))</f>
        <v>0</v>
      </c>
      <c r="AH89" s="3" cm="1">
        <f t="array" aca="1" ref="AH89" ca="1">INDIRECT(ADDRESS($B89,AH$49+$A89,1,1,$C$87))</f>
        <v>0</v>
      </c>
      <c r="AI89" s="3" cm="1">
        <f t="array" aca="1" ref="AI89" ca="1">INDIRECT(ADDRESS($B89,AI$49+$A89,1,1,$C$87))</f>
        <v>0</v>
      </c>
      <c r="AJ89" s="3" cm="1">
        <f t="array" aca="1" ref="AJ89" ca="1">INDIRECT(ADDRESS($B89,AJ$49+$A89,1,1,$C$87))</f>
        <v>0</v>
      </c>
      <c r="AK89" s="3" cm="1">
        <f t="array" aca="1" ref="AK89" ca="1">INDIRECT(ADDRESS($B89,AK$49+$A89,1,1,$C$87))</f>
        <v>0</v>
      </c>
      <c r="AL89" s="3" cm="1">
        <f t="array" aca="1" ref="AL89" ca="1">INDIRECT(ADDRESS($B89,AL$49+$A89,1,1,$C$87))</f>
        <v>0</v>
      </c>
      <c r="AM89" s="3" cm="1">
        <f t="array" aca="1" ref="AM89" ca="1">INDIRECT(ADDRESS($B89,AM$49+$A89,1,1,$C$87))</f>
        <v>0</v>
      </c>
      <c r="AN89" s="3" cm="1">
        <f t="array" aca="1" ref="AN89" ca="1">INDIRECT(ADDRESS($B89,AN$49+$A89,1,1,$C$87))</f>
        <v>0</v>
      </c>
      <c r="AO89" s="3" cm="1">
        <f t="array" aca="1" ref="AO89" ca="1">INDIRECT(ADDRESS($B89,AO$49+$A89,1,1,$C$87))</f>
        <v>0</v>
      </c>
      <c r="AP89" s="3" cm="1">
        <f t="array" aca="1" ref="AP89" ca="1">INDIRECT(ADDRESS($B89,AP$49+$A89,1,1,$C$87))</f>
        <v>0</v>
      </c>
      <c r="AQ89" s="3" cm="1">
        <f t="array" aca="1" ref="AQ89" ca="1">INDIRECT(ADDRESS($B89,AQ$49+$A89,1,1,$C$87))</f>
        <v>0</v>
      </c>
      <c r="AR89" s="3" cm="1">
        <f t="array" aca="1" ref="AR89" ca="1">INDIRECT(ADDRESS($B89,AR$49+$A89,1,1,$C$87))</f>
        <v>0</v>
      </c>
      <c r="AS89" s="3" cm="1">
        <f t="array" aca="1" ref="AS89" ca="1">INDIRECT(ADDRESS($B89,AS$49+$A89,1,1,$C$87))</f>
        <v>0</v>
      </c>
      <c r="AT89" s="3" cm="1">
        <f t="array" aca="1" ref="AT89" ca="1">INDIRECT(ADDRESS($B89,AT$49+$A89,1,1,$C$87))</f>
        <v>0</v>
      </c>
      <c r="AU89" s="3" cm="1">
        <f t="array" aca="1" ref="AU89" ca="1">INDIRECT(ADDRESS($B89,AU$49+$A89,1,1,$C$87))</f>
        <v>0.41421356240000001</v>
      </c>
      <c r="AV89" s="3" cm="1">
        <f t="array" aca="1" ref="AV89" ca="1">INDIRECT(ADDRESS($B89,AV$49+$A89,1,1,$C$87))</f>
        <v>0.57584180809999996</v>
      </c>
      <c r="AW89" s="3" cm="1">
        <f t="array" aca="1" ref="AW89" ca="1">INDIRECT(ADDRESS($B89,AW$49+$A89,1,1,$C$87))</f>
        <v>0.73205080759999996</v>
      </c>
      <c r="AX89" s="3" cm="1">
        <f t="array" aca="1" ref="AX89" ca="1">INDIRECT(ADDRESS($B89,AX$49+$A89,1,1,$C$87))</f>
        <v>0.54981363620000001</v>
      </c>
      <c r="AY89" s="3" cm="1">
        <f t="array" aca="1" ref="AY89" ca="1">INDIRECT(ADDRESS($B89,AY$49+$A89,1,1,$C$87))</f>
        <v>0.46846377729999999</v>
      </c>
      <c r="AZ89" s="3" cm="1">
        <f t="array" aca="1" ref="AZ89" ca="1">INDIRECT(ADDRESS($B89,AZ$49+$A89,1,1,$C$87))</f>
        <v>0.30405381320000002</v>
      </c>
      <c r="BA89" s="3" cm="1">
        <f t="array" aca="1" ref="BA89" ca="1">INDIRECT(ADDRESS($B89,BA$49+$A89,1,1,$C$87))</f>
        <v>0.23593091699999999</v>
      </c>
      <c r="BB89" s="3" cm="1">
        <f t="array" aca="1" ref="BB89" ca="1">INDIRECT(ADDRESS($B89,BB$49+$A89,1,1,$C$87))</f>
        <v>0.18522311559999999</v>
      </c>
      <c r="BC89" s="3" cm="1">
        <f t="array" aca="1" ref="BC89" ca="1">INDIRECT(ADDRESS($B89,BC$49+$A89,1,1,$C$87))</f>
        <v>0.2109794177</v>
      </c>
      <c r="BD89" s="3" cm="1">
        <f t="array" aca="1" ref="BD89" ca="1">INDIRECT(ADDRESS($B89,BD$49+$A89,1,1,$C$87))</f>
        <v>0.28418414250000001</v>
      </c>
      <c r="BE89" s="3" cm="1">
        <f t="array" aca="1" ref="BE89" ca="1">INDIRECT(ADDRESS($B89,BE$49+$A89,1,1,$C$87))</f>
        <v>0.3108201196</v>
      </c>
      <c r="BF89" s="3" cm="1">
        <f t="array" aca="1" ref="BF89" ca="1">INDIRECT(ADDRESS($B89,BF$49+$A89,1,1,$C$87))</f>
        <v>0.29791691910000001</v>
      </c>
      <c r="BG89" s="3" cm="1">
        <f t="array" aca="1" ref="BG89" ca="1">INDIRECT(ADDRESS($B89,BG$49+$A89,1,1,$C$87))</f>
        <v>0.28775478850000002</v>
      </c>
      <c r="BH89" s="3" cm="1">
        <f t="array" aca="1" ref="BH89" ca="1">INDIRECT(ADDRESS($B89,BH$49+$A89,1,1,$C$87))</f>
        <v>0.24715352209999999</v>
      </c>
      <c r="BI89" s="3" cm="1">
        <f t="array" aca="1" ref="BI89" ca="1">INDIRECT(ADDRESS($B89,BI$49+$A89,1,1,$C$87))</f>
        <v>0.2765960643</v>
      </c>
      <c r="BJ89" s="3" cm="1">
        <f t="array" aca="1" ref="BJ89" ca="1">INDIRECT(ADDRESS($B89,BJ$49+$A89,1,1,$C$87))</f>
        <v>0.31187595620000003</v>
      </c>
      <c r="BK89" s="3" cm="1">
        <f t="array" aca="1" ref="BK89" ca="1">INDIRECT(ADDRESS($B89,BK$49+$A89,1,1,$C$87))</f>
        <v>0.3303951316</v>
      </c>
      <c r="BL89" s="3" cm="1">
        <f t="array" aca="1" ref="BL89" ca="1">INDIRECT(ADDRESS($B89,BL$49+$A89,1,1,$C$87))</f>
        <v>0.30979784929999998</v>
      </c>
      <c r="BM89" s="3" cm="1">
        <f t="array" aca="1" ref="BM89" ca="1">INDIRECT(ADDRESS($B89,BM$49+$A89,1,1,$C$87))</f>
        <v>0.23775859569999999</v>
      </c>
      <c r="BN89" s="3" cm="1">
        <f t="array" aca="1" ref="BN89" ca="1">INDIRECT(ADDRESS($B89,BN$49+$A89,1,1,$C$87))</f>
        <v>0.2039856223</v>
      </c>
      <c r="BO89" s="3" cm="1">
        <f t="array" aca="1" ref="BO89" ca="1">INDIRECT(ADDRESS($B89,BO$49+$A89,1,1,$C$87))</f>
        <v>0.38163001289999998</v>
      </c>
      <c r="BP89" s="3" cm="1">
        <f t="array" aca="1" ref="BP89" ca="1">INDIRECT(ADDRESS($B89,BP$49+$A89,1,1,$C$87))</f>
        <v>0</v>
      </c>
      <c r="BQ89" s="3" cm="1">
        <f t="array" aca="1" ref="BQ89" ca="1">INDIRECT(ADDRESS($B89,BQ$49+$A89,1,1,$C$87))</f>
        <v>0</v>
      </c>
      <c r="BR89" s="3" cm="1">
        <f t="array" aca="1" ref="BR89" ca="1">INDIRECT(ADDRESS($B89,BR$49+$A89,1,1,$C$87))</f>
        <v>0</v>
      </c>
      <c r="BS89" s="3" cm="1">
        <f t="array" aca="1" ref="BS89" ca="1">INDIRECT(ADDRESS($B89,BS$49+$A89,1,1,$C$87))</f>
        <v>0</v>
      </c>
      <c r="BT89" s="3" cm="1">
        <f t="array" aca="1" ref="BT89" ca="1">INDIRECT(ADDRESS($B89,BT$49+$A89,1,1,$C$87))</f>
        <v>0</v>
      </c>
      <c r="BU89" s="3" cm="1">
        <f t="array" aca="1" ref="BU89" ca="1">INDIRECT(ADDRESS($B89,BU$49+$A89,1,1,$C$87))</f>
        <v>0</v>
      </c>
      <c r="BV89" s="3" cm="1">
        <f t="array" aca="1" ref="BV89" ca="1">INDIRECT(ADDRESS($B89,BV$49+$A89,1,1,$C$87))</f>
        <v>0</v>
      </c>
    </row>
    <row r="90" spans="1:74" x14ac:dyDescent="0.25">
      <c r="A90">
        <v>6</v>
      </c>
      <c r="B90">
        <f ca="1">MATCH($C90,INDIRECT("'"&amp;$C$87&amp;"'!A:A"),0)</f>
        <v>26</v>
      </c>
      <c r="C90" s="1" t="str">
        <f>C10</f>
        <v>Switzerland Vaud</v>
      </c>
      <c r="D90" t="str">
        <f>D89</f>
        <v>Confirmed Trend</v>
      </c>
      <c r="E90" s="3" cm="1">
        <f t="array" aca="1" ref="E90" ca="1">INDIRECT(ADDRESS($B90,E$49+$A90,1,1,$C$87))</f>
        <v>0</v>
      </c>
      <c r="F90" s="3" cm="1">
        <f t="array" aca="1" ref="F90" ca="1">INDIRECT(ADDRESS($B90,F$49+$A90,1,1,$C$87))</f>
        <v>0</v>
      </c>
      <c r="G90" s="3" cm="1">
        <f t="array" aca="1" ref="G90" ca="1">INDIRECT(ADDRESS($B90,G$49+$A90,1,1,$C$87))</f>
        <v>0</v>
      </c>
      <c r="H90" s="3" cm="1">
        <f t="array" aca="1" ref="H90" ca="1">INDIRECT(ADDRESS($B90,H$49+$A90,1,1,$C$87))</f>
        <v>0</v>
      </c>
      <c r="I90" s="3" cm="1">
        <f t="array" aca="1" ref="I90" ca="1">INDIRECT(ADDRESS($B90,I$49+$A90,1,1,$C$87))</f>
        <v>0</v>
      </c>
      <c r="J90" s="3" cm="1">
        <f t="array" aca="1" ref="J90" ca="1">INDIRECT(ADDRESS($B90,J$49+$A90,1,1,$C$87))</f>
        <v>0</v>
      </c>
      <c r="K90" s="3" cm="1">
        <f t="array" aca="1" ref="K90" ca="1">INDIRECT(ADDRESS($B90,K$49+$A90,1,1,$C$87))</f>
        <v>0</v>
      </c>
      <c r="L90" s="3" cm="1">
        <f t="array" aca="1" ref="L90" ca="1">INDIRECT(ADDRESS($B90,L$49+$A90,1,1,$C$87))</f>
        <v>0</v>
      </c>
      <c r="M90" s="3" cm="1">
        <f t="array" aca="1" ref="M90" ca="1">INDIRECT(ADDRESS($B90,M$49+$A90,1,1,$C$87))</f>
        <v>0</v>
      </c>
      <c r="N90" s="3" cm="1">
        <f t="array" aca="1" ref="N90" ca="1">INDIRECT(ADDRESS($B90,N$49+$A90,1,1,$C$87))</f>
        <v>0</v>
      </c>
      <c r="O90" s="3" cm="1">
        <f t="array" aca="1" ref="O90" ca="1">INDIRECT(ADDRESS($B90,O$49+$A90,1,1,$C$87))</f>
        <v>0</v>
      </c>
      <c r="P90" s="3" cm="1">
        <f t="array" aca="1" ref="P90" ca="1">INDIRECT(ADDRESS($B90,P$49+$A90,1,1,$C$87))</f>
        <v>0</v>
      </c>
      <c r="Q90" s="3" cm="1">
        <f t="array" aca="1" ref="Q90" ca="1">INDIRECT(ADDRESS($B90,Q$49+$A90,1,1,$C$87))</f>
        <v>0</v>
      </c>
      <c r="R90" s="3" cm="1">
        <f t="array" aca="1" ref="R90" ca="1">INDIRECT(ADDRESS($B90,R$49+$A90,1,1,$C$87))</f>
        <v>0</v>
      </c>
      <c r="S90" s="3" cm="1">
        <f t="array" aca="1" ref="S90" ca="1">INDIRECT(ADDRESS($B90,S$49+$A90,1,1,$C$87))</f>
        <v>0</v>
      </c>
      <c r="T90" s="3" cm="1">
        <f t="array" aca="1" ref="T90" ca="1">INDIRECT(ADDRESS($B90,T$49+$A90,1,1,$C$87))</f>
        <v>0</v>
      </c>
      <c r="U90" s="3" cm="1">
        <f t="array" aca="1" ref="U90" ca="1">INDIRECT(ADDRESS($B90,U$49+$A90,1,1,$C$87))</f>
        <v>0</v>
      </c>
      <c r="V90" s="3" cm="1">
        <f t="array" aca="1" ref="V90" ca="1">INDIRECT(ADDRESS($B90,V$49+$A90,1,1,$C$87))</f>
        <v>0</v>
      </c>
      <c r="W90" s="3" cm="1">
        <f t="array" aca="1" ref="W90" ca="1">INDIRECT(ADDRESS($B90,W$49+$A90,1,1,$C$87))</f>
        <v>0</v>
      </c>
      <c r="X90" s="3" cm="1">
        <f t="array" aca="1" ref="X90" ca="1">INDIRECT(ADDRESS($B90,X$49+$A90,1,1,$C$87))</f>
        <v>0</v>
      </c>
      <c r="Y90" s="3" cm="1">
        <f t="array" aca="1" ref="Y90" ca="1">INDIRECT(ADDRESS($B90,Y$49+$A90,1,1,$C$87))</f>
        <v>0</v>
      </c>
      <c r="Z90" s="3" cm="1">
        <f t="array" aca="1" ref="Z90" ca="1">INDIRECT(ADDRESS($B90,Z$49+$A90,1,1,$C$87))</f>
        <v>0</v>
      </c>
      <c r="AA90" s="3" cm="1">
        <f t="array" aca="1" ref="AA90" ca="1">INDIRECT(ADDRESS($B90,AA$49+$A90,1,1,$C$87))</f>
        <v>0</v>
      </c>
      <c r="AB90" s="3" cm="1">
        <f t="array" aca="1" ref="AB90" ca="1">INDIRECT(ADDRESS($B90,AB$49+$A90,1,1,$C$87))</f>
        <v>0</v>
      </c>
      <c r="AC90" s="3" cm="1">
        <f t="array" aca="1" ref="AC90" ca="1">INDIRECT(ADDRESS($B90,AC$49+$A90,1,1,$C$87))</f>
        <v>0</v>
      </c>
      <c r="AD90" s="3" cm="1">
        <f t="array" aca="1" ref="AD90" ca="1">INDIRECT(ADDRESS($B90,AD$49+$A90,1,1,$C$87))</f>
        <v>0</v>
      </c>
      <c r="AE90" s="3" cm="1">
        <f t="array" aca="1" ref="AE90" ca="1">INDIRECT(ADDRESS($B90,AE$49+$A90,1,1,$C$87))</f>
        <v>0</v>
      </c>
      <c r="AF90" s="3" cm="1">
        <f t="array" aca="1" ref="AF90" ca="1">INDIRECT(ADDRESS($B90,AF$49+$A90,1,1,$C$87))</f>
        <v>0</v>
      </c>
      <c r="AG90" s="3" cm="1">
        <f t="array" aca="1" ref="AG90" ca="1">INDIRECT(ADDRESS($B90,AG$49+$A90,1,1,$C$87))</f>
        <v>0</v>
      </c>
      <c r="AH90" s="3" cm="1">
        <f t="array" aca="1" ref="AH90" ca="1">INDIRECT(ADDRESS($B90,AH$49+$A90,1,1,$C$87))</f>
        <v>0</v>
      </c>
      <c r="AI90" s="3" cm="1">
        <f t="array" aca="1" ref="AI90" ca="1">INDIRECT(ADDRESS($B90,AI$49+$A90,1,1,$C$87))</f>
        <v>0</v>
      </c>
      <c r="AJ90" s="3" cm="1">
        <f t="array" aca="1" ref="AJ90" ca="1">INDIRECT(ADDRESS($B90,AJ$49+$A90,1,1,$C$87))</f>
        <v>0</v>
      </c>
      <c r="AK90" s="3" cm="1">
        <f t="array" aca="1" ref="AK90" ca="1">INDIRECT(ADDRESS($B90,AK$49+$A90,1,1,$C$87))</f>
        <v>0</v>
      </c>
      <c r="AL90" s="3" cm="1">
        <f t="array" aca="1" ref="AL90" ca="1">INDIRECT(ADDRESS($B90,AL$49+$A90,1,1,$C$87))</f>
        <v>0</v>
      </c>
      <c r="AM90" s="3" cm="1">
        <f t="array" aca="1" ref="AM90" ca="1">INDIRECT(ADDRESS($B90,AM$49+$A90,1,1,$C$87))</f>
        <v>0</v>
      </c>
      <c r="AN90" s="3" cm="1">
        <f t="array" aca="1" ref="AN90" ca="1">INDIRECT(ADDRESS($B90,AN$49+$A90,1,1,$C$87))</f>
        <v>0</v>
      </c>
      <c r="AO90" s="3" cm="1">
        <f t="array" aca="1" ref="AO90" ca="1">INDIRECT(ADDRESS($B90,AO$49+$A90,1,1,$C$87))</f>
        <v>0</v>
      </c>
      <c r="AP90" s="3" cm="1">
        <f t="array" aca="1" ref="AP90" ca="1">INDIRECT(ADDRESS($B90,AP$49+$A90,1,1,$C$87))</f>
        <v>0</v>
      </c>
      <c r="AQ90" s="3" cm="1">
        <f t="array" aca="1" ref="AQ90" ca="1">INDIRECT(ADDRESS($B90,AQ$49+$A90,1,1,$C$87))</f>
        <v>0</v>
      </c>
      <c r="AR90" s="3" cm="1">
        <f t="array" aca="1" ref="AR90" ca="1">INDIRECT(ADDRESS($B90,AR$49+$A90,1,1,$C$87))</f>
        <v>0</v>
      </c>
      <c r="AS90" s="3" cm="1">
        <f t="array" aca="1" ref="AS90" ca="1">INDIRECT(ADDRESS($B90,AS$49+$A90,1,1,$C$87))</f>
        <v>0</v>
      </c>
      <c r="AT90" s="3" cm="1">
        <f t="array" aca="1" ref="AT90" ca="1">INDIRECT(ADDRESS($B90,AT$49+$A90,1,1,$C$87))</f>
        <v>0</v>
      </c>
      <c r="AU90" s="3" cm="1">
        <f t="array" aca="1" ref="AU90" ca="1">INDIRECT(ADDRESS($B90,AU$49+$A90,1,1,$C$87))</f>
        <v>0</v>
      </c>
      <c r="AV90" s="3" cm="1">
        <f t="array" aca="1" ref="AV90" ca="1">INDIRECT(ADDRESS($B90,AV$49+$A90,1,1,$C$87))</f>
        <v>0</v>
      </c>
      <c r="AW90" s="3" cm="1">
        <f t="array" aca="1" ref="AW90" ca="1">INDIRECT(ADDRESS($B90,AW$49+$A90,1,1,$C$87))</f>
        <v>0</v>
      </c>
      <c r="AX90" s="3" cm="1">
        <f t="array" aca="1" ref="AX90" ca="1">INDIRECT(ADDRESS($B90,AX$49+$A90,1,1,$C$87))</f>
        <v>0</v>
      </c>
      <c r="AY90" s="3" cm="1">
        <f t="array" aca="1" ref="AY90" ca="1">INDIRECT(ADDRESS($B90,AY$49+$A90,1,1,$C$87))</f>
        <v>0</v>
      </c>
      <c r="AZ90" s="3" cm="1">
        <f t="array" aca="1" ref="AZ90" ca="1">INDIRECT(ADDRESS($B90,AZ$49+$A90,1,1,$C$87))</f>
        <v>0</v>
      </c>
      <c r="BA90" s="3" cm="1">
        <f t="array" aca="1" ref="BA90" ca="1">INDIRECT(ADDRESS($B90,BA$49+$A90,1,1,$C$87))</f>
        <v>0</v>
      </c>
      <c r="BB90" s="3" cm="1">
        <f t="array" aca="1" ref="BB90" ca="1">INDIRECT(ADDRESS($B90,BB$49+$A90,1,1,$C$87))</f>
        <v>0</v>
      </c>
      <c r="BC90" s="3" cm="1">
        <f t="array" aca="1" ref="BC90" ca="1">INDIRECT(ADDRESS($B90,BC$49+$A90,1,1,$C$87))</f>
        <v>0.38378257519999998</v>
      </c>
      <c r="BD90" s="3" cm="1">
        <f t="array" aca="1" ref="BD90" ca="1">INDIRECT(ADDRESS($B90,BD$49+$A90,1,1,$C$87))</f>
        <v>0.40237809879999997</v>
      </c>
      <c r="BE90" s="3" cm="1">
        <f t="array" aca="1" ref="BE90" ca="1">INDIRECT(ADDRESS($B90,BE$49+$A90,1,1,$C$87))</f>
        <v>0.43379567740000002</v>
      </c>
      <c r="BF90" s="3" cm="1">
        <f t="array" aca="1" ref="BF90" ca="1">INDIRECT(ADDRESS($B90,BF$49+$A90,1,1,$C$87))</f>
        <v>0.42016827750000002</v>
      </c>
      <c r="BG90" s="3" cm="1">
        <f t="array" aca="1" ref="BG90" ca="1">INDIRECT(ADDRESS($B90,BG$49+$A90,1,1,$C$87))</f>
        <v>0.38754850470000002</v>
      </c>
      <c r="BH90" s="3" cm="1">
        <f t="array" aca="1" ref="BH90" ca="1">INDIRECT(ADDRESS($B90,BH$49+$A90,1,1,$C$87))</f>
        <v>0.34289544220000001</v>
      </c>
      <c r="BI90" s="3" cm="1">
        <f t="array" aca="1" ref="BI90" ca="1">INDIRECT(ADDRESS($B90,BI$49+$A90,1,1,$C$87))</f>
        <v>0.28102434949999999</v>
      </c>
      <c r="BJ90" s="3" cm="1">
        <f t="array" aca="1" ref="BJ90" ca="1">INDIRECT(ADDRESS($B90,BJ$49+$A90,1,1,$C$87))</f>
        <v>0.28481804230000002</v>
      </c>
      <c r="BK90" s="3" cm="1">
        <f t="array" aca="1" ref="BK90" ca="1">INDIRECT(ADDRESS($B90,BK$49+$A90,1,1,$C$87))</f>
        <v>0.28440752749999998</v>
      </c>
      <c r="BL90" s="3" cm="1">
        <f t="array" aca="1" ref="BL90" ca="1">INDIRECT(ADDRESS($B90,BL$49+$A90,1,1,$C$87))</f>
        <v>0.29797782699999997</v>
      </c>
      <c r="BM90" s="3" cm="1">
        <f t="array" aca="1" ref="BM90" ca="1">INDIRECT(ADDRESS($B90,BM$49+$A90,1,1,$C$87))</f>
        <v>0.26460601389999999</v>
      </c>
      <c r="BN90" s="3" cm="1">
        <f t="array" aca="1" ref="BN90" ca="1">INDIRECT(ADDRESS($B90,BN$49+$A90,1,1,$C$87))</f>
        <v>0.2106668307</v>
      </c>
      <c r="BO90" s="3" cm="1">
        <f t="array" aca="1" ref="BO90" ca="1">INDIRECT(ADDRESS($B90,BO$49+$A90,1,1,$C$87))</f>
        <v>0.2132435466</v>
      </c>
      <c r="BP90" s="3" cm="1">
        <f t="array" aca="1" ref="BP90" ca="1">INDIRECT(ADDRESS($B90,BP$49+$A90,1,1,$C$87))</f>
        <v>0</v>
      </c>
      <c r="BQ90" s="3" cm="1">
        <f t="array" aca="1" ref="BQ90" ca="1">INDIRECT(ADDRESS($B90,BQ$49+$A90,1,1,$C$87))</f>
        <v>0</v>
      </c>
      <c r="BR90" s="3" cm="1">
        <f t="array" aca="1" ref="BR90" ca="1">INDIRECT(ADDRESS($B90,BR$49+$A90,1,1,$C$87))</f>
        <v>0</v>
      </c>
      <c r="BS90" s="3" cm="1">
        <f t="array" aca="1" ref="BS90" ca="1">INDIRECT(ADDRESS($B90,BS$49+$A90,1,1,$C$87))</f>
        <v>0</v>
      </c>
      <c r="BT90" s="3" cm="1">
        <f t="array" aca="1" ref="BT90" ca="1">INDIRECT(ADDRESS($B90,BT$49+$A90,1,1,$C$87))</f>
        <v>0</v>
      </c>
      <c r="BU90" s="3" cm="1">
        <f t="array" aca="1" ref="BU90" ca="1">INDIRECT(ADDRESS($B90,BU$49+$A90,1,1,$C$87))</f>
        <v>0</v>
      </c>
      <c r="BV90" s="3" cm="1">
        <f t="array" aca="1" ref="BV90" ca="1">INDIRECT(ADDRESS($B90,BV$49+$A90,1,1,$C$87))</f>
        <v>0</v>
      </c>
    </row>
    <row r="91" spans="1:74" x14ac:dyDescent="0.25">
      <c r="A91">
        <v>6</v>
      </c>
      <c r="B91">
        <f ca="1">MATCH($C91,INDIRECT("'"&amp;$C$87&amp;"'!A:A"),0)</f>
        <v>8</v>
      </c>
      <c r="C91" s="1" t="str">
        <f>C11</f>
        <v>Switzerland Berne</v>
      </c>
      <c r="D91" t="str">
        <f>D90</f>
        <v>Confirmed Trend</v>
      </c>
      <c r="E91" s="3" cm="1">
        <f t="array" aca="1" ref="E91" ca="1">INDIRECT(ADDRESS($B91,E$49+$A91,1,1,$C$87))</f>
        <v>0</v>
      </c>
      <c r="F91" s="3" cm="1">
        <f t="array" aca="1" ref="F91" ca="1">INDIRECT(ADDRESS($B91,F$49+$A91,1,1,$C$87))</f>
        <v>0</v>
      </c>
      <c r="G91" s="3" cm="1">
        <f t="array" aca="1" ref="G91" ca="1">INDIRECT(ADDRESS($B91,G$49+$A91,1,1,$C$87))</f>
        <v>0</v>
      </c>
      <c r="H91" s="3" cm="1">
        <f t="array" aca="1" ref="H91" ca="1">INDIRECT(ADDRESS($B91,H$49+$A91,1,1,$C$87))</f>
        <v>0</v>
      </c>
      <c r="I91" s="3" cm="1">
        <f t="array" aca="1" ref="I91" ca="1">INDIRECT(ADDRESS($B91,I$49+$A91,1,1,$C$87))</f>
        <v>0</v>
      </c>
      <c r="J91" s="3" cm="1">
        <f t="array" aca="1" ref="J91" ca="1">INDIRECT(ADDRESS($B91,J$49+$A91,1,1,$C$87))</f>
        <v>0</v>
      </c>
      <c r="K91" s="3" cm="1">
        <f t="array" aca="1" ref="K91" ca="1">INDIRECT(ADDRESS($B91,K$49+$A91,1,1,$C$87))</f>
        <v>0</v>
      </c>
      <c r="L91" s="3" cm="1">
        <f t="array" aca="1" ref="L91" ca="1">INDIRECT(ADDRESS($B91,L$49+$A91,1,1,$C$87))</f>
        <v>0</v>
      </c>
      <c r="M91" s="3" cm="1">
        <f t="array" aca="1" ref="M91" ca="1">INDIRECT(ADDRESS($B91,M$49+$A91,1,1,$C$87))</f>
        <v>0</v>
      </c>
      <c r="N91" s="3" cm="1">
        <f t="array" aca="1" ref="N91" ca="1">INDIRECT(ADDRESS($B91,N$49+$A91,1,1,$C$87))</f>
        <v>0</v>
      </c>
      <c r="O91" s="3" cm="1">
        <f t="array" aca="1" ref="O91" ca="1">INDIRECT(ADDRESS($B91,O$49+$A91,1,1,$C$87))</f>
        <v>0</v>
      </c>
      <c r="P91" s="3" cm="1">
        <f t="array" aca="1" ref="P91" ca="1">INDIRECT(ADDRESS($B91,P$49+$A91,1,1,$C$87))</f>
        <v>0</v>
      </c>
      <c r="Q91" s="3" cm="1">
        <f t="array" aca="1" ref="Q91" ca="1">INDIRECT(ADDRESS($B91,Q$49+$A91,1,1,$C$87))</f>
        <v>0</v>
      </c>
      <c r="R91" s="3" cm="1">
        <f t="array" aca="1" ref="R91" ca="1">INDIRECT(ADDRESS($B91,R$49+$A91,1,1,$C$87))</f>
        <v>0</v>
      </c>
      <c r="S91" s="3" cm="1">
        <f t="array" aca="1" ref="S91" ca="1">INDIRECT(ADDRESS($B91,S$49+$A91,1,1,$C$87))</f>
        <v>0</v>
      </c>
      <c r="T91" s="3" cm="1">
        <f t="array" aca="1" ref="T91" ca="1">INDIRECT(ADDRESS($B91,T$49+$A91,1,1,$C$87))</f>
        <v>0</v>
      </c>
      <c r="U91" s="3" cm="1">
        <f t="array" aca="1" ref="U91" ca="1">INDIRECT(ADDRESS($B91,U$49+$A91,1,1,$C$87))</f>
        <v>0</v>
      </c>
      <c r="V91" s="3" cm="1">
        <f t="array" aca="1" ref="V91" ca="1">INDIRECT(ADDRESS($B91,V$49+$A91,1,1,$C$87))</f>
        <v>0</v>
      </c>
      <c r="W91" s="3" cm="1">
        <f t="array" aca="1" ref="W91" ca="1">INDIRECT(ADDRESS($B91,W$49+$A91,1,1,$C$87))</f>
        <v>0</v>
      </c>
      <c r="X91" s="3" cm="1">
        <f t="array" aca="1" ref="X91" ca="1">INDIRECT(ADDRESS($B91,X$49+$A91,1,1,$C$87))</f>
        <v>0</v>
      </c>
      <c r="Y91" s="3" cm="1">
        <f t="array" aca="1" ref="Y91" ca="1">INDIRECT(ADDRESS($B91,Y$49+$A91,1,1,$C$87))</f>
        <v>0</v>
      </c>
      <c r="Z91" s="3" cm="1">
        <f t="array" aca="1" ref="Z91" ca="1">INDIRECT(ADDRESS($B91,Z$49+$A91,1,1,$C$87))</f>
        <v>0</v>
      </c>
      <c r="AA91" s="3" cm="1">
        <f t="array" aca="1" ref="AA91" ca="1">INDIRECT(ADDRESS($B91,AA$49+$A91,1,1,$C$87))</f>
        <v>0</v>
      </c>
      <c r="AB91" s="3" cm="1">
        <f t="array" aca="1" ref="AB91" ca="1">INDIRECT(ADDRESS($B91,AB$49+$A91,1,1,$C$87))</f>
        <v>0</v>
      </c>
      <c r="AC91" s="3" cm="1">
        <f t="array" aca="1" ref="AC91" ca="1">INDIRECT(ADDRESS($B91,AC$49+$A91,1,1,$C$87))</f>
        <v>0</v>
      </c>
      <c r="AD91" s="3" cm="1">
        <f t="array" aca="1" ref="AD91" ca="1">INDIRECT(ADDRESS($B91,AD$49+$A91,1,1,$C$87))</f>
        <v>0</v>
      </c>
      <c r="AE91" s="3" cm="1">
        <f t="array" aca="1" ref="AE91" ca="1">INDIRECT(ADDRESS($B91,AE$49+$A91,1,1,$C$87))</f>
        <v>0</v>
      </c>
      <c r="AF91" s="3" cm="1">
        <f t="array" aca="1" ref="AF91" ca="1">INDIRECT(ADDRESS($B91,AF$49+$A91,1,1,$C$87))</f>
        <v>0</v>
      </c>
      <c r="AG91" s="3" cm="1">
        <f t="array" aca="1" ref="AG91" ca="1">INDIRECT(ADDRESS($B91,AG$49+$A91,1,1,$C$87))</f>
        <v>0</v>
      </c>
      <c r="AH91" s="3" cm="1">
        <f t="array" aca="1" ref="AH91" ca="1">INDIRECT(ADDRESS($B91,AH$49+$A91,1,1,$C$87))</f>
        <v>0</v>
      </c>
      <c r="AI91" s="3" cm="1">
        <f t="array" aca="1" ref="AI91" ca="1">INDIRECT(ADDRESS($B91,AI$49+$A91,1,1,$C$87))</f>
        <v>0</v>
      </c>
      <c r="AJ91" s="3" cm="1">
        <f t="array" aca="1" ref="AJ91" ca="1">INDIRECT(ADDRESS($B91,AJ$49+$A91,1,1,$C$87))</f>
        <v>0</v>
      </c>
      <c r="AK91" s="3" cm="1">
        <f t="array" aca="1" ref="AK91" ca="1">INDIRECT(ADDRESS($B91,AK$49+$A91,1,1,$C$87))</f>
        <v>0</v>
      </c>
      <c r="AL91" s="3" cm="1">
        <f t="array" aca="1" ref="AL91" ca="1">INDIRECT(ADDRESS($B91,AL$49+$A91,1,1,$C$87))</f>
        <v>0</v>
      </c>
      <c r="AM91" s="3" cm="1">
        <f t="array" aca="1" ref="AM91" ca="1">INDIRECT(ADDRESS($B91,AM$49+$A91,1,1,$C$87))</f>
        <v>0</v>
      </c>
      <c r="AN91" s="3" cm="1">
        <f t="array" aca="1" ref="AN91" ca="1">INDIRECT(ADDRESS($B91,AN$49+$A91,1,1,$C$87))</f>
        <v>0</v>
      </c>
      <c r="AO91" s="3" cm="1">
        <f t="array" aca="1" ref="AO91" ca="1">INDIRECT(ADDRESS($B91,AO$49+$A91,1,1,$C$87))</f>
        <v>0</v>
      </c>
      <c r="AP91" s="3" cm="1">
        <f t="array" aca="1" ref="AP91" ca="1">INDIRECT(ADDRESS($B91,AP$49+$A91,1,1,$C$87))</f>
        <v>0</v>
      </c>
      <c r="AQ91" s="3" cm="1">
        <f t="array" aca="1" ref="AQ91" ca="1">INDIRECT(ADDRESS($B91,AQ$49+$A91,1,1,$C$87))</f>
        <v>0</v>
      </c>
      <c r="AR91" s="3" cm="1">
        <f t="array" aca="1" ref="AR91" ca="1">INDIRECT(ADDRESS($B91,AR$49+$A91,1,1,$C$87))</f>
        <v>0</v>
      </c>
      <c r="AS91" s="3" cm="1">
        <f t="array" aca="1" ref="AS91" ca="1">INDIRECT(ADDRESS($B91,AS$49+$A91,1,1,$C$87))</f>
        <v>0</v>
      </c>
      <c r="AT91" s="3" cm="1">
        <f t="array" aca="1" ref="AT91" ca="1">INDIRECT(ADDRESS($B91,AT$49+$A91,1,1,$C$87))</f>
        <v>0</v>
      </c>
      <c r="AU91" s="3" cm="1">
        <f t="array" aca="1" ref="AU91" ca="1">INDIRECT(ADDRESS($B91,AU$49+$A91,1,1,$C$87))</f>
        <v>0</v>
      </c>
      <c r="AV91" s="3" cm="1">
        <f t="array" aca="1" ref="AV91" ca="1">INDIRECT(ADDRESS($B91,AV$49+$A91,1,1,$C$87))</f>
        <v>0</v>
      </c>
      <c r="AW91" s="3" cm="1">
        <f t="array" aca="1" ref="AW91" ca="1">INDIRECT(ADDRESS($B91,AW$49+$A91,1,1,$C$87))</f>
        <v>0</v>
      </c>
      <c r="AX91" s="3" cm="1">
        <f t="array" aca="1" ref="AX91" ca="1">INDIRECT(ADDRESS($B91,AX$49+$A91,1,1,$C$87))</f>
        <v>0</v>
      </c>
      <c r="AY91" s="3" cm="1">
        <f t="array" aca="1" ref="AY91" ca="1">INDIRECT(ADDRESS($B91,AY$49+$A91,1,1,$C$87))</f>
        <v>0</v>
      </c>
      <c r="AZ91" s="3" cm="1">
        <f t="array" aca="1" ref="AZ91" ca="1">INDIRECT(ADDRESS($B91,AZ$49+$A91,1,1,$C$87))</f>
        <v>0</v>
      </c>
      <c r="BA91" s="3" cm="1">
        <f t="array" aca="1" ref="BA91" ca="1">INDIRECT(ADDRESS($B91,BA$49+$A91,1,1,$C$87))</f>
        <v>0</v>
      </c>
      <c r="BB91" s="3" cm="1">
        <f t="array" aca="1" ref="BB91" ca="1">INDIRECT(ADDRESS($B91,BB$49+$A91,1,1,$C$87))</f>
        <v>0</v>
      </c>
      <c r="BC91" s="3" cm="1">
        <f t="array" aca="1" ref="BC91" ca="1">INDIRECT(ADDRESS($B91,BC$49+$A91,1,1,$C$87))</f>
        <v>0</v>
      </c>
      <c r="BD91" s="3" cm="1">
        <f t="array" aca="1" ref="BD91" ca="1">INDIRECT(ADDRESS($B91,BD$49+$A91,1,1,$C$87))</f>
        <v>0</v>
      </c>
      <c r="BE91" s="3" cm="1">
        <f t="array" aca="1" ref="BE91" ca="1">INDIRECT(ADDRESS($B91,BE$49+$A91,1,1,$C$87))</f>
        <v>0</v>
      </c>
      <c r="BF91" s="3" cm="1">
        <f t="array" aca="1" ref="BF91" ca="1">INDIRECT(ADDRESS($B91,BF$49+$A91,1,1,$C$87))</f>
        <v>0</v>
      </c>
      <c r="BG91" s="3" cm="1">
        <f t="array" aca="1" ref="BG91" ca="1">INDIRECT(ADDRESS($B91,BG$49+$A91,1,1,$C$87))</f>
        <v>0</v>
      </c>
      <c r="BH91" s="3" cm="1">
        <f t="array" aca="1" ref="BH91" ca="1">INDIRECT(ADDRESS($B91,BH$49+$A91,1,1,$C$87))</f>
        <v>0</v>
      </c>
      <c r="BI91" s="3" cm="1">
        <f t="array" aca="1" ref="BI91" ca="1">INDIRECT(ADDRESS($B91,BI$49+$A91,1,1,$C$87))</f>
        <v>0</v>
      </c>
      <c r="BJ91" s="3" cm="1">
        <f t="array" aca="1" ref="BJ91" ca="1">INDIRECT(ADDRESS($B91,BJ$49+$A91,1,1,$C$87))</f>
        <v>0</v>
      </c>
      <c r="BK91" s="3" cm="1">
        <f t="array" aca="1" ref="BK91" ca="1">INDIRECT(ADDRESS($B91,BK$49+$A91,1,1,$C$87))</f>
        <v>0</v>
      </c>
      <c r="BL91" s="3" cm="1">
        <f t="array" aca="1" ref="BL91" ca="1">INDIRECT(ADDRESS($B91,BL$49+$A91,1,1,$C$87))</f>
        <v>0</v>
      </c>
      <c r="BM91" s="3" cm="1">
        <f t="array" aca="1" ref="BM91" ca="1">INDIRECT(ADDRESS($B91,BM$49+$A91,1,1,$C$87))</f>
        <v>0.28928541619999998</v>
      </c>
      <c r="BN91" s="3" cm="1">
        <f t="array" aca="1" ref="BN91" ca="1">INDIRECT(ADDRESS($B91,BN$49+$A91,1,1,$C$87))</f>
        <v>0.215655441</v>
      </c>
      <c r="BO91" s="3" cm="1">
        <f t="array" aca="1" ref="BO91" ca="1">INDIRECT(ADDRESS($B91,BO$49+$A91,1,1,$C$87))</f>
        <v>0.12440191389999999</v>
      </c>
      <c r="BP91" s="3" cm="1">
        <f t="array" aca="1" ref="BP91" ca="1">INDIRECT(ADDRESS($B91,BP$49+$A91,1,1,$C$87))</f>
        <v>0</v>
      </c>
      <c r="BQ91" s="3" cm="1">
        <f t="array" aca="1" ref="BQ91" ca="1">INDIRECT(ADDRESS($B91,BQ$49+$A91,1,1,$C$87))</f>
        <v>0</v>
      </c>
      <c r="BR91" s="3" cm="1">
        <f t="array" aca="1" ref="BR91" ca="1">INDIRECT(ADDRESS($B91,BR$49+$A91,1,1,$C$87))</f>
        <v>0</v>
      </c>
      <c r="BS91" s="3" cm="1">
        <f t="array" aca="1" ref="BS91" ca="1">INDIRECT(ADDRESS($B91,BS$49+$A91,1,1,$C$87))</f>
        <v>0</v>
      </c>
      <c r="BT91" s="3" cm="1">
        <f t="array" aca="1" ref="BT91" ca="1">INDIRECT(ADDRESS($B91,BT$49+$A91,1,1,$C$87))</f>
        <v>0</v>
      </c>
      <c r="BU91" s="3" cm="1">
        <f t="array" aca="1" ref="BU91" ca="1">INDIRECT(ADDRESS($B91,BU$49+$A91,1,1,$C$87))</f>
        <v>0</v>
      </c>
      <c r="BV91" s="3" cm="1">
        <f t="array" aca="1" ref="BV91" ca="1">INDIRECT(ADDRESS($B91,BV$49+$A91,1,1,$C$87))</f>
        <v>0</v>
      </c>
    </row>
    <row r="92" spans="1:74" s="1" customFormat="1" x14ac:dyDescent="0.25"/>
    <row r="94" spans="1:74" s="1" customFormat="1" x14ac:dyDescent="0.25"/>
  </sheetData>
  <conditionalFormatting sqref="J8:J11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I8:I11">
    <cfRule type="dataBar" priority="6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H8:H1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G8:G1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K8:K11">
    <cfRule type="dataBar" priority="3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L8:L11">
    <cfRule type="dataBar" priority="2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M8:M11">
    <cfRule type="dataBar" priority="1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J8:J11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I8:I11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H8:H11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G8:G11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K8:K11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L8:L11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M8:M11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8:BV159"/>
  <sheetViews>
    <sheetView zoomScaleNormal="100" workbookViewId="0"/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">
        <v>129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cm="1">
        <f t="array" aca="1" ref="BO39" ca="1">INDIRECT(ADDRESS(1,BO$38,1,1,"Confirmed Day Zero"))</f>
        <v>0</v>
      </c>
      <c r="BP39" s="5" cm="1">
        <f t="array" aca="1" ref="BP39" ca="1">INDIRECT(ADDRESS(1,BP$38,1,1,"Confirmed Day Zero"))</f>
        <v>0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>
        <v>1</v>
      </c>
      <c r="C40" t="str" cm="1">
        <f t="array" aca="1" ref="C40" ca="1">INDIRECT(ADDRESS($B40+1,1,1,1,"Confirmed Day Zero"))</f>
        <v>Doubling every 2 days</v>
      </c>
      <c r="D40" s="1"/>
      <c r="E40" cm="1">
        <f t="array" aca="1" ref="E40" ca="1">IF(INDIRECT(ADDRESS($B40+1,E$38,1,1,"Confirmed Day Zero"))=0,#N/A,INDIRECT(ADDRESS($B40+1,E$38,1,1,"Confirmed Day Zero")))</f>
        <v>50</v>
      </c>
      <c r="F40" cm="1">
        <f t="array" aca="1" ref="F40" ca="1">IF(INDIRECT(ADDRESS($B40+1,F$38,1,1,"Confirmed Day Zero"))=0,#N/A,INDIRECT(ADDRESS($B40+1,F$38,1,1,"Confirmed Day Zero")))</f>
        <v>70.710678119999997</v>
      </c>
      <c r="G40" cm="1">
        <f t="array" aca="1" ref="G40" ca="1">IF(INDIRECT(ADDRESS($B40+1,G$38,1,1,"Confirmed Day Zero"))=0,#N/A,INDIRECT(ADDRESS($B40+1,G$38,1,1,"Confirmed Day Zero")))</f>
        <v>100.0000000038</v>
      </c>
      <c r="H40" cm="1">
        <f t="array" aca="1" ref="H40" ca="1">IF(INDIRECT(ADDRESS($B40+1,H$38,1,1,"Confirmed Day Zero"))=0,#N/A,INDIRECT(ADDRESS($B40+1,H$38,1,1,"Confirmed Day Zero")))</f>
        <v>141.42135624540001</v>
      </c>
      <c r="I40" cm="1">
        <f t="array" aca="1" ref="I40" ca="1">IF(INDIRECT(ADDRESS($B40+1,I$38,1,1,"Confirmed Day Zero"))=0,#N/A,INDIRECT(ADDRESS($B40+1,I$38,1,1,"Confirmed Day Zero")))</f>
        <v>200.00000001519999</v>
      </c>
      <c r="J40" cm="1">
        <f t="array" aca="1" ref="J40" ca="1">IF(INDIRECT(ADDRESS($B40+1,J$38,1,1,"Confirmed Day Zero"))=0,#N/A,INDIRECT(ADDRESS($B40+1,J$38,1,1,"Confirmed Day Zero")))</f>
        <v>282.84271250149999</v>
      </c>
      <c r="K40" cm="1">
        <f t="array" aca="1" ref="K40" ca="1">IF(INDIRECT(ADDRESS($B40+1,K$38,1,1,"Confirmed Day Zero"))=0,#N/A,INDIRECT(ADDRESS($B40+1,K$38,1,1,"Confirmed Day Zero")))</f>
        <v>400.00000004560002</v>
      </c>
      <c r="L40" cm="1">
        <f t="array" aca="1" ref="L40" ca="1">IF(INDIRECT(ADDRESS($B40+1,L$38,1,1,"Confirmed Day Zero"))=0,#N/A,INDIRECT(ADDRESS($B40+1,L$38,1,1,"Confirmed Day Zero")))</f>
        <v>565.68542502449998</v>
      </c>
      <c r="M40" cm="1">
        <f t="array" aca="1" ref="M40" ca="1">IF(INDIRECT(ADDRESS($B40+1,M$38,1,1,"Confirmed Day Zero"))=0,#N/A,INDIRECT(ADDRESS($B40+1,M$38,1,1,"Confirmed Day Zero")))</f>
        <v>800.00000012170005</v>
      </c>
      <c r="N40" cm="1">
        <f t="array" aca="1" ref="N40" ca="1">IF(INDIRECT(ADDRESS($B40+1,N$38,1,1,"Confirmed Day Zero"))=0,#N/A,INDIRECT(ADDRESS($B40+1,N$38,1,1,"Confirmed Day Zero")))</f>
        <v>1131.3708500921</v>
      </c>
      <c r="O40" cm="1">
        <f t="array" aca="1" ref="O40" ca="1">IF(INDIRECT(ADDRESS($B40+1,O$38,1,1,"Confirmed Day Zero"))=0,#N/A,INDIRECT(ADDRESS($B40+1,O$38,1,1,"Confirmed Day Zero")))</f>
        <v>1600.0000003043001</v>
      </c>
      <c r="P40" cm="1">
        <f t="array" aca="1" ref="P40" ca="1">IF(INDIRECT(ADDRESS($B40+1,P$38,1,1,"Confirmed Day Zero"))=0,#N/A,INDIRECT(ADDRESS($B40+1,P$38,1,1,"Confirmed Day Zero")))</f>
        <v>2262.7417002703</v>
      </c>
      <c r="Q40" cm="1">
        <f t="array" aca="1" ref="Q40" ca="1">IF(INDIRECT(ADDRESS($B40+1,Q$38,1,1,"Confirmed Day Zero"))=0,#N/A,INDIRECT(ADDRESS($B40+1,Q$38,1,1,"Confirmed Day Zero")))</f>
        <v>3200.0000007303001</v>
      </c>
      <c r="R40" cm="1">
        <f t="array" aca="1" ref="R40" ca="1">IF(INDIRECT(ADDRESS($B40+1,R$38,1,1,"Confirmed Day Zero"))=0,#N/A,INDIRECT(ADDRESS($B40+1,R$38,1,1,"Confirmed Day Zero")))</f>
        <v>4525.4834007128002</v>
      </c>
      <c r="S40" cm="1">
        <f t="array" aca="1" ref="S40" ca="1">IF(INDIRECT(ADDRESS($B40+1,S$38,1,1,"Confirmed Day Zero"))=0,#N/A,INDIRECT(ADDRESS($B40+1,S$38,1,1,"Confirmed Day Zero")))</f>
        <v>6400.0000017041002</v>
      </c>
      <c r="T40" cm="1">
        <f t="array" aca="1" ref="T40" ca="1">IF(INDIRECT(ADDRESS($B40+1,T$38,1,1,"Confirmed Day Zero"))=0,#N/A,INDIRECT(ADDRESS($B40+1,T$38,1,1,"Confirmed Day Zero")))</f>
        <v>9050.9668017700005</v>
      </c>
      <c r="U40" cm="1">
        <f t="array" aca="1" ref="U40" ca="1">IF(INDIRECT(ADDRESS($B40+1,U$38,1,1,"Confirmed Day Zero"))=0,#N/A,INDIRECT(ADDRESS($B40+1,U$38,1,1,"Confirmed Day Zero")))</f>
        <v>12800.0000038953</v>
      </c>
      <c r="V40" cm="1">
        <f t="array" aca="1" ref="V40" ca="1">IF(INDIRECT(ADDRESS($B40+1,V$38,1,1,"Confirmed Day Zero"))=0,#N/A,INDIRECT(ADDRESS($B40+1,V$38,1,1,"Confirmed Day Zero")))</f>
        <v>18101.933604228801</v>
      </c>
      <c r="W40" cm="1">
        <f t="array" aca="1" ref="W40" ca="1">IF(INDIRECT(ADDRESS($B40+1,W$38,1,1,"Confirmed Day Zero"))=0,#N/A,INDIRECT(ADDRESS($B40+1,W$38,1,1,"Confirmed Day Zero")))</f>
        <v>25600.000008764699</v>
      </c>
      <c r="X40" cm="1">
        <f t="array" aca="1" ref="X40" ca="1">IF(INDIRECT(ADDRESS($B40+1,X$38,1,1,"Confirmed Day Zero"))=0,#N/A,INDIRECT(ADDRESS($B40+1,X$38,1,1,"Confirmed Day Zero")))</f>
        <v>36203.867209835204</v>
      </c>
      <c r="Y40" cm="1">
        <f t="array" aca="1" ref="Y40" ca="1">IF(INDIRECT(ADDRESS($B40+1,Y$38,1,1,"Confirmed Day Zero"))=0,#N/A,INDIRECT(ADDRESS($B40+1,Y$38,1,1,"Confirmed Day Zero")))</f>
        <v>51200.0000194776</v>
      </c>
      <c r="Z40" cm="1">
        <f t="array" aca="1" ref="Z40" ca="1">IF(INDIRECT(ADDRESS($B40+1,Z$38,1,1,"Confirmed Day Zero"))=0,#N/A,INDIRECT(ADDRESS($B40+1,Z$38,1,1,"Confirmed Day Zero")))</f>
        <v>72407.734422425507</v>
      </c>
      <c r="AA40" cm="1">
        <f t="array" aca="1" ref="AA40" ca="1">IF(INDIRECT(ADDRESS($B40+1,AA$38,1,1,"Confirmed Day Zero"))=0,#N/A,INDIRECT(ADDRESS($B40+1,AA$38,1,1,"Confirmed Day Zero")))</f>
        <v>102400.0000428515</v>
      </c>
      <c r="AB40" t="e" cm="1">
        <f t="array" aca="1" ref="AB40" ca="1">IF(INDIRECT(ADDRESS($B40+1,AB$38,1,1,"Confirmed Day Zero"))=0,#N/A,INDIRECT(ADDRESS($B40+1,AB$38,1,1,"Confirmed Day Zero")))</f>
        <v>#N/A</v>
      </c>
      <c r="AC40" t="e" cm="1">
        <f t="array" aca="1" ref="AC40" ca="1">IF(INDIRECT(ADDRESS($B40+1,AC$38,1,1,"Confirmed Day Zero"))=0,#N/A,INDIRECT(ADDRESS($B40+1,AC$38,1,1,"Confirmed Day Zero")))</f>
        <v>#N/A</v>
      </c>
      <c r="AD40" t="e" cm="1">
        <f t="array" aca="1" ref="AD40" ca="1">IF(INDIRECT(ADDRESS($B40+1,AD$38,1,1,"Confirmed Day Zero"))=0,#N/A,INDIRECT(ADDRESS($B40+1,AD$38,1,1,"Confirmed Day Zero")))</f>
        <v>#N/A</v>
      </c>
      <c r="AE40" t="e" cm="1">
        <f t="array" aca="1" ref="AE40" ca="1">IF(INDIRECT(ADDRESS($B40+1,AE$38,1,1,"Confirmed Day Zero"))=0,#N/A,INDIRECT(ADDRESS($B40+1,AE$38,1,1,"Confirmed Day Zero")))</f>
        <v>#N/A</v>
      </c>
      <c r="AF40" t="e" cm="1">
        <f t="array" aca="1" ref="AF40" ca="1">IF(INDIRECT(ADDRESS($B40+1,AF$38,1,1,"Confirmed Day Zero"))=0,#N/A,INDIRECT(ADDRESS($B40+1,AF$38,1,1,"Confirmed Day Zero")))</f>
        <v>#N/A</v>
      </c>
      <c r="AG40" t="e" cm="1">
        <f t="array" aca="1" ref="AG40" ca="1">IF(INDIRECT(ADDRESS($B40+1,AG$38,1,1,"Confirmed Day Zero"))=0,#N/A,INDIRECT(ADDRESS($B40+1,AG$38,1,1,"Confirmed Day Zero")))</f>
        <v>#N/A</v>
      </c>
      <c r="AH40" t="e" cm="1">
        <f t="array" aca="1" ref="AH40" ca="1">IF(INDIRECT(ADDRESS($B40+1,AH$38,1,1,"Confirmed Day Zero"))=0,#N/A,INDIRECT(ADDRESS($B40+1,AH$38,1,1,"Confirmed Day Zero")))</f>
        <v>#N/A</v>
      </c>
      <c r="AI40" t="e" cm="1">
        <f t="array" aca="1" ref="AI40" ca="1">IF(INDIRECT(ADDRESS($B40+1,AI$38,1,1,"Confirmed Day Zero"))=0,#N/A,INDIRECT(ADDRESS($B40+1,AI$38,1,1,"Confirmed Day Zero")))</f>
        <v>#N/A</v>
      </c>
      <c r="AJ40" t="e" cm="1">
        <f t="array" aca="1" ref="AJ40" ca="1">IF(INDIRECT(ADDRESS($B40+1,AJ$38,1,1,"Confirmed Day Zero"))=0,#N/A,INDIRECT(ADDRESS($B40+1,AJ$38,1,1,"Confirmed Day Zero")))</f>
        <v>#N/A</v>
      </c>
      <c r="AK40" t="e" cm="1">
        <f t="array" aca="1" ref="AK40" ca="1">IF(INDIRECT(ADDRESS($B40+1,AK$38,1,1,"Confirmed Day Zero"))=0,#N/A,INDIRECT(ADDRESS($B40+1,AK$38,1,1,"Confirmed Day Zero")))</f>
        <v>#N/A</v>
      </c>
      <c r="AL40" t="e" cm="1">
        <f t="array" aca="1" ref="AL40" ca="1">IF(INDIRECT(ADDRESS($B40+1,AL$38,1,1,"Confirmed Day Zero"))=0,#N/A,INDIRECT(ADDRESS($B40+1,AL$38,1,1,"Confirmed Day Zero")))</f>
        <v>#N/A</v>
      </c>
      <c r="AM40" t="e" cm="1">
        <f t="array" aca="1" ref="AM40" ca="1">IF(INDIRECT(ADDRESS($B40+1,AM$38,1,1,"Confirmed Day Zero"))=0,#N/A,INDIRECT(ADDRESS($B40+1,AM$38,1,1,"Confirmed Day Zero")))</f>
        <v>#N/A</v>
      </c>
      <c r="AN40" t="e" cm="1">
        <f t="array" aca="1" ref="AN40" ca="1">IF(INDIRECT(ADDRESS($B40+1,AN$38,1,1,"Confirmed Day Zero"))=0,#N/A,INDIRECT(ADDRESS($B40+1,AN$38,1,1,"Confirmed Day Zero")))</f>
        <v>#N/A</v>
      </c>
      <c r="AO40" t="e" cm="1">
        <f t="array" aca="1" ref="AO40" ca="1">IF(INDIRECT(ADDRESS($B40+1,AO$38,1,1,"Confirmed Day Zero"))=0,#N/A,INDIRECT(ADDRESS($B40+1,AO$38,1,1,"Confirmed Day Zero")))</f>
        <v>#N/A</v>
      </c>
      <c r="AP40" t="e" cm="1">
        <f t="array" aca="1" ref="AP40" ca="1">IF(INDIRECT(ADDRESS($B40+1,AP$38,1,1,"Confirmed Day Zero"))=0,#N/A,INDIRECT(ADDRESS($B40+1,AP$38,1,1,"Confirmed Day Zero")))</f>
        <v>#N/A</v>
      </c>
      <c r="AQ40" t="e" cm="1">
        <f t="array" aca="1" ref="AQ40" ca="1">IF(INDIRECT(ADDRESS($B40+1,AQ$38,1,1,"Confirmed Day Zero"))=0,#N/A,INDIRECT(ADDRESS($B40+1,AQ$38,1,1,"Confirmed Day Zero")))</f>
        <v>#N/A</v>
      </c>
      <c r="AR40" t="e" cm="1">
        <f t="array" aca="1" ref="AR40" ca="1">IF(INDIRECT(ADDRESS($B40+1,AR$38,1,1,"Confirmed Day Zero"))=0,#N/A,INDIRECT(ADDRESS($B40+1,AR$38,1,1,"Confirmed Day Zero")))</f>
        <v>#N/A</v>
      </c>
      <c r="AS40" t="e" cm="1">
        <f t="array" aca="1" ref="AS40" ca="1">IF(INDIRECT(ADDRESS($B40+1,AS$38,1,1,"Confirmed Day Zero"))=0,#N/A,INDIRECT(ADDRESS($B40+1,AS$38,1,1,"Confirmed Day Zero")))</f>
        <v>#N/A</v>
      </c>
      <c r="AT40" t="e" cm="1">
        <f t="array" aca="1" ref="AT40" ca="1">IF(INDIRECT(ADDRESS($B40+1,AT$38,1,1,"Confirmed Day Zero"))=0,#N/A,INDIRECT(ADDRESS($B40+1,AT$38,1,1,"Confirmed Day Zero")))</f>
        <v>#N/A</v>
      </c>
      <c r="AU40" t="e" cm="1">
        <f t="array" aca="1" ref="AU40" ca="1">IF(INDIRECT(ADDRESS($B40+1,AU$38,1,1,"Confirmed Day Zero"))=0,#N/A,INDIRECT(ADDRESS($B40+1,AU$38,1,1,"Confirmed Day Zero")))</f>
        <v>#N/A</v>
      </c>
      <c r="AV40" t="e" cm="1">
        <f t="array" aca="1" ref="AV40" ca="1">IF(INDIRECT(ADDRESS($B40+1,AV$38,1,1,"Confirmed Day Zero"))=0,#N/A,INDIRECT(ADDRESS($B40+1,AV$38,1,1,"Confirmed Day Zero")))</f>
        <v>#N/A</v>
      </c>
      <c r="AW40" t="e" cm="1">
        <f t="array" aca="1" ref="AW40" ca="1">IF(INDIRECT(ADDRESS($B40+1,AW$38,1,1,"Confirmed Day Zero"))=0,#N/A,INDIRECT(ADDRESS($B40+1,AW$38,1,1,"Confirmed Day Zero")))</f>
        <v>#N/A</v>
      </c>
      <c r="AX40" t="e" cm="1">
        <f t="array" aca="1" ref="AX40" ca="1">IF(INDIRECT(ADDRESS($B40+1,AX$38,1,1,"Confirmed Day Zero"))=0,#N/A,INDIRECT(ADDRESS($B40+1,AX$38,1,1,"Confirmed Day Zero")))</f>
        <v>#N/A</v>
      </c>
      <c r="AY40" t="e" cm="1">
        <f t="array" aca="1" ref="AY40" ca="1">IF(INDIRECT(ADDRESS($B40+1,AY$38,1,1,"Confirmed Day Zero"))=0,#N/A,INDIRECT(ADDRESS($B40+1,AY$38,1,1,"Confirmed Day Zero")))</f>
        <v>#N/A</v>
      </c>
      <c r="AZ40" t="e" cm="1">
        <f t="array" aca="1" ref="AZ40" ca="1">IF(INDIRECT(ADDRESS($B40+1,AZ$38,1,1,"Confirmed Day Zero"))=0,#N/A,INDIRECT(ADDRESS($B40+1,AZ$38,1,1,"Confirmed Day Zero")))</f>
        <v>#N/A</v>
      </c>
      <c r="BA40" t="e" cm="1">
        <f t="array" aca="1" ref="BA40" ca="1">IF(INDIRECT(ADDRESS($B40+1,BA$38,1,1,"Confirmed Day Zero"))=0,#N/A,INDIRECT(ADDRESS($B40+1,BA$38,1,1,"Confirmed Day Zero")))</f>
        <v>#N/A</v>
      </c>
      <c r="BB40" t="e" cm="1">
        <f t="array" aca="1" ref="BB40" ca="1">IF(INDIRECT(ADDRESS($B40+1,BB$38,1,1,"Confirmed Day Zero"))=0,#N/A,INDIRECT(ADDRESS($B40+1,BB$38,1,1,"Confirmed Day Zero")))</f>
        <v>#N/A</v>
      </c>
      <c r="BC40" t="e" cm="1">
        <f t="array" aca="1" ref="BC40" ca="1">IF(INDIRECT(ADDRESS($B40+1,BC$38,1,1,"Confirmed Day Zero"))=0,#N/A,INDIRECT(ADDRESS($B40+1,BC$38,1,1,"Confirmed Day Zero")))</f>
        <v>#N/A</v>
      </c>
      <c r="BD40" t="e" cm="1">
        <f t="array" aca="1" ref="BD40" ca="1">IF(INDIRECT(ADDRESS($B40+1,BD$38,1,1,"Confirmed Day Zero"))=0,#N/A,INDIRECT(ADDRESS($B40+1,BD$38,1,1,"Confirmed Day Zero")))</f>
        <v>#N/A</v>
      </c>
      <c r="BE40" t="e" cm="1">
        <f t="array" aca="1" ref="BE40" ca="1">IF(INDIRECT(ADDRESS($B40+1,BE$38,1,1,"Confirmed Day Zero"))=0,#N/A,INDIRECT(ADDRESS($B40+1,BE$38,1,1,"Confirmed Day Zero")))</f>
        <v>#N/A</v>
      </c>
      <c r="BF40" t="e" cm="1">
        <f t="array" aca="1" ref="BF40" ca="1">IF(INDIRECT(ADDRESS($B40+1,BF$38,1,1,"Confirmed Day Zero"))=0,#N/A,INDIRECT(ADDRESS($B40+1,BF$38,1,1,"Confirmed Day Zero")))</f>
        <v>#N/A</v>
      </c>
      <c r="BG40" t="e" cm="1">
        <f t="array" aca="1" ref="BG40" ca="1">IF(INDIRECT(ADDRESS($B40+1,BG$38,1,1,"Confirmed Day Zero"))=0,#N/A,INDIRECT(ADDRESS($B40+1,BG$38,1,1,"Confirmed Day Zero")))</f>
        <v>#N/A</v>
      </c>
      <c r="BH40" t="e" cm="1">
        <f t="array" aca="1" ref="BH40" ca="1">IF(INDIRECT(ADDRESS($B40+1,BH$38,1,1,"Confirmed Day Zero"))=0,#N/A,INDIRECT(ADDRESS($B40+1,BH$38,1,1,"Confirmed Day Zero")))</f>
        <v>#N/A</v>
      </c>
      <c r="BI40" t="e" cm="1">
        <f t="array" aca="1" ref="BI40" ca="1">IF(INDIRECT(ADDRESS($B40+1,BI$38,1,1,"Confirmed Day Zero"))=0,#N/A,INDIRECT(ADDRESS($B40+1,BI$38,1,1,"Confirmed Day Zero")))</f>
        <v>#N/A</v>
      </c>
      <c r="BJ40" t="e" cm="1">
        <f t="array" aca="1" ref="BJ40" ca="1">IF(INDIRECT(ADDRESS($B40+1,BJ$38,1,1,"Confirmed Day Zero"))=0,#N/A,INDIRECT(ADDRESS($B40+1,BJ$38,1,1,"Confirmed Day Zero")))</f>
        <v>#N/A</v>
      </c>
      <c r="BK40" t="e" cm="1">
        <f t="array" aca="1" ref="BK40" ca="1">IF(INDIRECT(ADDRESS($B40+1,BK$38,1,1,"Confirmed Day Zero"))=0,#N/A,INDIRECT(ADDRESS($B40+1,BK$38,1,1,"Confirmed Day Zero")))</f>
        <v>#N/A</v>
      </c>
      <c r="BL40" t="e" cm="1">
        <f t="array" aca="1" ref="BL40" ca="1">IF(INDIRECT(ADDRESS($B40+1,BL$38,1,1,"Confirmed Day Zero"))=0,#N/A,INDIRECT(ADDRESS($B40+1,BL$38,1,1,"Confirmed Day Zero")))</f>
        <v>#N/A</v>
      </c>
      <c r="BM40" t="e" cm="1">
        <f t="array" aca="1" ref="BM40" ca="1">IF(INDIRECT(ADDRESS($B40+1,BM$38,1,1,"Confirmed Day Zero"))=0,#N/A,INDIRECT(ADDRESS($B40+1,BM$38,1,1,"Confirmed Day Zero")))</f>
        <v>#N/A</v>
      </c>
      <c r="BN40" t="e" cm="1">
        <f t="array" aca="1" ref="BN40" ca="1">IF(INDIRECT(ADDRESS($B40+1,BN$38,1,1,"Confirmed Day Zero"))=0,#N/A,INDIRECT(ADDRESS($B40+1,BN$38,1,1,"Confirmed Day Zero")))</f>
        <v>#N/A</v>
      </c>
      <c r="BO40" t="e" cm="1">
        <f t="array" aca="1" ref="BO40" ca="1">IF(INDIRECT(ADDRESS($B40+1,BO$38,1,1,"Confirmed Day Zero"))=0,#N/A,INDIRECT(ADDRESS($B40+1,BO$38,1,1,"Confirmed Day Zero")))</f>
        <v>#N/A</v>
      </c>
      <c r="BP40" t="e" cm="1">
        <f t="array" aca="1" ref="BP40" ca="1">IF(INDIRECT(ADDRESS($B40+1,BP$38,1,1,"Confirmed Day Zero"))=0,#N/A,INDIRECT(ADDRESS($B40+1,BP$38,1,1,"Confirmed Day Zero")))</f>
        <v>#N/A</v>
      </c>
      <c r="BQ40" t="e" cm="1">
        <f t="array" aca="1" ref="BQ40" ca="1">IF(INDIRECT(ADDRESS($B40+1,BQ$38,1,1,"Confirmed Day Zero"))=0,#N/A,INDIRECT(ADDRESS($B40+1,BQ$38,1,1,"Confirmed Day Zero")))</f>
        <v>#N/A</v>
      </c>
      <c r="BR40" t="e" cm="1">
        <f t="array" aca="1" ref="BR40" ca="1">IF(INDIRECT(ADDRESS($B40+1,BR$38,1,1,"Confirmed Day Zero"))=0,#N/A,INDIRECT(ADDRESS($B40+1,BR$38,1,1,"Confirmed Day Zero")))</f>
        <v>#N/A</v>
      </c>
      <c r="BS40" t="e" cm="1">
        <f t="array" aca="1" ref="BS40" ca="1">IF(INDIRECT(ADDRESS($B40+1,BS$38,1,1,"Confirmed Day Zero"))=0,#N/A,INDIRECT(ADDRESS($B40+1,BS$38,1,1,"Confirmed Day Zero")))</f>
        <v>#N/A</v>
      </c>
      <c r="BT40" t="e" cm="1">
        <f t="array" aca="1" ref="BT40" ca="1">IF(INDIRECT(ADDRESS($B40+1,BT$38,1,1,"Confirmed Day Zero"))=0,#N/A,INDIRECT(ADDRESS($B40+1,BT$38,1,1,"Confirmed Day Zero")))</f>
        <v>#N/A</v>
      </c>
      <c r="BU40" t="e" cm="1">
        <f t="array" aca="1" ref="BU40" ca="1">IF(INDIRECT(ADDRESS($B40+1,BU$38,1,1,"Confirmed Day Zero"))=0,#N/A,INDIRECT(ADDRESS($B40+1,BU$38,1,1,"Confirmed Day Zero")))</f>
        <v>#N/A</v>
      </c>
      <c r="BV40" t="e" cm="1">
        <f t="array" aca="1" ref="BV40" ca="1">IF(INDIRECT(ADDRESS($B40+1,BV$38,1,1,"Confirmed Day Zero"))=0,#N/A,INDIRECT(ADDRESS($B40+1,BV$38,1,1,"Confirmed Day Zero")))</f>
        <v>#N/A</v>
      </c>
    </row>
    <row r="41" spans="2:74" x14ac:dyDescent="0.25">
      <c r="B41" s="16">
        <f>B40+1</f>
        <v>2</v>
      </c>
      <c r="C41" t="str" cm="1">
        <f t="array" aca="1" ref="C41" ca="1">INDIRECT(ADDRESS($B41+1,1,1,1,"Confirmed Day Zero"))</f>
        <v>Doubling every 5 days</v>
      </c>
      <c r="D41" s="1"/>
      <c r="E41" cm="1">
        <f t="array" aca="1" ref="E41" ca="1">IF(INDIRECT(ADDRESS($B41+1,E$38,1,1,"Confirmed Day Zero"))=0,#N/A,INDIRECT(ADDRESS($B41+1,E$38,1,1,"Confirmed Day Zero")))</f>
        <v>50</v>
      </c>
      <c r="F41" cm="1">
        <f t="array" aca="1" ref="F41" ca="1">IF(INDIRECT(ADDRESS($B41+1,F$38,1,1,"Confirmed Day Zero"))=0,#N/A,INDIRECT(ADDRESS($B41+1,F$38,1,1,"Confirmed Day Zero")))</f>
        <v>57.434917749999997</v>
      </c>
      <c r="G41" cm="1">
        <f t="array" aca="1" ref="G41" ca="1">IF(INDIRECT(ADDRESS($B41+1,G$38,1,1,"Confirmed Day Zero"))=0,#N/A,INDIRECT(ADDRESS($B41+1,G$38,1,1,"Confirmed Day Zero")))</f>
        <v>65.975395539000004</v>
      </c>
      <c r="H41" cm="1">
        <f t="array" aca="1" ref="H41" ca="1">IF(INDIRECT(ADDRESS($B41+1,H$38,1,1,"Confirmed Day Zero"))=0,#N/A,INDIRECT(ADDRESS($B41+1,H$38,1,1,"Confirmed Day Zero")))</f>
        <v>75.785828326100003</v>
      </c>
      <c r="I41" cm="1">
        <f t="array" aca="1" ref="I41" ca="1">IF(INDIRECT(ADDRESS($B41+1,I$38,1,1,"Confirmed Day Zero"))=0,#N/A,INDIRECT(ADDRESS($B41+1,I$38,1,1,"Confirmed Day Zero")))</f>
        <v>87.055056330499994</v>
      </c>
      <c r="J41" cm="1">
        <f t="array" aca="1" ref="J41" ca="1">IF(INDIRECT(ADDRESS($B41+1,J$38,1,1,"Confirmed Day Zero"))=0,#N/A,INDIRECT(ADDRESS($B41+1,J$38,1,1,"Confirmed Day Zero")))</f>
        <v>100.00000000129999</v>
      </c>
      <c r="K41" cm="1">
        <f t="array" aca="1" ref="K41" ca="1">IF(INDIRECT(ADDRESS($B41+1,K$38,1,1,"Confirmed Day Zero"))=0,#N/A,INDIRECT(ADDRESS($B41+1,K$38,1,1,"Confirmed Day Zero")))</f>
        <v>114.86983550150001</v>
      </c>
      <c r="L41" cm="1">
        <f t="array" aca="1" ref="L41" ca="1">IF(INDIRECT(ADDRESS($B41+1,L$38,1,1,"Confirmed Day Zero"))=0,#N/A,INDIRECT(ADDRESS($B41+1,L$38,1,1,"Confirmed Day Zero")))</f>
        <v>131.9507910797</v>
      </c>
      <c r="M41" cm="1">
        <f t="array" aca="1" ref="M41" ca="1">IF(INDIRECT(ADDRESS($B41+1,M$38,1,1,"Confirmed Day Zero"))=0,#N/A,INDIRECT(ADDRESS($B41+1,M$38,1,1,"Confirmed Day Zero")))</f>
        <v>151.57165665420001</v>
      </c>
      <c r="N41" cm="1">
        <f t="array" aca="1" ref="N41" ca="1">IF(INDIRECT(ADDRESS($B41+1,N$38,1,1,"Confirmed Day Zero"))=0,#N/A,INDIRECT(ADDRESS($B41+1,N$38,1,1,"Confirmed Day Zero")))</f>
        <v>174.11011266329999</v>
      </c>
      <c r="O41" cm="1">
        <f t="array" aca="1" ref="O41" ca="1">IF(INDIRECT(ADDRESS($B41+1,O$38,1,1,"Confirmed Day Zero"))=0,#N/A,INDIRECT(ADDRESS($B41+1,O$38,1,1,"Confirmed Day Zero")))</f>
        <v>200.00000000520001</v>
      </c>
      <c r="P41" cm="1">
        <f t="array" aca="1" ref="P41" ca="1">IF(INDIRECT(ADDRESS($B41+1,P$38,1,1,"Confirmed Day Zero"))=0,#N/A,INDIRECT(ADDRESS($B41+1,P$38,1,1,"Confirmed Day Zero")))</f>
        <v>229.73967100600001</v>
      </c>
      <c r="Q41" cm="1">
        <f t="array" aca="1" ref="Q41" ca="1">IF(INDIRECT(ADDRESS($B41+1,Q$38,1,1,"Confirmed Day Zero"))=0,#N/A,INDIRECT(ADDRESS($B41+1,Q$38,1,1,"Confirmed Day Zero")))</f>
        <v>263.90158216280003</v>
      </c>
      <c r="R41" cm="1">
        <f t="array" aca="1" ref="R41" ca="1">IF(INDIRECT(ADDRESS($B41+1,R$38,1,1,"Confirmed Day Zero"))=0,#N/A,INDIRECT(ADDRESS($B41+1,R$38,1,1,"Confirmed Day Zero")))</f>
        <v>303.14331331229999</v>
      </c>
      <c r="S41" cm="1">
        <f t="array" aca="1" ref="S41" ca="1">IF(INDIRECT(ADDRESS($B41+1,S$38,1,1,"Confirmed Day Zero"))=0,#N/A,INDIRECT(ADDRESS($B41+1,S$38,1,1,"Confirmed Day Zero")))</f>
        <v>348.22022533109998</v>
      </c>
      <c r="T41" cm="1">
        <f t="array" aca="1" ref="T41" ca="1">IF(INDIRECT(ADDRESS($B41+1,T$38,1,1,"Confirmed Day Zero"))=0,#N/A,INDIRECT(ADDRESS($B41+1,T$38,1,1,"Confirmed Day Zero")))</f>
        <v>400.00000001559999</v>
      </c>
      <c r="U41" cm="1">
        <f t="array" aca="1" ref="U41" ca="1">IF(INDIRECT(ADDRESS($B41+1,U$38,1,1,"Confirmed Day Zero"))=0,#N/A,INDIRECT(ADDRESS($B41+1,U$38,1,1,"Confirmed Day Zero")))</f>
        <v>459.47934201790002</v>
      </c>
      <c r="V41" cm="1">
        <f t="array" aca="1" ref="V41" ca="1">IF(INDIRECT(ADDRESS($B41+1,V$38,1,1,"Confirmed Day Zero"))=0,#N/A,INDIRECT(ADDRESS($B41+1,V$38,1,1,"Confirmed Day Zero")))</f>
        <v>527.8031643324</v>
      </c>
      <c r="W41" cm="1">
        <f t="array" aca="1" ref="W41" ca="1">IF(INDIRECT(ADDRESS($B41+1,W$38,1,1,"Confirmed Day Zero"))=0,#N/A,INDIRECT(ADDRESS($B41+1,W$38,1,1,"Confirmed Day Zero")))</f>
        <v>606.28662663240004</v>
      </c>
      <c r="X41" cm="1">
        <f t="array" aca="1" ref="X41" ca="1">IF(INDIRECT(ADDRESS($B41+1,X$38,1,1,"Confirmed Day Zero"))=0,#N/A,INDIRECT(ADDRESS($B41+1,X$38,1,1,"Confirmed Day Zero")))</f>
        <v>696.44045067110005</v>
      </c>
      <c r="Y41" cm="1">
        <f t="array" aca="1" ref="Y41" ca="1">IF(INDIRECT(ADDRESS($B41+1,Y$38,1,1,"Confirmed Day Zero"))=0,#N/A,INDIRECT(ADDRESS($B41+1,Y$38,1,1,"Confirmed Day Zero")))</f>
        <v>800.00000004139997</v>
      </c>
      <c r="Z41" cm="1">
        <f t="array" aca="1" ref="Z41" ca="1">IF(INDIRECT(ADDRESS($B41+1,Z$38,1,1,"Confirmed Day Zero"))=0,#N/A,INDIRECT(ADDRESS($B41+1,Z$38,1,1,"Confirmed Day Zero")))</f>
        <v>918.95868404759995</v>
      </c>
      <c r="AA41" cm="1">
        <f t="array" aca="1" ref="AA41" ca="1">IF(INDIRECT(ADDRESS($B41+1,AA$38,1,1,"Confirmed Day Zero"))=0,#N/A,INDIRECT(ADDRESS($B41+1,AA$38,1,1,"Confirmed Day Zero")))</f>
        <v>1055.6063286783999</v>
      </c>
      <c r="AB41" cm="1">
        <f t="array" aca="1" ref="AB41" ca="1">IF(INDIRECT(ADDRESS($B41+1,AB$38,1,1,"Confirmed Day Zero"))=0,#N/A,INDIRECT(ADDRESS($B41+1,AB$38,1,1,"Confirmed Day Zero")))</f>
        <v>1212.5732532805</v>
      </c>
      <c r="AC41" cm="1">
        <f t="array" aca="1" ref="AC41" ca="1">IF(INDIRECT(ADDRESS($B41+1,AC$38,1,1,"Confirmed Day Zero"))=0,#N/A,INDIRECT(ADDRESS($B41+1,AC$38,1,1,"Confirmed Day Zero")))</f>
        <v>1392.8809013603</v>
      </c>
      <c r="AD41" cm="1">
        <f t="array" aca="1" ref="AD41" ca="1">IF(INDIRECT(ADDRESS($B41+1,AD$38,1,1,"Confirmed Day Zero"))=0,#N/A,INDIRECT(ADDRESS($B41+1,AD$38,1,1,"Confirmed Day Zero")))</f>
        <v>1600.0000001035</v>
      </c>
      <c r="AE41" cm="1">
        <f t="array" aca="1" ref="AE41" ca="1">IF(INDIRECT(ADDRESS($B41+1,AE$38,1,1,"Confirmed Day Zero"))=0,#N/A,INDIRECT(ADDRESS($B41+1,AE$38,1,1,"Confirmed Day Zero")))</f>
        <v>1837.9173681189</v>
      </c>
      <c r="AF41" cm="1">
        <f t="array" aca="1" ref="AF41" ca="1">IF(INDIRECT(ADDRESS($B41+1,AF$38,1,1,"Confirmed Day Zero"))=0,#N/A,INDIRECT(ADDRESS($B41+1,AF$38,1,1,"Confirmed Day Zero")))</f>
        <v>2111.2126573841001</v>
      </c>
      <c r="AG41" cm="1">
        <f t="array" aca="1" ref="AG41" ca="1">IF(INDIRECT(ADDRESS($B41+1,AG$38,1,1,"Confirmed Day Zero"))=0,#N/A,INDIRECT(ADDRESS($B41+1,AG$38,1,1,"Confirmed Day Zero")))</f>
        <v>2425.1465065922998</v>
      </c>
      <c r="AH41" cm="1">
        <f t="array" aca="1" ref="AH41" ca="1">IF(INDIRECT(ADDRESS($B41+1,AH$38,1,1,"Confirmed Day Zero"))=0,#N/A,INDIRECT(ADDRESS($B41+1,AH$38,1,1,"Confirmed Day Zero")))</f>
        <v>2785.7618027566</v>
      </c>
      <c r="AI41" cm="1">
        <f t="array" aca="1" ref="AI41" ca="1">IF(INDIRECT(ADDRESS($B41+1,AI$38,1,1,"Confirmed Day Zero"))=0,#N/A,INDIRECT(ADDRESS($B41+1,AI$38,1,1,"Confirmed Day Zero")))</f>
        <v>3200.0000002482998</v>
      </c>
      <c r="AJ41" cm="1">
        <f t="array" aca="1" ref="AJ41" ca="1">IF(INDIRECT(ADDRESS($B41+1,AJ$38,1,1,"Confirmed Day Zero"))=0,#N/A,INDIRECT(ADDRESS($B41+1,AJ$38,1,1,"Confirmed Day Zero")))</f>
        <v>3675.8347362852001</v>
      </c>
      <c r="AK41" cm="1">
        <f t="array" aca="1" ref="AK41" ca="1">IF(INDIRECT(ADDRESS($B41+1,AK$38,1,1,"Confirmed Day Zero"))=0,#N/A,INDIRECT(ADDRESS($B41+1,AK$38,1,1,"Confirmed Day Zero")))</f>
        <v>4222.4253148226999</v>
      </c>
      <c r="AL41" cm="1">
        <f t="array" aca="1" ref="AL41" ca="1">IF(INDIRECT(ADDRESS($B41+1,AL$38,1,1,"Confirmed Day Zero"))=0,#N/A,INDIRECT(ADDRESS($B41+1,AL$38,1,1,"Confirmed Day Zero")))</f>
        <v>4850.2930132472002</v>
      </c>
      <c r="AM41" cm="1">
        <f t="array" aca="1" ref="AM41" ca="1">IF(INDIRECT(ADDRESS($B41+1,AM$38,1,1,"Confirmed Day Zero"))=0,#N/A,INDIRECT(ADDRESS($B41+1,AM$38,1,1,"Confirmed Day Zero")))</f>
        <v>5571.5236055851001</v>
      </c>
      <c r="AN41" cm="1">
        <f t="array" aca="1" ref="AN41" ca="1">IF(INDIRECT(ADDRESS($B41+1,AN$38,1,1,"Confirmed Day Zero"))=0,#N/A,INDIRECT(ADDRESS($B41+1,AN$38,1,1,"Confirmed Day Zero")))</f>
        <v>6400.0000005792999</v>
      </c>
      <c r="AO41" cm="1">
        <f t="array" aca="1" ref="AO41" ca="1">IF(INDIRECT(ADDRESS($B41+1,AO$38,1,1,"Confirmed Day Zero"))=0,#N/A,INDIRECT(ADDRESS($B41+1,AO$38,1,1,"Confirmed Day Zero")))</f>
        <v>7351.6694726653996</v>
      </c>
      <c r="AP41" cm="1">
        <f t="array" aca="1" ref="AP41" ca="1">IF(INDIRECT(ADDRESS($B41+1,AP$38,1,1,"Confirmed Day Zero"))=0,#N/A,INDIRECT(ADDRESS($B41+1,AP$38,1,1,"Confirmed Day Zero")))</f>
        <v>8444.8506297544991</v>
      </c>
      <c r="AQ41" cm="1">
        <f t="array" aca="1" ref="AQ41" ca="1">IF(INDIRECT(ADDRESS($B41+1,AQ$38,1,1,"Confirmed Day Zero"))=0,#N/A,INDIRECT(ADDRESS($B41+1,AQ$38,1,1,"Confirmed Day Zero")))</f>
        <v>9700.5860266196996</v>
      </c>
      <c r="AR41" cm="1">
        <f t="array" aca="1" ref="AR41" ca="1">IF(INDIRECT(ADDRESS($B41+1,AR$38,1,1,"Confirmed Day Zero"))=0,#N/A,INDIRECT(ADDRESS($B41+1,AR$38,1,1,"Confirmed Day Zero")))</f>
        <v>11143.047211314</v>
      </c>
      <c r="AS41" cm="1">
        <f t="array" aca="1" ref="AS41" ca="1">IF(INDIRECT(ADDRESS($B41+1,AS$38,1,1,"Confirmed Day Zero"))=0,#N/A,INDIRECT(ADDRESS($B41+1,AS$38,1,1,"Confirmed Day Zero")))</f>
        <v>12800.0000013237</v>
      </c>
      <c r="AT41" cm="1">
        <f t="array" aca="1" ref="AT41" ca="1">IF(INDIRECT(ADDRESS($B41+1,AT$38,1,1,"Confirmed Day Zero"))=0,#N/A,INDIRECT(ADDRESS($B41+1,AT$38,1,1,"Confirmed Day Zero")))</f>
        <v>14703.3389455205</v>
      </c>
      <c r="AU41" cm="1">
        <f t="array" aca="1" ref="AU41" ca="1">IF(INDIRECT(ADDRESS($B41+1,AU$38,1,1,"Confirmed Day Zero"))=0,#N/A,INDIRECT(ADDRESS($B41+1,AU$38,1,1,"Confirmed Day Zero")))</f>
        <v>16889.7012597268</v>
      </c>
      <c r="AV41" cm="1">
        <f t="array" aca="1" ref="AV41" ca="1">IF(INDIRECT(ADDRESS($B41+1,AV$38,1,1,"Confirmed Day Zero"))=0,#N/A,INDIRECT(ADDRESS($B41+1,AV$38,1,1,"Confirmed Day Zero")))</f>
        <v>19401.172053489601</v>
      </c>
      <c r="AW41" cm="1">
        <f t="array" aca="1" ref="AW41" ca="1">IF(INDIRECT(ADDRESS($B41+1,AW$38,1,1,"Confirmed Day Zero"))=0,#N/A,INDIRECT(ADDRESS($B41+1,AW$38,1,1,"Confirmed Day Zero")))</f>
        <v>22286.094422915499</v>
      </c>
      <c r="AX41" cm="1">
        <f t="array" aca="1" ref="AX41" ca="1">IF(INDIRECT(ADDRESS($B41+1,AX$38,1,1,"Confirmed Day Zero"))=0,#N/A,INDIRECT(ADDRESS($B41+1,AX$38,1,1,"Confirmed Day Zero")))</f>
        <v>25600.0000029777</v>
      </c>
      <c r="AY41" cm="1">
        <f t="array" aca="1" ref="AY41" ca="1">IF(INDIRECT(ADDRESS($B41+1,AY$38,1,1,"Confirmed Day Zero"))=0,#N/A,INDIRECT(ADDRESS($B41+1,AY$38,1,1,"Confirmed Day Zero")))</f>
        <v>29406.677891420499</v>
      </c>
      <c r="AZ41" cm="1">
        <f t="array" aca="1" ref="AZ41" ca="1">IF(INDIRECT(ADDRESS($B41+1,AZ$38,1,1,"Confirmed Day Zero"))=0,#N/A,INDIRECT(ADDRESS($B41+1,AZ$38,1,1,"Confirmed Day Zero")))</f>
        <v>33779.402519889598</v>
      </c>
      <c r="BA41" cm="1">
        <f t="array" aca="1" ref="BA41" ca="1">IF(INDIRECT(ADDRESS($B41+1,BA$38,1,1,"Confirmed Day Zero"))=0,#N/A,INDIRECT(ADDRESS($B41+1,BA$38,1,1,"Confirmed Day Zero")))</f>
        <v>38802.344107479999</v>
      </c>
      <c r="BB41" cm="1">
        <f t="array" aca="1" ref="BB41" ca="1">IF(INDIRECT(ADDRESS($B41+1,BB$38,1,1,"Confirmed Day Zero"))=0,#N/A,INDIRECT(ADDRESS($B41+1,BB$38,1,1,"Confirmed Day Zero")))</f>
        <v>44572.188846406199</v>
      </c>
      <c r="BC41" cm="1">
        <f t="array" aca="1" ref="BC41" ca="1">IF(INDIRECT(ADDRESS($B41+1,BC$38,1,1,"Confirmed Day Zero"))=0,#N/A,INDIRECT(ADDRESS($B41+1,BC$38,1,1,"Confirmed Day Zero")))</f>
        <v>51200.000006616203</v>
      </c>
      <c r="BD41" cm="1">
        <f t="array" aca="1" ref="BD41" ca="1">IF(INDIRECT(ADDRESS($B41+1,BD$38,1,1,"Confirmed Day Zero"))=0,#N/A,INDIRECT(ADDRESS($B41+1,BD$38,1,1,"Confirmed Day Zero")))</f>
        <v>58813.355783600004</v>
      </c>
      <c r="BE41" cm="1">
        <f t="array" aca="1" ref="BE41" ca="1">IF(INDIRECT(ADDRESS($B41+1,BE$38,1,1,"Confirmed Day Zero"))=0,#N/A,INDIRECT(ADDRESS($B41+1,BE$38,1,1,"Confirmed Day Zero")))</f>
        <v>67558.805040651103</v>
      </c>
      <c r="BF41" cm="1">
        <f t="array" aca="1" ref="BF41" ca="1">IF(INDIRECT(ADDRESS($B41+1,BF$38,1,1,"Confirmed Day Zero"))=0,#N/A,INDIRECT(ADDRESS($B41+1,BF$38,1,1,"Confirmed Day Zero")))</f>
        <v>77604.688215961607</v>
      </c>
      <c r="BG41" cm="1">
        <f t="array" aca="1" ref="BG41" ca="1">IF(INDIRECT(ADDRESS($B41+1,BG$38,1,1,"Confirmed Day Zero"))=0,#N/A,INDIRECT(ADDRESS($B41+1,BG$38,1,1,"Confirmed Day Zero")))</f>
        <v>89144.377693963004</v>
      </c>
      <c r="BH41" cm="1">
        <f t="array" aca="1" ref="BH41" ca="1">IF(INDIRECT(ADDRESS($B41+1,BH$38,1,1,"Confirmed Day Zero"))=0,#N/A,INDIRECT(ADDRESS($B41+1,BH$38,1,1,"Confirmed Day Zero")))</f>
        <v>102400.000014554</v>
      </c>
      <c r="BI41" t="e" cm="1">
        <f t="array" aca="1" ref="BI41" ca="1">IF(INDIRECT(ADDRESS($B41+1,BI$38,1,1,"Confirmed Day Zero"))=0,#N/A,INDIRECT(ADDRESS($B41+1,BI$38,1,1,"Confirmed Day Zero")))</f>
        <v>#N/A</v>
      </c>
      <c r="BJ41" t="e" cm="1">
        <f t="array" aca="1" ref="BJ41" ca="1">IF(INDIRECT(ADDRESS($B41+1,BJ$38,1,1,"Confirmed Day Zero"))=0,#N/A,INDIRECT(ADDRESS($B41+1,BJ$38,1,1,"Confirmed Day Zero")))</f>
        <v>#N/A</v>
      </c>
      <c r="BK41" t="e" cm="1">
        <f t="array" aca="1" ref="BK41" ca="1">IF(INDIRECT(ADDRESS($B41+1,BK$38,1,1,"Confirmed Day Zero"))=0,#N/A,INDIRECT(ADDRESS($B41+1,BK$38,1,1,"Confirmed Day Zero")))</f>
        <v>#N/A</v>
      </c>
      <c r="BL41" t="e" cm="1">
        <f t="array" aca="1" ref="BL41" ca="1">IF(INDIRECT(ADDRESS($B41+1,BL$38,1,1,"Confirmed Day Zero"))=0,#N/A,INDIRECT(ADDRESS($B41+1,BL$38,1,1,"Confirmed Day Zero")))</f>
        <v>#N/A</v>
      </c>
      <c r="BM41" t="e" cm="1">
        <f t="array" aca="1" ref="BM41" ca="1">IF(INDIRECT(ADDRESS($B41+1,BM$38,1,1,"Confirmed Day Zero"))=0,#N/A,INDIRECT(ADDRESS($B41+1,BM$38,1,1,"Confirmed Day Zero")))</f>
        <v>#N/A</v>
      </c>
      <c r="BN41" t="e" cm="1">
        <f t="array" aca="1" ref="BN41" ca="1">IF(INDIRECT(ADDRESS($B41+1,BN$38,1,1,"Confirmed Day Zero"))=0,#N/A,INDIRECT(ADDRESS($B41+1,BN$38,1,1,"Confirmed Day Zero")))</f>
        <v>#N/A</v>
      </c>
      <c r="BO41" t="e" cm="1">
        <f t="array" aca="1" ref="BO41" ca="1">IF(INDIRECT(ADDRESS($B41+1,BO$38,1,1,"Confirmed Day Zero"))=0,#N/A,INDIRECT(ADDRESS($B41+1,BO$38,1,1,"Confirmed Day Zero")))</f>
        <v>#N/A</v>
      </c>
      <c r="BP41" t="e" cm="1">
        <f t="array" aca="1" ref="BP41" ca="1">IF(INDIRECT(ADDRESS($B41+1,BP$38,1,1,"Confirmed Day Zero"))=0,#N/A,INDIRECT(ADDRESS($B41+1,BP$38,1,1,"Confirmed Day Zero")))</f>
        <v>#N/A</v>
      </c>
      <c r="BQ41" t="e" cm="1">
        <f t="array" aca="1" ref="BQ41" ca="1">IF(INDIRECT(ADDRESS($B41+1,BQ$38,1,1,"Confirmed Day Zero"))=0,#N/A,INDIRECT(ADDRESS($B41+1,BQ$38,1,1,"Confirmed Day Zero")))</f>
        <v>#N/A</v>
      </c>
      <c r="BR41" t="e" cm="1">
        <f t="array" aca="1" ref="BR41" ca="1">IF(INDIRECT(ADDRESS($B41+1,BR$38,1,1,"Confirmed Day Zero"))=0,#N/A,INDIRECT(ADDRESS($B41+1,BR$38,1,1,"Confirmed Day Zero")))</f>
        <v>#N/A</v>
      </c>
      <c r="BS41" t="e" cm="1">
        <f t="array" aca="1" ref="BS41" ca="1">IF(INDIRECT(ADDRESS($B41+1,BS$38,1,1,"Confirmed Day Zero"))=0,#N/A,INDIRECT(ADDRESS($B41+1,BS$38,1,1,"Confirmed Day Zero")))</f>
        <v>#N/A</v>
      </c>
      <c r="BT41" t="e" cm="1">
        <f t="array" aca="1" ref="BT41" ca="1">IF(INDIRECT(ADDRESS($B41+1,BT$38,1,1,"Confirmed Day Zero"))=0,#N/A,INDIRECT(ADDRESS($B41+1,BT$38,1,1,"Confirmed Day Zero")))</f>
        <v>#N/A</v>
      </c>
      <c r="BU41" t="e" cm="1">
        <f t="array" aca="1" ref="BU41" ca="1">IF(INDIRECT(ADDRESS($B41+1,BU$38,1,1,"Confirmed Day Zero"))=0,#N/A,INDIRECT(ADDRESS($B41+1,BU$38,1,1,"Confirmed Day Zero")))</f>
        <v>#N/A</v>
      </c>
      <c r="BV41" t="e" cm="1">
        <f t="array" aca="1" ref="BV41" ca="1">IF(INDIRECT(ADDRESS($B41+1,BV$38,1,1,"Confirmed Day Zero"))=0,#N/A,INDIRECT(ADDRESS($B41+1,BV$38,1,1,"Confirmed Day Zero")))</f>
        <v>#N/A</v>
      </c>
    </row>
    <row r="42" spans="2:74" x14ac:dyDescent="0.25">
      <c r="B42" s="16">
        <f t="shared" ref="B42:B99" si="2">B41+1</f>
        <v>3</v>
      </c>
      <c r="C42" t="str" cm="1">
        <f t="array" aca="1" ref="C42" ca="1">INDIRECT(ADDRESS($B42+1,1,1,1,"Confirmed Day Zero"))</f>
        <v>Doubling every 10 days</v>
      </c>
      <c r="D42" s="1"/>
      <c r="E42" cm="1">
        <f t="array" aca="1" ref="E42" ca="1">IF(INDIRECT(ADDRESS($B42+1,E$38,1,1,"Confirmed Day Zero"))=0,#N/A,INDIRECT(ADDRESS($B42+1,E$38,1,1,"Confirmed Day Zero")))</f>
        <v>50</v>
      </c>
      <c r="F42" cm="1">
        <f t="array" aca="1" ref="F42" ca="1">IF(INDIRECT(ADDRESS($B42+1,F$38,1,1,"Confirmed Day Zero"))=0,#N/A,INDIRECT(ADDRESS($B42+1,F$38,1,1,"Confirmed Day Zero")))</f>
        <v>53.588673125</v>
      </c>
      <c r="G42" cm="1">
        <f t="array" aca="1" ref="G42" ca="1">IF(INDIRECT(ADDRESS($B42+1,G$38,1,1,"Confirmed Day Zero"))=0,#N/A,INDIRECT(ADDRESS($B42+1,G$38,1,1,"Confirmed Day Zero")))</f>
        <v>57.434917746000004</v>
      </c>
      <c r="H42" cm="1">
        <f t="array" aca="1" ref="H42" ca="1">IF(INDIRECT(ADDRESS($B42+1,H$38,1,1,"Confirmed Day Zero"))=0,#N/A,INDIRECT(ADDRESS($B42+1,H$38,1,1,"Confirmed Day Zero")))</f>
        <v>61.557220661000002</v>
      </c>
      <c r="I42" cm="1">
        <f t="array" aca="1" ref="I42" ca="1">IF(INDIRECT(ADDRESS($B42+1,I$38,1,1,"Confirmed Day Zero"))=0,#N/A,INDIRECT(ADDRESS($B42+1,I$38,1,1,"Confirmed Day Zero")))</f>
        <v>65.975395529699995</v>
      </c>
      <c r="J42" cm="1">
        <f t="array" aca="1" ref="J42" ca="1">IF(INDIRECT(ADDRESS($B42+1,J$38,1,1,"Confirmed Day Zero"))=0,#N/A,INDIRECT(ADDRESS($B42+1,J$38,1,1,"Confirmed Day Zero")))</f>
        <v>70.710678106700001</v>
      </c>
      <c r="K42" cm="1">
        <f t="array" aca="1" ref="K42" ca="1">IF(INDIRECT(ADDRESS($B42+1,K$38,1,1,"Confirmed Day Zero"))=0,#N/A,INDIRECT(ADDRESS($B42+1,K$38,1,1,"Confirmed Day Zero")))</f>
        <v>75.785828310100001</v>
      </c>
      <c r="L42" cm="1">
        <f t="array" aca="1" ref="L42" ca="1">IF(INDIRECT(ADDRESS($B42+1,L$38,1,1,"Confirmed Day Zero"))=0,#N/A,INDIRECT(ADDRESS($B42+1,L$38,1,1,"Confirmed Day Zero")))</f>
        <v>81.225239616300001</v>
      </c>
      <c r="M42" cm="1">
        <f t="array" aca="1" ref="M42" ca="1">IF(INDIRECT(ADDRESS($B42+1,M$38,1,1,"Confirmed Day Zero"))=0,#N/A,INDIRECT(ADDRESS($B42+1,M$38,1,1,"Confirmed Day Zero")))</f>
        <v>87.055056305999997</v>
      </c>
      <c r="N42" cm="1">
        <f t="array" aca="1" ref="N42" ca="1">IF(INDIRECT(ADDRESS($B42+1,N$38,1,1,"Confirmed Day Zero"))=0,#N/A,INDIRECT(ADDRESS($B42+1,N$38,1,1,"Confirmed Day Zero")))</f>
        <v>93.303299125199999</v>
      </c>
      <c r="O42" cm="1">
        <f t="array" aca="1" ref="O42" ca="1">IF(INDIRECT(ADDRESS($B42+1,O$38,1,1,"Confirmed Day Zero"))=0,#N/A,INDIRECT(ADDRESS($B42+1,O$38,1,1,"Confirmed Day Zero")))</f>
        <v>99.999999966100006</v>
      </c>
      <c r="P42" cm="1">
        <f t="array" aca="1" ref="P42" ca="1">IF(INDIRECT(ADDRESS($B42+1,P$38,1,1,"Confirmed Day Zero"))=0,#N/A,INDIRECT(ADDRESS($B42+1,P$38,1,1,"Confirmed Day Zero")))</f>
        <v>107.17734621370001</v>
      </c>
      <c r="Q42" cm="1">
        <f t="array" aca="1" ref="Q42" ca="1">IF(INDIRECT(ADDRESS($B42+1,Q$38,1,1,"Confirmed Day Zero"))=0,#N/A,INDIRECT(ADDRESS($B42+1,Q$38,1,1,"Confirmed Day Zero")))</f>
        <v>114.86983545299999</v>
      </c>
      <c r="R42" cm="1">
        <f t="array" aca="1" ref="R42" ca="1">IF(INDIRECT(ADDRESS($B42+1,R$38,1,1,"Confirmed Day Zero"))=0,#N/A,INDIRECT(ADDRESS($B42+1,R$38,1,1,"Confirmed Day Zero")))</f>
        <v>123.1144412803</v>
      </c>
      <c r="S42" cm="1">
        <f t="array" aca="1" ref="S42" ca="1">IF(INDIRECT(ADDRESS($B42+1,S$38,1,1,"Confirmed Day Zero"))=0,#N/A,INDIRECT(ADDRESS($B42+1,S$38,1,1,"Confirmed Day Zero")))</f>
        <v>131.9507910147</v>
      </c>
      <c r="T42" cm="1">
        <f t="array" aca="1" ref="T42" ca="1">IF(INDIRECT(ADDRESS($B42+1,T$38,1,1,"Confirmed Day Zero"))=0,#N/A,INDIRECT(ADDRESS($B42+1,T$38,1,1,"Confirmed Day Zero")))</f>
        <v>141.4213561654</v>
      </c>
      <c r="U42" cm="1">
        <f t="array" aca="1" ref="U42" ca="1">IF(INDIRECT(ADDRESS($B42+1,U$38,1,1,"Confirmed Day Zero"))=0,#N/A,INDIRECT(ADDRESS($B42+1,U$38,1,1,"Confirmed Day Zero")))</f>
        <v>151.57165656879999</v>
      </c>
      <c r="V42" cm="1">
        <f t="array" aca="1" ref="V42" ca="1">IF(INDIRECT(ADDRESS($B42+1,V$38,1,1,"Confirmed Day Zero"))=0,#N/A,INDIRECT(ADDRESS($B42+1,V$38,1,1,"Confirmed Day Zero")))</f>
        <v>162.45047917759999</v>
      </c>
      <c r="W42" cm="1">
        <f t="array" aca="1" ref="W42" ca="1">IF(INDIRECT(ADDRESS($B42+1,W$38,1,1,"Confirmed Day Zero"))=0,#N/A,INDIRECT(ADDRESS($B42+1,W$38,1,1,"Confirmed Day Zero")))</f>
        <v>174.11011255299999</v>
      </c>
      <c r="X42" cm="1">
        <f t="array" aca="1" ref="X42" ca="1">IF(INDIRECT(ADDRESS($B42+1,X$38,1,1,"Confirmed Day Zero"))=0,#N/A,INDIRECT(ADDRESS($B42+1,X$38,1,1,"Confirmed Day Zero")))</f>
        <v>186.60659818720001</v>
      </c>
      <c r="Y42" cm="1">
        <f t="array" aca="1" ref="Y42" ca="1">IF(INDIRECT(ADDRESS($B42+1,Y$38,1,1,"Confirmed Day Zero"))=0,#N/A,INDIRECT(ADDRESS($B42+1,Y$38,1,1,"Confirmed Day Zero")))</f>
        <v>199.9999998644</v>
      </c>
      <c r="Z42" cm="1">
        <f t="array" aca="1" ref="Z42" ca="1">IF(INDIRECT(ADDRESS($B42+1,Z$38,1,1,"Confirmed Day Zero"))=0,#N/A,INDIRECT(ADDRESS($B42+1,Z$38,1,1,"Confirmed Day Zero")))</f>
        <v>214.35469235470001</v>
      </c>
      <c r="AA42" cm="1">
        <f t="array" aca="1" ref="AA42" ca="1">IF(INDIRECT(ADDRESS($B42+1,AA$38,1,1,"Confirmed Day Zero"))=0,#N/A,INDIRECT(ADDRESS($B42+1,AA$38,1,1,"Confirmed Day Zero")))</f>
        <v>229.7396708281</v>
      </c>
      <c r="AB42" cm="1">
        <f t="array" aca="1" ref="AB42" ca="1">IF(INDIRECT(ADDRESS($B42+1,AB$38,1,1,"Confirmed Day Zero"))=0,#N/A,INDIRECT(ADDRESS($B42+1,AB$38,1,1,"Confirmed Day Zero")))</f>
        <v>246.22888247700001</v>
      </c>
      <c r="AC42" cm="1">
        <f t="array" aca="1" ref="AC42" ca="1">IF(INDIRECT(ADDRESS($B42+1,AC$38,1,1,"Confirmed Day Zero"))=0,#N/A,INDIRECT(ADDRESS($B42+1,AC$38,1,1,"Confirmed Day Zero")))</f>
        <v>263.90158193989998</v>
      </c>
      <c r="AD42" cm="1">
        <f t="array" aca="1" ref="AD42" ca="1">IF(INDIRECT(ADDRESS($B42+1,AD$38,1,1,"Confirmed Day Zero"))=0,#N/A,INDIRECT(ADDRESS($B42+1,AD$38,1,1,"Confirmed Day Zero")))</f>
        <v>282.84271223500002</v>
      </c>
      <c r="AE42" cm="1">
        <f t="array" aca="1" ref="AE42" ca="1">IF(INDIRECT(ADDRESS($B42+1,AE$38,1,1,"Confirmed Day Zero"))=0,#N/A,INDIRECT(ADDRESS($B42+1,AE$38,1,1,"Confirmed Day Zero")))</f>
        <v>303.14331303500001</v>
      </c>
      <c r="AF42" cm="1">
        <f t="array" aca="1" ref="AF42" ca="1">IF(INDIRECT(ADDRESS($B42+1,AF$38,1,1,"Confirmed Day Zero"))=0,#N/A,INDIRECT(ADDRESS($B42+1,AF$38,1,1,"Confirmed Day Zero")))</f>
        <v>324.9009582452</v>
      </c>
      <c r="AG42" cm="1">
        <f t="array" aca="1" ref="AG42" ca="1">IF(INDIRECT(ADDRESS($B42+1,AG$38,1,1,"Confirmed Day Zero"))=0,#N/A,INDIRECT(ADDRESS($B42+1,AG$38,1,1,"Confirmed Day Zero")))</f>
        <v>348.22022498799998</v>
      </c>
      <c r="AH42" cm="1">
        <f t="array" aca="1" ref="AH42" ca="1">IF(INDIRECT(ADDRESS($B42+1,AH$38,1,1,"Confirmed Day Zero"))=0,#N/A,INDIRECT(ADDRESS($B42+1,AH$38,1,1,"Confirmed Day Zero")))</f>
        <v>373.21319624789999</v>
      </c>
      <c r="AI42" cm="1">
        <f t="array" aca="1" ref="AI42" ca="1">IF(INDIRECT(ADDRESS($B42+1,AI$38,1,1,"Confirmed Day Zero"))=0,#N/A,INDIRECT(ADDRESS($B42+1,AI$38,1,1,"Confirmed Day Zero")))</f>
        <v>399.9999995933</v>
      </c>
      <c r="AJ42" cm="1">
        <f t="array" aca="1" ref="AJ42" ca="1">IF(INDIRECT(ADDRESS($B42+1,AJ$38,1,1,"Confirmed Day Zero"))=0,#N/A,INDIRECT(ADDRESS($B42+1,AJ$38,1,1,"Confirmed Day Zero")))</f>
        <v>428.70938456409999</v>
      </c>
      <c r="AK42" cm="1">
        <f t="array" aca="1" ref="AK42" ca="1">IF(INDIRECT(ADDRESS($B42+1,AK$38,1,1,"Confirmed Day Zero"))=0,#N/A,INDIRECT(ADDRESS($B42+1,AK$38,1,1,"Confirmed Day Zero")))</f>
        <v>459.47934150050003</v>
      </c>
      <c r="AL42" cm="1">
        <f t="array" aca="1" ref="AL42" ca="1">IF(INDIRECT(ADDRESS($B42+1,AL$38,1,1,"Confirmed Day Zero"))=0,#N/A,INDIRECT(ADDRESS($B42+1,AL$38,1,1,"Confirmed Day Zero")))</f>
        <v>492.45776478720001</v>
      </c>
      <c r="AM42" cm="1">
        <f t="array" aca="1" ref="AM42" ca="1">IF(INDIRECT(ADDRESS($B42+1,AM$38,1,1,"Confirmed Day Zero"))=0,#N/A,INDIRECT(ADDRESS($B42+1,AM$38,1,1,"Confirmed Day Zero")))</f>
        <v>527.80316370100002</v>
      </c>
      <c r="AN42" cm="1">
        <f t="array" aca="1" ref="AN42" ca="1">IF(INDIRECT(ADDRESS($B42+1,AN$38,1,1,"Confirmed Day Zero"))=0,#N/A,INDIRECT(ADDRESS($B42+1,AN$38,1,1,"Confirmed Day Zero")))</f>
        <v>565.68542427830005</v>
      </c>
      <c r="AO42" cm="1">
        <f t="array" aca="1" ref="AO42" ca="1">IF(INDIRECT(ADDRESS($B42+1,AO$38,1,1,"Confirmed Day Zero"))=0,#N/A,INDIRECT(ADDRESS($B42+1,AO$38,1,1,"Confirmed Day Zero")))</f>
        <v>606.28662586450002</v>
      </c>
      <c r="AP42" cm="1">
        <f t="array" aca="1" ref="AP42" ca="1">IF(INDIRECT(ADDRESS($B42+1,AP$38,1,1,"Confirmed Day Zero"))=0,#N/A,INDIRECT(ADDRESS($B42+1,AP$38,1,1,"Confirmed Day Zero")))</f>
        <v>649.80191627019997</v>
      </c>
      <c r="AQ42" cm="1">
        <f t="array" aca="1" ref="AQ42" ca="1">IF(INDIRECT(ADDRESS($B42+1,AQ$38,1,1,"Confirmed Day Zero"))=0,#N/A,INDIRECT(ADDRESS($B42+1,AQ$38,1,1,"Confirmed Day Zero")))</f>
        <v>696.44044973999996</v>
      </c>
      <c r="AR42" cm="1">
        <f t="array" aca="1" ref="AR42" ca="1">IF(INDIRECT(ADDRESS($B42+1,AR$38,1,1,"Confirmed Day Zero"))=0,#N/A,INDIRECT(ADDRESS($B42+1,AR$38,1,1,"Confirmed Day Zero")))</f>
        <v>746.42639224289996</v>
      </c>
      <c r="AS42" cm="1">
        <f t="array" aca="1" ref="AS42" ca="1">IF(INDIRECT(ADDRESS($B42+1,AS$38,1,1,"Confirmed Day Zero"))=0,#N/A,INDIRECT(ADDRESS($B42+1,AS$38,1,1,"Confirmed Day Zero")))</f>
        <v>799.99999891560003</v>
      </c>
      <c r="AT42" cm="1">
        <f t="array" aca="1" ref="AT42" ca="1">IF(INDIRECT(ADDRESS($B42+1,AT$38,1,1,"Confirmed Day Zero"))=0,#N/A,INDIRECT(ADDRESS($B42+1,AT$38,1,1,"Confirmed Day Zero")))</f>
        <v>857.41876883780003</v>
      </c>
      <c r="AU42" cm="1">
        <f t="array" aca="1" ref="AU42" ca="1">IF(INDIRECT(ADDRESS($B42+1,AU$38,1,1,"Confirmed Day Zero"))=0,#N/A,INDIRECT(ADDRESS($B42+1,AU$38,1,1,"Confirmed Day Zero")))</f>
        <v>918.95868268979996</v>
      </c>
      <c r="AV42" cm="1">
        <f t="array" aca="1" ref="AV42" ca="1">IF(INDIRECT(ADDRESS($B42+1,AV$38,1,1,"Confirmed Day Zero"))=0,#N/A,INDIRECT(ADDRESS($B42+1,AV$38,1,1,"Confirmed Day Zero")))</f>
        <v>984.91552924090001</v>
      </c>
      <c r="AW42" cm="1">
        <f t="array" aca="1" ref="AW42" ca="1">IF(INDIRECT(ADDRESS($B42+1,AW$38,1,1,"Confirmed Day Zero"))=0,#N/A,INDIRECT(ADDRESS($B42+1,AW$38,1,1,"Confirmed Day Zero")))</f>
        <v>1055.6063270444999</v>
      </c>
      <c r="AX42" cm="1">
        <f t="array" aca="1" ref="AX42" ca="1">IF(INDIRECT(ADDRESS($B42+1,AX$38,1,1,"Confirmed Day Zero"))=0,#N/A,INDIRECT(ADDRESS($B42+1,AX$38,1,1,"Confirmed Day Zero")))</f>
        <v>1131.3708481734</v>
      </c>
      <c r="AY42" cm="1">
        <f t="array" aca="1" ref="AY42" ca="1">IF(INDIRECT(ADDRESS($B42+1,AY$38,1,1,"Confirmed Day Zero"))=0,#N/A,INDIRECT(ADDRESS($B42+1,AY$38,1,1,"Confirmed Day Zero")))</f>
        <v>1212.5732513184</v>
      </c>
      <c r="AZ42" cm="1">
        <f t="array" aca="1" ref="AZ42" ca="1">IF(INDIRECT(ADDRESS($B42+1,AZ$38,1,1,"Confirmed Day Zero"))=0,#N/A,INDIRECT(ADDRESS($B42+1,AZ$38,1,1,"Confirmed Day Zero")))</f>
        <v>1299.6038321004</v>
      </c>
      <c r="BA42" cm="1">
        <f t="array" aca="1" ref="BA42" ca="1">IF(INDIRECT(ADDRESS($B42+1,BA$38,1,1,"Confirmed Day Zero"))=0,#N/A,INDIRECT(ADDRESS($B42+1,BA$38,1,1,"Confirmed Day Zero")))</f>
        <v>1392.8808990084999</v>
      </c>
      <c r="BB42" cm="1">
        <f t="array" aca="1" ref="BB42" ca="1">IF(INDIRECT(ADDRESS($B42+1,BB$38,1,1,"Confirmed Day Zero"))=0,#N/A,INDIRECT(ADDRESS($B42+1,BB$38,1,1,"Confirmed Day Zero")))</f>
        <v>1492.8527839804999</v>
      </c>
      <c r="BC42" cm="1">
        <f t="array" aca="1" ref="BC42" ca="1">IF(INDIRECT(ADDRESS($B42+1,BC$38,1,1,"Confirmed Day Zero"))=0,#N/A,INDIRECT(ADDRESS($B42+1,BC$38,1,1,"Confirmed Day Zero")))</f>
        <v>1599.9999972895</v>
      </c>
      <c r="BD42" cm="1">
        <f t="array" aca="1" ref="BD42" ca="1">IF(INDIRECT(ADDRESS($B42+1,BD$38,1,1,"Confirmed Day Zero"))=0,#N/A,INDIRECT(ADDRESS($B42+1,BD$38,1,1,"Confirmed Day Zero")))</f>
        <v>1714.837537095</v>
      </c>
      <c r="BE42" cm="1">
        <f t="array" aca="1" ref="BE42" ca="1">IF(INDIRECT(ADDRESS($B42+1,BE$38,1,1,"Confirmed Day Zero"))=0,#N/A,INDIRECT(ADDRESS($B42+1,BE$38,1,1,"Confirmed Day Zero")))</f>
        <v>1837.9173647573</v>
      </c>
      <c r="BF42" cm="1">
        <f t="array" aca="1" ref="BF42" ca="1">IF(INDIRECT(ADDRESS($B42+1,BF$38,1,1,"Confirmed Day Zero"))=0,#N/A,INDIRECT(ADDRESS($B42+1,BF$38,1,1,"Confirmed Day Zero")))</f>
        <v>1969.8310578148</v>
      </c>
      <c r="BG42" cm="1">
        <f t="array" aca="1" ref="BG42" ca="1">IF(INDIRECT(ADDRESS($B42+1,BG$38,1,1,"Confirmed Day Zero"))=0,#N/A,INDIRECT(ADDRESS($B42+1,BG$38,1,1,"Confirmed Day Zero")))</f>
        <v>2111.2126533741998</v>
      </c>
      <c r="BH42" cm="1">
        <f t="array" aca="1" ref="BH42" ca="1">IF(INDIRECT(ADDRESS($B42+1,BH$38,1,1,"Confirmed Day Zero"))=0,#N/A,INDIRECT(ADDRESS($B42+1,BH$38,1,1,"Confirmed Day Zero")))</f>
        <v>2262.7416955806998</v>
      </c>
      <c r="BI42" cm="1">
        <f t="array" aca="1" ref="BI42" ca="1">IF(INDIRECT(ADDRESS($B42+1,BI$38,1,1,"Confirmed Day Zero"))=0,#N/A,INDIRECT(ADDRESS($B42+1,BI$38,1,1,"Confirmed Day Zero")))</f>
        <v>2425.1465018156</v>
      </c>
      <c r="BJ42" cm="1">
        <f t="array" aca="1" ref="BJ42" ca="1">IF(INDIRECT(ADDRESS($B42+1,BJ$38,1,1,"Confirmed Day Zero"))=0,#N/A,INDIRECT(ADDRESS($B42+1,BJ$38,1,1,"Confirmed Day Zero")))</f>
        <v>2599.2076633206998</v>
      </c>
      <c r="BK42" cm="1">
        <f t="array" aca="1" ref="BK42" ca="1">IF(INDIRECT(ADDRESS($B42+1,BK$38,1,1,"Confirmed Day Zero"))=0,#N/A,INDIRECT(ADDRESS($B42+1,BK$38,1,1,"Confirmed Day Zero")))</f>
        <v>2785.7617970738002</v>
      </c>
      <c r="BL42" cm="1">
        <f t="array" aca="1" ref="BL42" ca="1">IF(INDIRECT(ADDRESS($B42+1,BL$38,1,1,"Confirmed Day Zero"))=0,#N/A,INDIRECT(ADDRESS($B42+1,BL$38,1,1,"Confirmed Day Zero")))</f>
        <v>2985.70556695</v>
      </c>
      <c r="BM42" cm="1">
        <f t="array" aca="1" ref="BM42" ca="1">IF(INDIRECT(ADDRESS($B42+1,BM$38,1,1,"Confirmed Day Zero"))=0,#N/A,INDIRECT(ADDRESS($B42+1,BM$38,1,1,"Confirmed Day Zero")))</f>
        <v>3199.9999934954999</v>
      </c>
      <c r="BN42" cm="1">
        <f t="array" aca="1" ref="BN42" ca="1">IF(INDIRECT(ADDRESS($B42+1,BN$38,1,1,"Confirmed Day Zero"))=0,#N/A,INDIRECT(ADDRESS($B42+1,BN$38,1,1,"Confirmed Day Zero")))</f>
        <v>3429.6750730285999</v>
      </c>
      <c r="BO42" t="e" cm="1">
        <f t="array" aca="1" ref="BO42" ca="1">IF(INDIRECT(ADDRESS($B42+1,BO$38,1,1,"Confirmed Day Zero"))=0,#N/A,INDIRECT(ADDRESS($B42+1,BO$38,1,1,"Confirmed Day Zero")))</f>
        <v>#N/A</v>
      </c>
      <c r="BP42" t="e" cm="1">
        <f t="array" aca="1" ref="BP42" ca="1">IF(INDIRECT(ADDRESS($B42+1,BP$38,1,1,"Confirmed Day Zero"))=0,#N/A,INDIRECT(ADDRESS($B42+1,BP$38,1,1,"Confirmed Day Zero")))</f>
        <v>#N/A</v>
      </c>
      <c r="BQ42" t="e" cm="1">
        <f t="array" aca="1" ref="BQ42" ca="1">IF(INDIRECT(ADDRESS($B42+1,BQ$38,1,1,"Confirmed Day Zero"))=0,#N/A,INDIRECT(ADDRESS($B42+1,BQ$38,1,1,"Confirmed Day Zero")))</f>
        <v>#N/A</v>
      </c>
      <c r="BR42" t="e" cm="1">
        <f t="array" aca="1" ref="BR42" ca="1">IF(INDIRECT(ADDRESS($B42+1,BR$38,1,1,"Confirmed Day Zero"))=0,#N/A,INDIRECT(ADDRESS($B42+1,BR$38,1,1,"Confirmed Day Zero")))</f>
        <v>#N/A</v>
      </c>
      <c r="BS42" t="e" cm="1">
        <f t="array" aca="1" ref="BS42" ca="1">IF(INDIRECT(ADDRESS($B42+1,BS$38,1,1,"Confirmed Day Zero"))=0,#N/A,INDIRECT(ADDRESS($B42+1,BS$38,1,1,"Confirmed Day Zero")))</f>
        <v>#N/A</v>
      </c>
      <c r="BT42" t="e" cm="1">
        <f t="array" aca="1" ref="BT42" ca="1">IF(INDIRECT(ADDRESS($B42+1,BT$38,1,1,"Confirmed Day Zero"))=0,#N/A,INDIRECT(ADDRESS($B42+1,BT$38,1,1,"Confirmed Day Zero")))</f>
        <v>#N/A</v>
      </c>
      <c r="BU42" t="e" cm="1">
        <f t="array" aca="1" ref="BU42" ca="1">IF(INDIRECT(ADDRESS($B42+1,BU$38,1,1,"Confirmed Day Zero"))=0,#N/A,INDIRECT(ADDRESS($B42+1,BU$38,1,1,"Confirmed Day Zero")))</f>
        <v>#N/A</v>
      </c>
      <c r="BV42" t="e" cm="1">
        <f t="array" aca="1" ref="BV42" ca="1">IF(INDIRECT(ADDRESS($B42+1,BV$38,1,1,"Confirmed Day Zero"))=0,#N/A,INDIRECT(ADDRESS($B42+1,BV$38,1,1,"Confirmed Day Zero")))</f>
        <v>#N/A</v>
      </c>
    </row>
    <row r="43" spans="2:74" x14ac:dyDescent="0.25">
      <c r="B43" s="16">
        <f t="shared" si="2"/>
        <v>4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56</v>
      </c>
      <c r="F43" cm="1">
        <f t="array" aca="1" ref="F43" ca="1">IF(INDIRECT(ADDRESS($B43+1,F$38,1,1,"Confirmed Day Zero"))=0,#N/A,INDIRECT(ADDRESS($B43+1,F$38,1,1,"Confirmed Day Zero")))</f>
        <v>90</v>
      </c>
      <c r="G43" cm="1">
        <f t="array" aca="1" ref="G43" ca="1">IF(INDIRECT(ADDRESS($B43+1,G$38,1,1,"Confirmed Day Zero"))=0,#N/A,INDIRECT(ADDRESS($B43+1,G$38,1,1,"Confirmed Day Zero")))</f>
        <v>114</v>
      </c>
      <c r="H43" cm="1">
        <f t="array" aca="1" ref="H43" ca="1">IF(INDIRECT(ADDRESS($B43+1,H$38,1,1,"Confirmed Day Zero"))=0,#N/A,INDIRECT(ADDRESS($B43+1,H$38,1,1,"Confirmed Day Zero")))</f>
        <v>214</v>
      </c>
      <c r="I43" cm="1">
        <f t="array" aca="1" ref="I43" ca="1">IF(INDIRECT(ADDRESS($B43+1,I$38,1,1,"Confirmed Day Zero"))=0,#N/A,INDIRECT(ADDRESS($B43+1,I$38,1,1,"Confirmed Day Zero")))</f>
        <v>268</v>
      </c>
      <c r="J43" cm="1">
        <f t="array" aca="1" ref="J43" ca="1">IF(INDIRECT(ADDRESS($B43+1,J$38,1,1,"Confirmed Day Zero"))=0,#N/A,INDIRECT(ADDRESS($B43+1,J$38,1,1,"Confirmed Day Zero")))</f>
        <v>337</v>
      </c>
      <c r="K43" cm="1">
        <f t="array" aca="1" ref="K43" ca="1">IF(INDIRECT(ADDRESS($B43+1,K$38,1,1,"Confirmed Day Zero"))=0,#N/A,INDIRECT(ADDRESS($B43+1,K$38,1,1,"Confirmed Day Zero")))</f>
        <v>374</v>
      </c>
      <c r="L43" cm="1">
        <f t="array" aca="1" ref="L43" ca="1">IF(INDIRECT(ADDRESS($B43+1,L$38,1,1,"Confirmed Day Zero"))=0,#N/A,INDIRECT(ADDRESS($B43+1,L$38,1,1,"Confirmed Day Zero")))</f>
        <v>491</v>
      </c>
      <c r="M43" cm="1">
        <f t="array" aca="1" ref="M43" ca="1">IF(INDIRECT(ADDRESS($B43+1,M$38,1,1,"Confirmed Day Zero"))=0,#N/A,INDIRECT(ADDRESS($B43+1,M$38,1,1,"Confirmed Day Zero")))</f>
        <v>652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1139</v>
      </c>
      <c r="P43" cm="1">
        <f t="array" aca="1" ref="P43" ca="1">IF(INDIRECT(ADDRESS($B43+1,P$38,1,1,"Confirmed Day Zero"))=0,#N/A,INDIRECT(ADDRESS($B43+1,P$38,1,1,"Confirmed Day Zero")))</f>
        <v>1359</v>
      </c>
      <c r="Q43" cm="1">
        <f t="array" aca="1" ref="Q43" ca="1">IF(INDIRECT(ADDRESS($B43+1,Q$38,1,1,"Confirmed Day Zero"))=0,#N/A,INDIRECT(ADDRESS($B43+1,Q$38,1,1,"Confirmed Day Zero")))</f>
        <v>2200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2700</v>
      </c>
      <c r="T43" cm="1">
        <f t="array" aca="1" ref="T43" ca="1">IF(INDIRECT(ADDRESS($B43+1,T$38,1,1,"Confirmed Day Zero"))=0,#N/A,INDIRECT(ADDRESS($B43+1,T$38,1,1,"Confirmed Day Zero")))</f>
        <v>3028</v>
      </c>
      <c r="U43" cm="1">
        <f t="array" aca="1" ref="U43" ca="1">IF(INDIRECT(ADDRESS($B43+1,U$38,1,1,"Confirmed Day Zero"))=0,#N/A,INDIRECT(ADDRESS($B43+1,U$38,1,1,"Confirmed Day Zero")))</f>
        <v>4075</v>
      </c>
      <c r="V43" cm="1">
        <f t="array" aca="1" ref="V43" ca="1">IF(INDIRECT(ADDRESS($B43+1,V$38,1,1,"Confirmed Day Zero"))=0,#N/A,INDIRECT(ADDRESS($B43+1,V$38,1,1,"Confirmed Day Zero")))</f>
        <v>5294</v>
      </c>
      <c r="W43" cm="1">
        <f t="array" aca="1" ref="W43" ca="1">IF(INDIRECT(ADDRESS($B43+1,W$38,1,1,"Confirmed Day Zero"))=0,#N/A,INDIRECT(ADDRESS($B43+1,W$38,1,1,"Confirmed Day Zero")))</f>
        <v>6575</v>
      </c>
      <c r="X43" cm="1">
        <f t="array" aca="1" ref="X43" ca="1">IF(INDIRECT(ADDRESS($B43+1,X$38,1,1,"Confirmed Day Zero"))=0,#N/A,INDIRECT(ADDRESS($B43+1,X$38,1,1,"Confirmed Day Zero")))</f>
        <v>7474</v>
      </c>
      <c r="Y43" cm="1">
        <f t="array" aca="1" ref="Y43" ca="1">IF(INDIRECT(ADDRESS($B43+1,Y$38,1,1,"Confirmed Day Zero"))=0,#N/A,INDIRECT(ADDRESS($B43+1,Y$38,1,1,"Confirmed Day Zero")))</f>
        <v>8795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si="2"/>
        <v>5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2"/>
        <v>6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t="e" cm="1">
        <f t="array" aca="1" ref="E45" ca="1">IF(INDIRECT(ADDRESS($B45+1,E$38,1,1,"Confirmed Day Zero"))=0,#N/A,INDIRECT(ADDRESS($B45+1,E$38,1,1,"Confirmed Day Zero")))</f>
        <v>#N/A</v>
      </c>
      <c r="F45" t="e" cm="1">
        <f t="array" aca="1" ref="F45" ca="1">IF(INDIRECT(ADDRESS($B45+1,F$38,1,1,"Confirmed Day Zero"))=0,#N/A,INDIRECT(ADDRESS($B45+1,F$38,1,1,"Confirmed Day Zero")))</f>
        <v>#N/A</v>
      </c>
      <c r="G45" t="e" cm="1">
        <f t="array" aca="1" ref="G45" ca="1">IF(INDIRECT(ADDRESS($B45+1,G$38,1,1,"Confirmed Day Zero"))=0,#N/A,INDIRECT(ADDRESS($B45+1,G$38,1,1,"Confirmed Day Zero")))</f>
        <v>#N/A</v>
      </c>
      <c r="H45" t="e" cm="1">
        <f t="array" aca="1" ref="H45" ca="1">IF(INDIRECT(ADDRESS($B45+1,H$38,1,1,"Confirmed Day Zero"))=0,#N/A,INDIRECT(ADDRESS($B45+1,H$38,1,1,"Confirmed Day Zero")))</f>
        <v>#N/A</v>
      </c>
      <c r="I45" t="e" cm="1">
        <f t="array" aca="1" ref="I45" ca="1">IF(INDIRECT(ADDRESS($B45+1,I$38,1,1,"Confirmed Day Zero"))=0,#N/A,INDIRECT(ADDRESS($B45+1,I$38,1,1,"Confirmed Day Zero")))</f>
        <v>#N/A</v>
      </c>
      <c r="J45" t="e" cm="1">
        <f t="array" aca="1" ref="J45" ca="1">IF(INDIRECT(ADDRESS($B45+1,J$38,1,1,"Confirmed Day Zero"))=0,#N/A,INDIRECT(ADDRESS($B45+1,J$38,1,1,"Confirmed Day Zero")))</f>
        <v>#N/A</v>
      </c>
      <c r="K45" t="e" cm="1">
        <f t="array" aca="1" ref="K45" ca="1">IF(INDIRECT(ADDRESS($B45+1,K$38,1,1,"Confirmed Day Zero"))=0,#N/A,INDIRECT(ADDRESS($B45+1,K$38,1,1,"Confirmed Day Zero")))</f>
        <v>#N/A</v>
      </c>
      <c r="L45" t="e" cm="1">
        <f t="array" aca="1" ref="L45" ca="1">IF(INDIRECT(ADDRESS($B45+1,L$38,1,1,"Confirmed Day Zero"))=0,#N/A,INDIRECT(ADDRESS($B45+1,L$38,1,1,"Confirmed Day Zero")))</f>
        <v>#N/A</v>
      </c>
      <c r="M45" t="e" cm="1">
        <f t="array" aca="1" ref="M45" ca="1">IF(INDIRECT(ADDRESS($B45+1,M$38,1,1,"Confirmed Day Zero"))=0,#N/A,INDIRECT(ADDRESS($B45+1,M$38,1,1,"Confirmed Day Zero")))</f>
        <v>#N/A</v>
      </c>
      <c r="N45" t="e" cm="1">
        <f t="array" aca="1" ref="N45" ca="1">IF(INDIRECT(ADDRESS($B45+1,N$38,1,1,"Confirmed Day Zero"))=0,#N/A,INDIRECT(ADDRESS($B45+1,N$38,1,1,"Confirmed Day Zero")))</f>
        <v>#N/A</v>
      </c>
      <c r="O45" t="e" cm="1">
        <f t="array" aca="1" ref="O45" ca="1">IF(INDIRECT(ADDRESS($B45+1,O$38,1,1,"Confirmed Day Zero"))=0,#N/A,INDIRECT(ADDRESS($B45+1,O$38,1,1,"Confirmed Day Zero")))</f>
        <v>#N/A</v>
      </c>
      <c r="P45" t="e" cm="1">
        <f t="array" aca="1" ref="P45" ca="1">IF(INDIRECT(ADDRESS($B45+1,P$38,1,1,"Confirmed Day Zero"))=0,#N/A,INDIRECT(ADDRESS($B45+1,P$38,1,1,"Confirmed Day Zero")))</f>
        <v>#N/A</v>
      </c>
      <c r="Q45" t="e" cm="1">
        <f t="array" aca="1" ref="Q45" ca="1">IF(INDIRECT(ADDRESS($B45+1,Q$38,1,1,"Confirmed Day Zero"))=0,#N/A,INDIRECT(ADDRESS($B45+1,Q$38,1,1,"Confirmed Day Zero")))</f>
        <v>#N/A</v>
      </c>
      <c r="R45" t="e" cm="1">
        <f t="array" aca="1" ref="R45" ca="1">IF(INDIRECT(ADDRESS($B45+1,R$38,1,1,"Confirmed Day Zero"))=0,#N/A,INDIRECT(ADDRESS($B45+1,R$38,1,1,"Confirmed Day Zero")))</f>
        <v>#N/A</v>
      </c>
      <c r="S45" t="e" cm="1">
        <f t="array" aca="1" ref="S45" ca="1">IF(INDIRECT(ADDRESS($B45+1,S$38,1,1,"Confirmed Day Zero"))=0,#N/A,INDIRECT(ADDRESS($B45+1,S$38,1,1,"Confirmed Day Zero")))</f>
        <v>#N/A</v>
      </c>
      <c r="T45" t="e" cm="1">
        <f t="array" aca="1" ref="T45" ca="1">IF(INDIRECT(ADDRESS($B45+1,T$38,1,1,"Confirmed Day Zero"))=0,#N/A,INDIRECT(ADDRESS($B45+1,T$38,1,1,"Confirmed Day Zero")))</f>
        <v>#N/A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2"/>
        <v>7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52</v>
      </c>
      <c r="F46" cm="1">
        <f t="array" aca="1" ref="F46" ca="1">IF(INDIRECT(ADDRESS($B46+1,F$38,1,1,"Confirmed Day Zero"))=0,#N/A,INDIRECT(ADDRESS($B46+1,F$38,1,1,"Confirmed Day Zero")))</f>
        <v>67</v>
      </c>
      <c r="G46" cm="1">
        <f t="array" aca="1" ref="G46" ca="1">IF(INDIRECT(ADDRESS($B46+1,G$38,1,1,"Confirmed Day Zero"))=0,#N/A,INDIRECT(ADDRESS($B46+1,G$38,1,1,"Confirmed Day Zero")))</f>
        <v>101</v>
      </c>
      <c r="H46" cm="1">
        <f t="array" aca="1" ref="H46" ca="1">IF(INDIRECT(ADDRESS($B46+1,H$38,1,1,"Confirmed Day Zero"))=0,#N/A,INDIRECT(ADDRESS($B46+1,H$38,1,1,"Confirmed Day Zero")))</f>
        <v>118</v>
      </c>
      <c r="I46" cm="1">
        <f t="array" aca="1" ref="I46" ca="1">IF(INDIRECT(ADDRESS($B46+1,I$38,1,1,"Confirmed Day Zero"))=0,#N/A,INDIRECT(ADDRESS($B46+1,I$38,1,1,"Confirmed Day Zero")))</f>
        <v>168</v>
      </c>
      <c r="J46" cm="1">
        <f t="array" aca="1" ref="J46" ca="1">IF(INDIRECT(ADDRESS($B46+1,J$38,1,1,"Confirmed Day Zero"))=0,#N/A,INDIRECT(ADDRESS($B46+1,J$38,1,1,"Confirmed Day Zero")))</f>
        <v>168</v>
      </c>
      <c r="K46" cm="1">
        <f t="array" aca="1" ref="K46" ca="1">IF(INDIRECT(ADDRESS($B46+1,K$38,1,1,"Confirmed Day Zero"))=0,#N/A,INDIRECT(ADDRESS($B46+1,K$38,1,1,"Confirmed Day Zero")))</f>
        <v>232</v>
      </c>
      <c r="L46" cm="1">
        <f t="array" aca="1" ref="L46" ca="1">IF(INDIRECT(ADDRESS($B46+1,L$38,1,1,"Confirmed Day Zero"))=0,#N/A,INDIRECT(ADDRESS($B46+1,L$38,1,1,"Confirmed Day Zero")))</f>
        <v>241</v>
      </c>
      <c r="M46" t="e" cm="1">
        <f t="array" aca="1" ref="M46" ca="1">IF(INDIRECT(ADDRESS($B46+1,M$38,1,1,"Confirmed Day Zero"))=0,#N/A,INDIRECT(ADDRESS($B46+1,M$38,1,1,"Confirmed Day Zero")))</f>
        <v>#N/A</v>
      </c>
      <c r="N46" t="e" cm="1">
        <f t="array" aca="1" ref="N46" ca="1">IF(INDIRECT(ADDRESS($B46+1,N$38,1,1,"Confirmed Day Zero"))=0,#N/A,INDIRECT(ADDRESS($B46+1,N$38,1,1,"Confirmed Day Zero")))</f>
        <v>#N/A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2"/>
        <v>8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73</v>
      </c>
      <c r="F47" cm="1">
        <f t="array" aca="1" ref="F47" ca="1">IF(INDIRECT(ADDRESS($B47+1,F$38,1,1,"Confirmed Day Zero"))=0,#N/A,INDIRECT(ADDRESS($B47+1,F$38,1,1,"Confirmed Day Zero")))</f>
        <v>92</v>
      </c>
      <c r="G47" cm="1">
        <f t="array" aca="1" ref="G47" ca="1">IF(INDIRECT(ADDRESS($B47+1,G$38,1,1,"Confirmed Day Zero"))=0,#N/A,INDIRECT(ADDRESS($B47+1,G$38,1,1,"Confirmed Day Zero")))</f>
        <v>100</v>
      </c>
      <c r="H47" cm="1">
        <f t="array" aca="1" ref="H47" ca="1">IF(INDIRECT(ADDRESS($B47+1,H$38,1,1,"Confirmed Day Zero"))=0,#N/A,INDIRECT(ADDRESS($B47+1,H$38,1,1,"Confirmed Day Zero")))</f>
        <v>100</v>
      </c>
      <c r="I47" cm="1">
        <f t="array" aca="1" ref="I47" ca="1">IF(INDIRECT(ADDRESS($B47+1,I$38,1,1,"Confirmed Day Zero"))=0,#N/A,INDIRECT(ADDRESS($B47+1,I$38,1,1,"Confirmed Day Zero")))</f>
        <v>144</v>
      </c>
      <c r="J47" cm="1">
        <f t="array" aca="1" ref="J47" ca="1">IF(INDIRECT(ADDRESS($B47+1,J$38,1,1,"Confirmed Day Zero"))=0,#N/A,INDIRECT(ADDRESS($B47+1,J$38,1,1,"Confirmed Day Zero")))</f>
        <v>165</v>
      </c>
      <c r="K47" cm="1">
        <f t="array" aca="1" ref="K47" ca="1">IF(INDIRECT(ADDRESS($B47+1,K$38,1,1,"Confirmed Day Zero"))=0,#N/A,INDIRECT(ADDRESS($B47+1,K$38,1,1,"Confirmed Day Zero")))</f>
        <v>182</v>
      </c>
      <c r="L47" cm="1">
        <f t="array" aca="1" ref="L47" ca="1">IF(INDIRECT(ADDRESS($B47+1,L$38,1,1,"Confirmed Day Zero"))=0,#N/A,INDIRECT(ADDRESS($B47+1,L$38,1,1,"Confirmed Day Zero")))</f>
        <v>222</v>
      </c>
      <c r="M47" cm="1">
        <f t="array" aca="1" ref="M47" ca="1">IF(INDIRECT(ADDRESS($B47+1,M$38,1,1,"Confirmed Day Zero"))=0,#N/A,INDIRECT(ADDRESS($B47+1,M$38,1,1,"Confirmed Day Zero")))</f>
        <v>272</v>
      </c>
      <c r="N47" cm="1">
        <f t="array" aca="1" ref="N47" ca="1">IF(INDIRECT(ADDRESS($B47+1,N$38,1,1,"Confirmed Day Zero"))=0,#N/A,INDIRECT(ADDRESS($B47+1,N$38,1,1,"Confirmed Day Zero")))</f>
        <v>299</v>
      </c>
      <c r="O47" cm="1">
        <f t="array" aca="1" ref="O47" ca="1">IF(INDIRECT(ADDRESS($B47+1,O$38,1,1,"Confirmed Day Zero"))=0,#N/A,INDIRECT(ADDRESS($B47+1,O$38,1,1,"Confirmed Day Zero")))</f>
        <v>358</v>
      </c>
      <c r="P47" cm="1">
        <f t="array" aca="1" ref="P47" ca="1">IF(INDIRECT(ADDRESS($B47+1,P$38,1,1,"Confirmed Day Zero"))=0,#N/A,INDIRECT(ADDRESS($B47+1,P$38,1,1,"Confirmed Day Zero")))</f>
        <v>376</v>
      </c>
      <c r="Q47" t="e" cm="1">
        <f t="array" aca="1" ref="Q47" ca="1">IF(INDIRECT(ADDRESS($B47+1,Q$38,1,1,"Confirmed Day Zero"))=0,#N/A,INDIRECT(ADDRESS($B47+1,Q$38,1,1,"Confirmed Day Zero")))</f>
        <v>#N/A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2"/>
        <v>9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54</v>
      </c>
      <c r="F48" cm="1">
        <f t="array" aca="1" ref="F48" ca="1">IF(INDIRECT(ADDRESS($B48+1,F$38,1,1,"Confirmed Day Zero"))=0,#N/A,INDIRECT(ADDRESS($B48+1,F$38,1,1,"Confirmed Day Zero")))</f>
        <v>76</v>
      </c>
      <c r="G48" cm="1">
        <f t="array" aca="1" ref="G48" ca="1">IF(INDIRECT(ADDRESS($B48+1,G$38,1,1,"Confirmed Day Zero"))=0,#N/A,INDIRECT(ADDRESS($B48+1,G$38,1,1,"Confirmed Day Zero")))</f>
        <v>89</v>
      </c>
      <c r="H48" cm="1">
        <f t="array" aca="1" ref="H48" ca="1">IF(INDIRECT(ADDRESS($B48+1,H$38,1,1,"Confirmed Day Zero"))=0,#N/A,INDIRECT(ADDRESS($B48+1,H$38,1,1,"Confirmed Day Zero")))</f>
        <v>116</v>
      </c>
      <c r="I48" cm="1">
        <f t="array" aca="1" ref="I48" ca="1">IF(INDIRECT(ADDRESS($B48+1,I$38,1,1,"Confirmed Day Zero"))=0,#N/A,INDIRECT(ADDRESS($B48+1,I$38,1,1,"Confirmed Day Zero")))</f>
        <v>134</v>
      </c>
      <c r="J48" cm="1">
        <f t="array" aca="1" ref="J48" ca="1">IF(INDIRECT(ADDRESS($B48+1,J$38,1,1,"Confirmed Day Zero"))=0,#N/A,INDIRECT(ADDRESS($B48+1,J$38,1,1,"Confirmed Day Zero")))</f>
        <v>184</v>
      </c>
      <c r="K48" cm="1">
        <f t="array" aca="1" ref="K48" ca="1">IF(INDIRECT(ADDRESS($B48+1,K$38,1,1,"Confirmed Day Zero"))=0,#N/A,INDIRECT(ADDRESS($B48+1,K$38,1,1,"Confirmed Day Zero")))</f>
        <v>282</v>
      </c>
      <c r="L48" cm="1">
        <f t="array" aca="1" ref="L48" ca="1">IF(INDIRECT(ADDRESS($B48+1,L$38,1,1,"Confirmed Day Zero"))=0,#N/A,INDIRECT(ADDRESS($B48+1,L$38,1,1,"Confirmed Day Zero")))</f>
        <v>289</v>
      </c>
      <c r="M48" cm="1">
        <f t="array" aca="1" ref="M48" ca="1">IF(INDIRECT(ADDRESS($B48+1,M$38,1,1,"Confirmed Day Zero"))=0,#N/A,INDIRECT(ADDRESS($B48+1,M$38,1,1,"Confirmed Day Zero")))</f>
        <v>302</v>
      </c>
      <c r="N48" t="e" cm="1">
        <f t="array" aca="1" ref="N48" ca="1">IF(INDIRECT(ADDRESS($B48+1,N$38,1,1,"Confirmed Day Zero"))=0,#N/A,INDIRECT(ADDRESS($B48+1,N$38,1,1,"Confirmed Day Zero")))</f>
        <v>#N/A</v>
      </c>
      <c r="O48" t="e" cm="1">
        <f t="array" aca="1" ref="O48" ca="1">IF(INDIRECT(ADDRESS($B48+1,O$38,1,1,"Confirmed Day Zero"))=0,#N/A,INDIRECT(ADDRESS($B48+1,O$38,1,1,"Confirmed Day Zero")))</f>
        <v>#N/A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2"/>
        <v>10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123</v>
      </c>
      <c r="F49" cm="1">
        <f t="array" aca="1" ref="F49" ca="1">IF(INDIRECT(ADDRESS($B49+1,F$38,1,1,"Confirmed Day Zero"))=0,#N/A,INDIRECT(ADDRESS($B49+1,F$38,1,1,"Confirmed Day Zero")))</f>
        <v>123</v>
      </c>
      <c r="G49" cm="1">
        <f t="array" aca="1" ref="G49" ca="1">IF(INDIRECT(ADDRESS($B49+1,G$38,1,1,"Confirmed Day Zero"))=0,#N/A,INDIRECT(ADDRESS($B49+1,G$38,1,1,"Confirmed Day Zero")))</f>
        <v>193</v>
      </c>
      <c r="H49" cm="1">
        <f t="array" aca="1" ref="H49" ca="1">IF(INDIRECT(ADDRESS($B49+1,H$38,1,1,"Confirmed Day Zero"))=0,#N/A,INDIRECT(ADDRESS($B49+1,H$38,1,1,"Confirmed Day Zero")))</f>
        <v>282</v>
      </c>
      <c r="I49" cm="1">
        <f t="array" aca="1" ref="I49" ca="1">IF(INDIRECT(ADDRESS($B49+1,I$38,1,1,"Confirmed Day Zero"))=0,#N/A,INDIRECT(ADDRESS($B49+1,I$38,1,1,"Confirmed Day Zero")))</f>
        <v>377</v>
      </c>
      <c r="J49" cm="1">
        <f t="array" aca="1" ref="J49" ca="1">IF(INDIRECT(ADDRESS($B49+1,J$38,1,1,"Confirmed Day Zero"))=0,#N/A,INDIRECT(ADDRESS($B49+1,J$38,1,1,"Confirmed Day Zero")))</f>
        <v>418</v>
      </c>
      <c r="K49" cm="1">
        <f t="array" aca="1" ref="K49" ca="1">IF(INDIRECT(ADDRESS($B49+1,K$38,1,1,"Confirmed Day Zero"))=0,#N/A,INDIRECT(ADDRESS($B49+1,K$38,1,1,"Confirmed Day Zero")))</f>
        <v>418</v>
      </c>
      <c r="L49" cm="1">
        <f t="array" aca="1" ref="L49" ca="1">IF(INDIRECT(ADDRESS($B49+1,L$38,1,1,"Confirmed Day Zero"))=0,#N/A,INDIRECT(ADDRESS($B49+1,L$38,1,1,"Confirmed Day Zero")))</f>
        <v>470</v>
      </c>
      <c r="M49" t="e" cm="1">
        <f t="array" aca="1" ref="M49" ca="1">IF(INDIRECT(ADDRESS($B49+1,M$38,1,1,"Confirmed Day Zero"))=0,#N/A,INDIRECT(ADDRESS($B49+1,M$38,1,1,"Confirmed Day Zero")))</f>
        <v>#N/A</v>
      </c>
      <c r="N49" t="e" cm="1">
        <f t="array" aca="1" ref="N49" ca="1">IF(INDIRECT(ADDRESS($B49+1,N$38,1,1,"Confirmed Day Zero"))=0,#N/A,INDIRECT(ADDRESS($B49+1,N$38,1,1,"Confirmed Day Zero")))</f>
        <v>#N/A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2"/>
        <v>11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t="e" cm="1">
        <f t="array" aca="1" ref="E50" ca="1">IF(INDIRECT(ADDRESS($B50+1,E$38,1,1,"Confirmed Day Zero"))=0,#N/A,INDIRECT(ADDRESS($B50+1,E$38,1,1,"Confirmed Day Zero")))</f>
        <v>#N/A</v>
      </c>
      <c r="F50" t="e" cm="1">
        <f t="array" aca="1" ref="F50" ca="1">IF(INDIRECT(ADDRESS($B50+1,F$38,1,1,"Confirmed Day Zero"))=0,#N/A,INDIRECT(ADDRESS($B50+1,F$38,1,1,"Confirmed Day Zero")))</f>
        <v>#N/A</v>
      </c>
      <c r="G50" t="e" cm="1">
        <f t="array" aca="1" ref="G50" ca="1">IF(INDIRECT(ADDRESS($B50+1,G$38,1,1,"Confirmed Day Zero"))=0,#N/A,INDIRECT(ADDRESS($B50+1,G$38,1,1,"Confirmed Day Zero")))</f>
        <v>#N/A</v>
      </c>
      <c r="H50" t="e" cm="1">
        <f t="array" aca="1" ref="H50" ca="1">IF(INDIRECT(ADDRESS($B50+1,H$38,1,1,"Confirmed Day Zero"))=0,#N/A,INDIRECT(ADDRESS($B50+1,H$38,1,1,"Confirmed Day Zero")))</f>
        <v>#N/A</v>
      </c>
      <c r="I50" t="e" cm="1">
        <f t="array" aca="1" ref="I50" ca="1">IF(INDIRECT(ADDRESS($B50+1,I$38,1,1,"Confirmed Day Zero"))=0,#N/A,INDIRECT(ADDRESS($B50+1,I$38,1,1,"Confirmed Day Zero")))</f>
        <v>#N/A</v>
      </c>
      <c r="J50" t="e" cm="1">
        <f t="array" aca="1" ref="J50" ca="1">IF(INDIRECT(ADDRESS($B50+1,J$38,1,1,"Confirmed Day Zero"))=0,#N/A,INDIRECT(ADDRESS($B50+1,J$38,1,1,"Confirmed Day Zero")))</f>
        <v>#N/A</v>
      </c>
      <c r="K50" t="e" cm="1">
        <f t="array" aca="1" ref="K50" ca="1">IF(INDIRECT(ADDRESS($B50+1,K$38,1,1,"Confirmed Day Zero"))=0,#N/A,INDIRECT(ADDRESS($B50+1,K$38,1,1,"Confirmed Day Zero")))</f>
        <v>#N/A</v>
      </c>
      <c r="L50" t="e" cm="1">
        <f t="array" aca="1" ref="L50" ca="1">IF(INDIRECT(ADDRESS($B50+1,L$38,1,1,"Confirmed Day Zero"))=0,#N/A,INDIRECT(ADDRESS($B50+1,L$38,1,1,"Confirmed Day Zero")))</f>
        <v>#N/A</v>
      </c>
      <c r="M50" t="e" cm="1">
        <f t="array" aca="1" ref="M50" ca="1">IF(INDIRECT(ADDRESS($B50+1,M$38,1,1,"Confirmed Day Zero"))=0,#N/A,INDIRECT(ADDRESS($B50+1,M$38,1,1,"Confirmed Day Zero")))</f>
        <v>#N/A</v>
      </c>
      <c r="N50" t="e" cm="1">
        <f t="array" aca="1" ref="N50" ca="1">IF(INDIRECT(ADDRESS($B50+1,N$38,1,1,"Confirmed Day Zero"))=0,#N/A,INDIRECT(ADDRESS($B50+1,N$38,1,1,"Confirmed Day Zero")))</f>
        <v>#N/A</v>
      </c>
      <c r="O50" t="e" cm="1">
        <f t="array" aca="1" ref="O50" ca="1">IF(INDIRECT(ADDRESS($B50+1,O$38,1,1,"Confirmed Day Zero"))=0,#N/A,INDIRECT(ADDRESS($B50+1,O$38,1,1,"Confirmed Day Zero")))</f>
        <v>#N/A</v>
      </c>
      <c r="P50" t="e" cm="1">
        <f t="array" aca="1" ref="P50" ca="1">IF(INDIRECT(ADDRESS($B50+1,P$38,1,1,"Confirmed Day Zero"))=0,#N/A,INDIRECT(ADDRESS($B50+1,P$38,1,1,"Confirmed Day Zero")))</f>
        <v>#N/A</v>
      </c>
      <c r="Q50" t="e" cm="1">
        <f t="array" aca="1" ref="Q50" ca="1">IF(INDIRECT(ADDRESS($B50+1,Q$38,1,1,"Confirmed Day Zero"))=0,#N/A,INDIRECT(ADDRESS($B50+1,Q$38,1,1,"Confirmed Day Zero")))</f>
        <v>#N/A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2"/>
        <v>12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59</v>
      </c>
      <c r="F51" cm="1">
        <f t="array" aca="1" ref="F51" ca="1">IF(INDIRECT(ADDRESS($B51+1,F$38,1,1,"Confirmed Day Zero"))=0,#N/A,INDIRECT(ADDRESS($B51+1,F$38,1,1,"Confirmed Day Zero")))</f>
        <v>66</v>
      </c>
      <c r="G51" cm="1">
        <f t="array" aca="1" ref="G51" ca="1">IF(INDIRECT(ADDRESS($B51+1,G$38,1,1,"Confirmed Day Zero"))=0,#N/A,INDIRECT(ADDRESS($B51+1,G$38,1,1,"Confirmed Day Zero")))</f>
        <v>80</v>
      </c>
      <c r="H51" cm="1">
        <f t="array" aca="1" ref="H51" ca="1">IF(INDIRECT(ADDRESS($B51+1,H$38,1,1,"Confirmed Day Zero"))=0,#N/A,INDIRECT(ADDRESS($B51+1,H$38,1,1,"Confirmed Day Zero")))</f>
        <v>104</v>
      </c>
      <c r="I51" cm="1">
        <f t="array" aca="1" ref="I51" ca="1">IF(INDIRECT(ADDRESS($B51+1,I$38,1,1,"Confirmed Day Zero"))=0,#N/A,INDIRECT(ADDRESS($B51+1,I$38,1,1,"Confirmed Day Zero")))</f>
        <v>196</v>
      </c>
      <c r="J51" cm="1">
        <f t="array" aca="1" ref="J51" ca="1">IF(INDIRECT(ADDRESS($B51+1,J$38,1,1,"Confirmed Day Zero"))=0,#N/A,INDIRECT(ADDRESS($B51+1,J$38,1,1,"Confirmed Day Zero")))</f>
        <v>281</v>
      </c>
      <c r="K51" cm="1">
        <f t="array" aca="1" ref="K51" ca="1">IF(INDIRECT(ADDRESS($B51+1,K$38,1,1,"Confirmed Day Zero"))=0,#N/A,INDIRECT(ADDRESS($B51+1,K$38,1,1,"Confirmed Day Zero")))</f>
        <v>373</v>
      </c>
      <c r="L51" cm="1">
        <f t="array" aca="1" ref="L51" ca="1">IF(INDIRECT(ADDRESS($B51+1,L$38,1,1,"Confirmed Day Zero"))=0,#N/A,INDIRECT(ADDRESS($B51+1,L$38,1,1,"Confirmed Day Zero")))</f>
        <v>495</v>
      </c>
      <c r="M51" cm="1">
        <f t="array" aca="1" ref="M51" ca="1">IF(INDIRECT(ADDRESS($B51+1,M$38,1,1,"Confirmed Day Zero"))=0,#N/A,INDIRECT(ADDRESS($B51+1,M$38,1,1,"Confirmed Day Zero")))</f>
        <v>629</v>
      </c>
      <c r="N51" cm="1">
        <f t="array" aca="1" ref="N51" ca="1">IF(INDIRECT(ADDRESS($B51+1,N$38,1,1,"Confirmed Day Zero"))=0,#N/A,INDIRECT(ADDRESS($B51+1,N$38,1,1,"Confirmed Day Zero")))</f>
        <v>826</v>
      </c>
      <c r="O51" cm="1">
        <f t="array" aca="1" ref="O51" ca="1">IF(INDIRECT(ADDRESS($B51+1,O$38,1,1,"Confirmed Day Zero"))=0,#N/A,INDIRECT(ADDRESS($B51+1,O$38,1,1,"Confirmed Day Zero")))</f>
        <v>994</v>
      </c>
      <c r="P51" cm="1">
        <f t="array" aca="1" ref="P51" ca="1">IF(INDIRECT(ADDRESS($B51+1,P$38,1,1,"Confirmed Day Zero"))=0,#N/A,INDIRECT(ADDRESS($B51+1,P$38,1,1,"Confirmed Day Zero")))</f>
        <v>1128</v>
      </c>
      <c r="Q51" cm="1">
        <f t="array" aca="1" ref="Q51" ca="1">IF(INDIRECT(ADDRESS($B51+1,Q$38,1,1,"Confirmed Day Zero"))=0,#N/A,INDIRECT(ADDRESS($B51+1,Q$38,1,1,"Confirmed Day Zero")))</f>
        <v>1203</v>
      </c>
      <c r="R51" cm="1">
        <f t="array" aca="1" ref="R51" ca="1">IF(INDIRECT(ADDRESS($B51+1,R$38,1,1,"Confirmed Day Zero"))=0,#N/A,INDIRECT(ADDRESS($B51+1,R$38,1,1,"Confirmed Day Zero")))</f>
        <v>1509</v>
      </c>
      <c r="S51" t="e" cm="1">
        <f t="array" aca="1" ref="S51" ca="1">IF(INDIRECT(ADDRESS($B51+1,S$38,1,1,"Confirmed Day Zero"))=0,#N/A,INDIRECT(ADDRESS($B51+1,S$38,1,1,"Confirmed Day Zero")))</f>
        <v>#N/A</v>
      </c>
      <c r="T51" t="e" cm="1">
        <f t="array" aca="1" ref="T51" ca="1">IF(INDIRECT(ADDRESS($B51+1,T$38,1,1,"Confirmed Day Zero"))=0,#N/A,INDIRECT(ADDRESS($B51+1,T$38,1,1,"Confirmed Day Zero")))</f>
        <v>#N/A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2"/>
        <v>13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t="e" cm="1">
        <f t="array" aca="1" ref="E52" ca="1">IF(INDIRECT(ADDRESS($B52+1,E$38,1,1,"Confirmed Day Zero"))=0,#N/A,INDIRECT(ADDRESS($B52+1,E$38,1,1,"Confirmed Day Zero")))</f>
        <v>#N/A</v>
      </c>
      <c r="F52" t="e" cm="1">
        <f t="array" aca="1" ref="F52" ca="1">IF(INDIRECT(ADDRESS($B52+1,F$38,1,1,"Confirmed Day Zero"))=0,#N/A,INDIRECT(ADDRESS($B52+1,F$38,1,1,"Confirmed Day Zero")))</f>
        <v>#N/A</v>
      </c>
      <c r="G52" t="e" cm="1">
        <f t="array" aca="1" ref="G52" ca="1">IF(INDIRECT(ADDRESS($B52+1,G$38,1,1,"Confirmed Day Zero"))=0,#N/A,INDIRECT(ADDRESS($B52+1,G$38,1,1,"Confirmed Day Zero")))</f>
        <v>#N/A</v>
      </c>
      <c r="H52" t="e" cm="1">
        <f t="array" aca="1" ref="H52" ca="1">IF(INDIRECT(ADDRESS($B52+1,H$38,1,1,"Confirmed Day Zero"))=0,#N/A,INDIRECT(ADDRESS($B52+1,H$38,1,1,"Confirmed Day Zero")))</f>
        <v>#N/A</v>
      </c>
      <c r="I52" t="e" cm="1">
        <f t="array" aca="1" ref="I52" ca="1">IF(INDIRECT(ADDRESS($B52+1,I$38,1,1,"Confirmed Day Zero"))=0,#N/A,INDIRECT(ADDRESS($B52+1,I$38,1,1,"Confirmed Day Zero")))</f>
        <v>#N/A</v>
      </c>
      <c r="J52" t="e" cm="1">
        <f t="array" aca="1" ref="J52" ca="1">IF(INDIRECT(ADDRESS($B52+1,J$38,1,1,"Confirmed Day Zero"))=0,#N/A,INDIRECT(ADDRESS($B52+1,J$38,1,1,"Confirmed Day Zero")))</f>
        <v>#N/A</v>
      </c>
      <c r="K52" t="e" cm="1">
        <f t="array" aca="1" ref="K52" ca="1">IF(INDIRECT(ADDRESS($B52+1,K$38,1,1,"Confirmed Day Zero"))=0,#N/A,INDIRECT(ADDRESS($B52+1,K$38,1,1,"Confirmed Day Zero")))</f>
        <v>#N/A</v>
      </c>
      <c r="L52" t="e" cm="1">
        <f t="array" aca="1" ref="L52" ca="1">IF(INDIRECT(ADDRESS($B52+1,L$38,1,1,"Confirmed Day Zero"))=0,#N/A,INDIRECT(ADDRESS($B52+1,L$38,1,1,"Confirmed Day Zero")))</f>
        <v>#N/A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2"/>
        <v>14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266</v>
      </c>
      <c r="K53" t="e" cm="1">
        <f t="array" aca="1" ref="K53" ca="1">IF(INDIRECT(ADDRESS($B53+1,K$38,1,1,"Confirmed Day Zero"))=0,#N/A,INDIRECT(ADDRESS($B53+1,K$38,1,1,"Confirmed Day Zero")))</f>
        <v>#N/A</v>
      </c>
      <c r="L53" t="e" cm="1">
        <f t="array" aca="1" ref="L53" ca="1">IF(INDIRECT(ADDRESS($B53+1,L$38,1,1,"Confirmed Day Zero"))=0,#N/A,INDIRECT(ADDRESS($B53+1,L$38,1,1,"Confirmed Day Zero")))</f>
        <v>#N/A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2"/>
        <v>15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51</v>
      </c>
      <c r="F54" cm="1">
        <f t="array" aca="1" ref="F54" ca="1">IF(INDIRECT(ADDRESS($B54+1,F$38,1,1,"Confirmed Day Zero"))=0,#N/A,INDIRECT(ADDRESS($B54+1,F$38,1,1,"Confirmed Day Zero")))</f>
        <v>57</v>
      </c>
      <c r="G54" t="e" cm="1">
        <f t="array" aca="1" ref="G54" ca="1">IF(INDIRECT(ADDRESS($B54+1,G$38,1,1,"Confirmed Day Zero"))=0,#N/A,INDIRECT(ADDRESS($B54+1,G$38,1,1,"Confirmed Day Zero")))</f>
        <v>#N/A</v>
      </c>
      <c r="H54" t="e" cm="1">
        <f t="array" aca="1" ref="H54" ca="1">IF(INDIRECT(ADDRESS($B54+1,H$38,1,1,"Confirmed Day Zero"))=0,#N/A,INDIRECT(ADDRESS($B54+1,H$38,1,1,"Confirmed Day Zero")))</f>
        <v>#N/A</v>
      </c>
      <c r="I54" t="e" cm="1">
        <f t="array" aca="1" ref="I54" ca="1">IF(INDIRECT(ADDRESS($B54+1,I$38,1,1,"Confirmed Day Zero"))=0,#N/A,INDIRECT(ADDRESS($B54+1,I$38,1,1,"Confirmed Day Zero")))</f>
        <v>#N/A</v>
      </c>
      <c r="J54" t="e" cm="1">
        <f t="array" aca="1" ref="J54" ca="1">IF(INDIRECT(ADDRESS($B54+1,J$38,1,1,"Confirmed Day Zero"))=0,#N/A,INDIRECT(ADDRESS($B54+1,J$38,1,1,"Confirmed Day Zero")))</f>
        <v>#N/A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2"/>
        <v>16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65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t="e" cm="1">
        <f t="array" aca="1" ref="K55" ca="1">IF(INDIRECT(ADDRESS($B55+1,K$38,1,1,"Confirmed Day Zero"))=0,#N/A,INDIRECT(ADDRESS($B55+1,K$38,1,1,"Confirmed Day Zero")))</f>
        <v>#N/A</v>
      </c>
      <c r="L55" t="e" cm="1">
        <f t="array" aca="1" ref="L55" ca="1">IF(INDIRECT(ADDRESS($B55+1,L$38,1,1,"Confirmed Day Zero"))=0,#N/A,INDIRECT(ADDRESS($B55+1,L$38,1,1,"Confirmed Day Zero")))</f>
        <v>#N/A</v>
      </c>
      <c r="M55" t="e" cm="1">
        <f t="array" aca="1" ref="M55" ca="1">IF(INDIRECT(ADDRESS($B55+1,M$38,1,1,"Confirmed Day Zero"))=0,#N/A,INDIRECT(ADDRESS($B55+1,M$38,1,1,"Confirmed Day Zero")))</f>
        <v>#N/A</v>
      </c>
      <c r="N55" t="e" cm="1">
        <f t="array" aca="1" ref="N55" ca="1">IF(INDIRECT(ADDRESS($B55+1,N$38,1,1,"Confirmed Day Zero"))=0,#N/A,INDIRECT(ADDRESS($B55+1,N$38,1,1,"Confirmed Day Zero")))</f>
        <v>#N/A</v>
      </c>
      <c r="O55" t="e" cm="1">
        <f t="array" aca="1" ref="O55" ca="1">IF(INDIRECT(ADDRESS($B55+1,O$38,1,1,"Confirmed Day Zero"))=0,#N/A,INDIRECT(ADDRESS($B55+1,O$38,1,1,"Confirmed Day Zero")))</f>
        <v>#N/A</v>
      </c>
      <c r="P55" t="e" cm="1">
        <f t="array" aca="1" ref="P55" ca="1">IF(INDIRECT(ADDRESS($B55+1,P$38,1,1,"Confirmed Day Zero"))=0,#N/A,INDIRECT(ADDRESS($B55+1,P$38,1,1,"Confirmed Day Zero")))</f>
        <v>#N/A</v>
      </c>
      <c r="Q55" t="e" cm="1">
        <f t="array" aca="1" ref="Q55" ca="1">IF(INDIRECT(ADDRESS($B55+1,Q$38,1,1,"Confirmed Day Zero"))=0,#N/A,INDIRECT(ADDRESS($B55+1,Q$38,1,1,"Confirmed Day Zero")))</f>
        <v>#N/A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2"/>
        <v>17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159</v>
      </c>
      <c r="F56" cm="1">
        <f t="array" aca="1" ref="F56" ca="1">IF(INDIRECT(ADDRESS($B56+1,F$38,1,1,"Confirmed Day Zero"))=0,#N/A,INDIRECT(ADDRESS($B56+1,F$38,1,1,"Confirmed Day Zero")))</f>
        <v>177</v>
      </c>
      <c r="G56" cm="1">
        <f t="array" aca="1" ref="G56" ca="1">IF(INDIRECT(ADDRESS($B56+1,G$38,1,1,"Confirmed Day Zero"))=0,#N/A,INDIRECT(ADDRESS($B56+1,G$38,1,1,"Confirmed Day Zero")))</f>
        <v>188</v>
      </c>
      <c r="H56" cm="1">
        <f t="array" aca="1" ref="H56" ca="1">IF(INDIRECT(ADDRESS($B56+1,H$38,1,1,"Confirmed Day Zero"))=0,#N/A,INDIRECT(ADDRESS($B56+1,H$38,1,1,"Confirmed Day Zero")))</f>
        <v>204</v>
      </c>
      <c r="I56" t="e" cm="1">
        <f t="array" aca="1" ref="I56" ca="1">IF(INDIRECT(ADDRESS($B56+1,I$38,1,1,"Confirmed Day Zero"))=0,#N/A,INDIRECT(ADDRESS($B56+1,I$38,1,1,"Confirmed Day Zero")))</f>
        <v>#N/A</v>
      </c>
      <c r="J56" t="e" cm="1">
        <f t="array" aca="1" ref="J56" ca="1">IF(INDIRECT(ADDRESS($B56+1,J$38,1,1,"Confirmed Day Zero"))=0,#N/A,INDIRECT(ADDRESS($B56+1,J$38,1,1,"Confirmed Day Zero")))</f>
        <v>#N/A</v>
      </c>
      <c r="K56" t="e" cm="1">
        <f t="array" aca="1" ref="K56" ca="1">IF(INDIRECT(ADDRESS($B56+1,K$38,1,1,"Confirmed Day Zero"))=0,#N/A,INDIRECT(ADDRESS($B56+1,K$38,1,1,"Confirmed Day Zero")))</f>
        <v>#N/A</v>
      </c>
      <c r="L56" t="e" cm="1">
        <f t="array" aca="1" ref="L56" ca="1">IF(INDIRECT(ADDRESS($B56+1,L$38,1,1,"Confirmed Day Zero"))=0,#N/A,INDIRECT(ADDRESS($B56+1,L$38,1,1,"Confirmed Day Zero")))</f>
        <v>#N/A</v>
      </c>
      <c r="M56" t="e" cm="1">
        <f t="array" aca="1" ref="M56" ca="1">IF(INDIRECT(ADDRESS($B56+1,M$38,1,1,"Confirmed Day Zero"))=0,#N/A,INDIRECT(ADDRESS($B56+1,M$38,1,1,"Confirmed Day Zero")))</f>
        <v>#N/A</v>
      </c>
      <c r="N56" t="e" cm="1">
        <f t="array" aca="1" ref="N56" ca="1">IF(INDIRECT(ADDRESS($B56+1,N$38,1,1,"Confirmed Day Zero"))=0,#N/A,INDIRECT(ADDRESS($B56+1,N$38,1,1,"Confirmed Day Zero")))</f>
        <v>#N/A</v>
      </c>
      <c r="O56" t="e" cm="1">
        <f t="array" aca="1" ref="O56" ca="1">IF(INDIRECT(ADDRESS($B56+1,O$38,1,1,"Confirmed Day Zero"))=0,#N/A,INDIRECT(ADDRESS($B56+1,O$38,1,1,"Confirmed Day Zero")))</f>
        <v>#N/A</v>
      </c>
      <c r="P56" t="e" cm="1">
        <f t="array" aca="1" ref="P56" ca="1">IF(INDIRECT(ADDRESS($B56+1,P$38,1,1,"Confirmed Day Zero"))=0,#N/A,INDIRECT(ADDRESS($B56+1,P$38,1,1,"Confirmed Day Zero")))</f>
        <v>#N/A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2"/>
        <v>18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2"/>
        <v>19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2"/>
        <v>20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2"/>
        <v>21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2"/>
        <v>22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66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95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2"/>
        <v>23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61</v>
      </c>
      <c r="F62" cm="1">
        <f t="array" aca="1" ref="F62" ca="1">IF(INDIRECT(ADDRESS($B62+1,F$38,1,1,"Confirmed Day Zero"))=0,#N/A,INDIRECT(ADDRESS($B62+1,F$38,1,1,"Confirmed Day Zero")))</f>
        <v>85</v>
      </c>
      <c r="G62" cm="1">
        <f t="array" aca="1" ref="G62" ca="1">IF(INDIRECT(ADDRESS($B62+1,G$38,1,1,"Confirmed Day Zero"))=0,#N/A,INDIRECT(ADDRESS($B62+1,G$38,1,1,"Confirmed Day Zero")))</f>
        <v>98</v>
      </c>
      <c r="H62" cm="1">
        <f t="array" aca="1" ref="H62" ca="1">IF(INDIRECT(ADDRESS($B62+1,H$38,1,1,"Confirmed Day Zero"))=0,#N/A,INDIRECT(ADDRESS($B62+1,H$38,1,1,"Confirmed Day Zero")))</f>
        <v>98</v>
      </c>
      <c r="I62" cm="1">
        <f t="array" aca="1" ref="I62" ca="1">IF(INDIRECT(ADDRESS($B62+1,I$38,1,1,"Confirmed Day Zero"))=0,#N/A,INDIRECT(ADDRESS($B62+1,I$38,1,1,"Confirmed Day Zero")))</f>
        <v>98</v>
      </c>
      <c r="J62" cm="1">
        <f t="array" aca="1" ref="J62" ca="1">IF(INDIRECT(ADDRESS($B62+1,J$38,1,1,"Confirmed Day Zero"))=0,#N/A,INDIRECT(ADDRESS($B62+1,J$38,1,1,"Confirmed Day Zero")))</f>
        <v>200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2"/>
        <v>24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56</v>
      </c>
      <c r="F63" cm="1">
        <f t="array" aca="1" ref="F63" ca="1">IF(INDIRECT(ADDRESS($B63+1,F$38,1,1,"Confirmed Day Zero"))=0,#N/A,INDIRECT(ADDRESS($B63+1,F$38,1,1,"Confirmed Day Zero")))</f>
        <v>75</v>
      </c>
      <c r="G63" cm="1">
        <f t="array" aca="1" ref="G63" ca="1">IF(INDIRECT(ADDRESS($B63+1,G$38,1,1,"Confirmed Day Zero"))=0,#N/A,INDIRECT(ADDRESS($B63+1,G$38,1,1,"Confirmed Day Zero")))</f>
        <v>81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2"/>
        <v>25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180</v>
      </c>
      <c r="F64" cm="1">
        <f t="array" aca="1" ref="F64" ca="1">IF(INDIRECT(ADDRESS($B64+1,F$38,1,1,"Confirmed Day Zero"))=0,#N/A,INDIRECT(ADDRESS($B64+1,F$38,1,1,"Confirmed Day Zero")))</f>
        <v>258</v>
      </c>
      <c r="G64" cm="1">
        <f t="array" aca="1" ref="G64" ca="1">IF(INDIRECT(ADDRESS($B64+1,G$38,1,1,"Confirmed Day Zero"))=0,#N/A,INDIRECT(ADDRESS($B64+1,G$38,1,1,"Confirmed Day Zero")))</f>
        <v>265</v>
      </c>
      <c r="H64" cm="1">
        <f t="array" aca="1" ref="H64" ca="1">IF(INDIRECT(ADDRESS($B64+1,H$38,1,1,"Confirmed Day Zero"))=0,#N/A,INDIRECT(ADDRESS($B64+1,H$38,1,1,"Confirmed Day Zero")))</f>
        <v>291</v>
      </c>
      <c r="I64" cm="1">
        <f t="array" aca="1" ref="I64" ca="1">IF(INDIRECT(ADDRESS($B64+1,I$38,1,1,"Confirmed Day Zero"))=0,#N/A,INDIRECT(ADDRESS($B64+1,I$38,1,1,"Confirmed Day Zero")))</f>
        <v>330</v>
      </c>
      <c r="J64" cm="1">
        <f t="array" aca="1" ref="J64" ca="1">IF(INDIRECT(ADDRESS($B64+1,J$38,1,1,"Confirmed Day Zero"))=0,#N/A,INDIRECT(ADDRESS($B64+1,J$38,1,1,"Confirmed Day Zero")))</f>
        <v>422</v>
      </c>
      <c r="K64" cm="1">
        <f t="array" aca="1" ref="K64" ca="1">IF(INDIRECT(ADDRESS($B64+1,K$38,1,1,"Confirmed Day Zero"))=0,#N/A,INDIRECT(ADDRESS($B64+1,K$38,1,1,"Confirmed Day Zero")))</f>
        <v>511</v>
      </c>
      <c r="L64" cm="1">
        <f t="array" aca="1" ref="L64" ca="1">IF(INDIRECT(ADDRESS($B64+1,L$38,1,1,"Confirmed Day Zero"))=0,#N/A,INDIRECT(ADDRESS($B64+1,L$38,1,1,"Confirmed Day Zero")))</f>
        <v>638</v>
      </c>
      <c r="M64" cm="1">
        <f t="array" aca="1" ref="M64" ca="1">IF(INDIRECT(ADDRESS($B64+1,M$38,1,1,"Confirmed Day Zero"))=0,#N/A,INDIRECT(ADDRESS($B64+1,M$38,1,1,"Confirmed Day Zero")))</f>
        <v>834</v>
      </c>
      <c r="N64" cm="1">
        <f t="array" aca="1" ref="N64" ca="1">IF(INDIRECT(ADDRESS($B64+1,N$38,1,1,"Confirmed Day Zero"))=0,#N/A,INDIRECT(ADDRESS($B64+1,N$38,1,1,"Confirmed Day Zero")))</f>
        <v>918</v>
      </c>
      <c r="O64" cm="1">
        <f t="array" aca="1" ref="O64" ca="1">IF(INDIRECT(ADDRESS($B64+1,O$38,1,1,"Confirmed Day Zero"))=0,#N/A,INDIRECT(ADDRESS($B64+1,O$38,1,1,"Confirmed Day Zero")))</f>
        <v>939</v>
      </c>
      <c r="P64" cm="1">
        <f t="array" aca="1" ref="P64" ca="1">IF(INDIRECT(ADDRESS($B64+1,P$38,1,1,"Confirmed Day Zero"))=0,#N/A,INDIRECT(ADDRESS($B64+1,P$38,1,1,"Confirmed Day Zero")))</f>
        <v>1165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2"/>
        <v>26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2"/>
        <v>27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95</v>
      </c>
      <c r="F66" cm="1">
        <f t="array" aca="1" ref="F66" ca="1">IF(INDIRECT(ADDRESS($B66+1,F$38,1,1,"Confirmed Day Zero"))=0,#N/A,INDIRECT(ADDRESS($B66+1,F$38,1,1,"Confirmed Day Zero")))</f>
        <v>95</v>
      </c>
      <c r="G66" cm="1">
        <f t="array" aca="1" ref="G66" ca="1">IF(INDIRECT(ADDRESS($B66+1,G$38,1,1,"Confirmed Day Zero"))=0,#N/A,INDIRECT(ADDRESS($B66+1,G$38,1,1,"Confirmed Day Zero")))</f>
        <v>232</v>
      </c>
      <c r="H66" cm="1">
        <f t="array" aca="1" ref="H66" ca="1">IF(INDIRECT(ADDRESS($B66+1,H$38,1,1,"Confirmed Day Zero"))=0,#N/A,INDIRECT(ADDRESS($B66+1,H$38,1,1,"Confirmed Day Zero")))</f>
        <v>282</v>
      </c>
      <c r="I66" cm="1">
        <f t="array" aca="1" ref="I66" ca="1">IF(INDIRECT(ADDRESS($B66+1,I$38,1,1,"Confirmed Day Zero"))=0,#N/A,INDIRECT(ADDRESS($B66+1,I$38,1,1,"Confirmed Day Zero")))</f>
        <v>359</v>
      </c>
      <c r="J66" cm="1">
        <f t="array" aca="1" ref="J66" ca="1">IF(INDIRECT(ADDRESS($B66+1,J$38,1,1,"Confirmed Day Zero"))=0,#N/A,INDIRECT(ADDRESS($B66+1,J$38,1,1,"Confirmed Day Zero")))</f>
        <v>432</v>
      </c>
      <c r="K66" cm="1">
        <f t="array" aca="1" ref="K66" ca="1">IF(INDIRECT(ADDRESS($B66+1,K$38,1,1,"Confirmed Day Zero"))=0,#N/A,INDIRECT(ADDRESS($B66+1,K$38,1,1,"Confirmed Day Zero")))</f>
        <v>492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2"/>
        <v>28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51</v>
      </c>
      <c r="F67" cm="1">
        <f t="array" aca="1" ref="F67" ca="1">IF(INDIRECT(ADDRESS($B67+1,F$38,1,1,"Confirmed Day Zero"))=0,#N/A,INDIRECT(ADDRESS($B67+1,F$38,1,1,"Confirmed Day Zero")))</f>
        <v>77</v>
      </c>
      <c r="G67" cm="1">
        <f t="array" aca="1" ref="G67" ca="1">IF(INDIRECT(ADDRESS($B67+1,G$38,1,1,"Confirmed Day Zero"))=0,#N/A,INDIRECT(ADDRESS($B67+1,G$38,1,1,"Confirmed Day Zero")))</f>
        <v>108</v>
      </c>
      <c r="H67" cm="1">
        <f t="array" aca="1" ref="H67" ca="1">IF(INDIRECT(ADDRESS($B67+1,H$38,1,1,"Confirmed Day Zero"))=0,#N/A,INDIRECT(ADDRESS($B67+1,H$38,1,1,"Confirmed Day Zero")))</f>
        <v>156</v>
      </c>
      <c r="I67" cm="1">
        <f t="array" aca="1" ref="I67" ca="1">IF(INDIRECT(ADDRESS($B67+1,I$38,1,1,"Confirmed Day Zero"))=0,#N/A,INDIRECT(ADDRESS($B67+1,I$38,1,1,"Confirmed Day Zero")))</f>
        <v>204</v>
      </c>
      <c r="J67" cm="1">
        <f t="array" aca="1" ref="J67" ca="1">IF(INDIRECT(ADDRESS($B67+1,J$38,1,1,"Confirmed Day Zero"))=0,#N/A,INDIRECT(ADDRESS($B67+1,J$38,1,1,"Confirmed Day Zero")))</f>
        <v>350</v>
      </c>
      <c r="K67" cm="1">
        <f t="array" aca="1" ref="K67" ca="1">IF(INDIRECT(ADDRESS($B67+1,K$38,1,1,"Confirmed Day Zero"))=0,#N/A,INDIRECT(ADDRESS($B67+1,K$38,1,1,"Confirmed Day Zero")))</f>
        <v>406</v>
      </c>
      <c r="L67" cm="1">
        <f t="array" aca="1" ref="L67" ca="1">IF(INDIRECT(ADDRESS($B67+1,L$38,1,1,"Confirmed Day Zero"))=0,#N/A,INDIRECT(ADDRESS($B67+1,L$38,1,1,"Confirmed Day Zero")))</f>
        <v>508</v>
      </c>
      <c r="M67" cm="1">
        <f t="array" aca="1" ref="M67" ca="1">IF(INDIRECT(ADDRESS($B67+1,M$38,1,1,"Confirmed Day Zero"))=0,#N/A,INDIRECT(ADDRESS($B67+1,M$38,1,1,"Confirmed Day Zero")))</f>
        <v>608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1212</v>
      </c>
      <c r="P67" cm="1">
        <f t="array" aca="1" ref="P67" ca="1">IF(INDIRECT(ADDRESS($B67+1,P$38,1,1,"Confirmed Day Zero"))=0,#N/A,INDIRECT(ADDRESS($B67+1,P$38,1,1,"Confirmed Day Zero")))</f>
        <v>1432</v>
      </c>
      <c r="Q67" cm="1">
        <f t="array" aca="1" ref="Q67" ca="1">IF(INDIRECT(ADDRESS($B67+1,Q$38,1,1,"Confirmed Day Zero"))=0,#N/A,INDIRECT(ADDRESS($B67+1,Q$38,1,1,"Confirmed Day Zero")))</f>
        <v>1676</v>
      </c>
      <c r="R67" cm="1">
        <f t="array" aca="1" ref="R67" ca="1">IF(INDIRECT(ADDRESS($B67+1,R$38,1,1,"Confirmed Day Zero"))=0,#N/A,INDIRECT(ADDRESS($B67+1,R$38,1,1,"Confirmed Day Zero")))</f>
        <v>1782</v>
      </c>
      <c r="S67" cm="1">
        <f t="array" aca="1" ref="S67" ca="1">IF(INDIRECT(ADDRESS($B67+1,S$38,1,1,"Confirmed Day Zero"))=0,#N/A,INDIRECT(ADDRESS($B67+1,S$38,1,1,"Confirmed Day Zero")))</f>
        <v>2162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2"/>
        <v>29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62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2"/>
        <v>30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59</v>
      </c>
      <c r="F69" cm="1">
        <f t="array" aca="1" ref="F69" ca="1">IF(INDIRECT(ADDRESS($B69+1,F$38,1,1,"Confirmed Day Zero"))=0,#N/A,INDIRECT(ADDRESS($B69+1,F$38,1,1,"Confirmed Day Zero")))</f>
        <v>92</v>
      </c>
      <c r="G69" cm="1">
        <f t="array" aca="1" ref="G69" ca="1">IF(INDIRECT(ADDRESS($B69+1,G$38,1,1,"Confirmed Day Zero"))=0,#N/A,INDIRECT(ADDRESS($B69+1,G$38,1,1,"Confirmed Day Zero")))</f>
        <v>140</v>
      </c>
      <c r="H69" cm="1">
        <f t="array" aca="1" ref="H69" ca="1">IF(INDIRECT(ADDRESS($B69+1,H$38,1,1,"Confirmed Day Zero"))=0,#N/A,INDIRECT(ADDRESS($B69+1,H$38,1,1,"Confirmed Day Zero")))</f>
        <v>140</v>
      </c>
      <c r="I69" cm="1">
        <f t="array" aca="1" ref="I69" ca="1">IF(INDIRECT(ADDRESS($B69+1,I$38,1,1,"Confirmed Day Zero"))=0,#N/A,INDIRECT(ADDRESS($B69+1,I$38,1,1,"Confirmed Day Zero")))</f>
        <v>140</v>
      </c>
      <c r="J69" cm="1">
        <f t="array" aca="1" ref="J69" ca="1">IF(INDIRECT(ADDRESS($B69+1,J$38,1,1,"Confirmed Day Zero"))=0,#N/A,INDIRECT(ADDRESS($B69+1,J$38,1,1,"Confirmed Day Zero")))</f>
        <v>270</v>
      </c>
      <c r="K69" cm="1">
        <f t="array" aca="1" ref="K69" ca="1">IF(INDIRECT(ADDRESS($B69+1,K$38,1,1,"Confirmed Day Zero"))=0,#N/A,INDIRECT(ADDRESS($B69+1,K$38,1,1,"Confirmed Day Zero")))</f>
        <v>294</v>
      </c>
      <c r="L69" cm="1">
        <f t="array" aca="1" ref="L69" ca="1">IF(INDIRECT(ADDRESS($B69+1,L$38,1,1,"Confirmed Day Zero"))=0,#N/A,INDIRECT(ADDRESS($B69+1,L$38,1,1,"Confirmed Day Zero")))</f>
        <v>424</v>
      </c>
      <c r="M69" cm="1">
        <f t="array" aca="1" ref="M69" ca="1">IF(INDIRECT(ADDRESS($B69+1,M$38,1,1,"Confirmed Day Zero"))=0,#N/A,INDIRECT(ADDRESS($B69+1,M$38,1,1,"Confirmed Day Zero")))</f>
        <v>526</v>
      </c>
      <c r="N69" cm="1">
        <f t="array" aca="1" ref="N69" ca="1">IF(INDIRECT(ADDRESS($B69+1,N$38,1,1,"Confirmed Day Zero"))=0,#N/A,INDIRECT(ADDRESS($B69+1,N$38,1,1,"Confirmed Day Zero")))</f>
        <v>773</v>
      </c>
      <c r="O69" cm="1">
        <f t="array" aca="1" ref="O69" ca="1">IF(INDIRECT(ADDRESS($B69+1,O$38,1,1,"Confirmed Day Zero"))=0,#N/A,INDIRECT(ADDRESS($B69+1,O$38,1,1,"Confirmed Day Zero")))</f>
        <v>773</v>
      </c>
      <c r="P69" cm="1">
        <f t="array" aca="1" ref="P69" ca="1">IF(INDIRECT(ADDRESS($B69+1,P$38,1,1,"Confirmed Day Zero"))=0,#N/A,INDIRECT(ADDRESS($B69+1,P$38,1,1,"Confirmed Day Zero")))</f>
        <v>773</v>
      </c>
      <c r="Q69" cm="1">
        <f t="array" aca="1" ref="Q69" ca="1">IF(INDIRECT(ADDRESS($B69+1,Q$38,1,1,"Confirmed Day Zero"))=0,#N/A,INDIRECT(ADDRESS($B69+1,Q$38,1,1,"Confirmed Day Zero")))</f>
        <v>1068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2"/>
        <v>31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2"/>
        <v>32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2"/>
        <v>33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2"/>
        <v>34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2"/>
        <v>35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2"/>
        <v>36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2"/>
        <v>37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2"/>
        <v>38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2"/>
        <v>39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2"/>
        <v>40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2"/>
        <v>41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2"/>
        <v>42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2"/>
        <v>43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2"/>
        <v>44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2"/>
        <v>45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2"/>
        <v>46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2"/>
        <v>47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2"/>
        <v>48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2"/>
        <v>49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2"/>
        <v>50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2"/>
        <v>51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2"/>
        <v>52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2"/>
        <v>53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2"/>
        <v>54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2"/>
        <v>55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2"/>
        <v>56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2"/>
        <v>57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2"/>
        <v>58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2"/>
        <v>59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2"/>
        <v>60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3">D39</f>
        <v>Population</v>
      </c>
      <c r="E102" s="1" t="str">
        <f t="shared" si="3"/>
        <v>Day 1</v>
      </c>
      <c r="F102" s="1" t="str">
        <f t="shared" ca="1" si="3"/>
        <v>Day 2</v>
      </c>
      <c r="G102" s="1" t="str">
        <f t="shared" ca="1" si="3"/>
        <v>Day 3</v>
      </c>
      <c r="H102" s="1" t="str">
        <f t="shared" ca="1" si="3"/>
        <v>Day 4</v>
      </c>
      <c r="I102" s="1" t="str">
        <f t="shared" ca="1" si="3"/>
        <v>Day 5</v>
      </c>
      <c r="J102" s="1" t="str">
        <f t="shared" ca="1" si="3"/>
        <v>Day 6</v>
      </c>
      <c r="K102" s="1" t="str">
        <f t="shared" ca="1" si="3"/>
        <v>Day 7</v>
      </c>
      <c r="L102" s="1" t="str">
        <f t="shared" ca="1" si="3"/>
        <v>Day 8</v>
      </c>
      <c r="M102" s="1" t="str">
        <f t="shared" ca="1" si="3"/>
        <v>Day 9</v>
      </c>
      <c r="N102" s="1" t="str">
        <f t="shared" ca="1" si="3"/>
        <v>Day 10</v>
      </c>
      <c r="O102" s="1" t="str">
        <f t="shared" ca="1" si="3"/>
        <v>Day 11</v>
      </c>
      <c r="P102" s="1" t="str">
        <f t="shared" ca="1" si="3"/>
        <v>Day 12</v>
      </c>
      <c r="Q102" s="1" t="str">
        <f t="shared" ca="1" si="3"/>
        <v>Day 13</v>
      </c>
      <c r="R102" s="1" t="str">
        <f t="shared" ca="1" si="3"/>
        <v>Day 14</v>
      </c>
      <c r="S102" s="1" t="str">
        <f t="shared" ca="1" si="3"/>
        <v>Day 15</v>
      </c>
      <c r="T102" s="1" t="str">
        <f t="shared" ca="1" si="3"/>
        <v>Day 16</v>
      </c>
      <c r="U102" s="1" t="str">
        <f t="shared" ca="1" si="3"/>
        <v>Day 17</v>
      </c>
      <c r="V102" s="1" t="str">
        <f t="shared" ca="1" si="3"/>
        <v>Day 18</v>
      </c>
      <c r="W102" s="1" t="str">
        <f t="shared" ca="1" si="3"/>
        <v>Day 19</v>
      </c>
      <c r="X102" s="1" t="str">
        <f t="shared" ca="1" si="3"/>
        <v>Day 20</v>
      </c>
      <c r="Y102" s="1" t="str">
        <f t="shared" ca="1" si="3"/>
        <v>Day 21</v>
      </c>
      <c r="Z102" s="1" t="str">
        <f t="shared" ca="1" si="3"/>
        <v>Day 22</v>
      </c>
      <c r="AA102" s="1" t="str">
        <f t="shared" ca="1" si="3"/>
        <v>Day 23</v>
      </c>
      <c r="AB102" s="1" t="str">
        <f t="shared" ca="1" si="3"/>
        <v>Day 24</v>
      </c>
      <c r="AC102" s="1" t="str">
        <f t="shared" ca="1" si="3"/>
        <v>Day 25</v>
      </c>
      <c r="AD102" s="1" t="str">
        <f t="shared" ca="1" si="3"/>
        <v>Day 26</v>
      </c>
      <c r="AE102" s="1" t="str">
        <f t="shared" ca="1" si="3"/>
        <v>Day 27</v>
      </c>
      <c r="AF102" s="1" t="str">
        <f t="shared" ca="1" si="3"/>
        <v>Day 28</v>
      </c>
      <c r="AG102" s="1" t="str">
        <f t="shared" ca="1" si="3"/>
        <v>Day 29</v>
      </c>
      <c r="AH102" s="1" t="str">
        <f t="shared" ca="1" si="3"/>
        <v>Day 30</v>
      </c>
      <c r="AI102" s="1" t="str">
        <f t="shared" ca="1" si="3"/>
        <v>Day 31</v>
      </c>
      <c r="AJ102" s="1" t="str">
        <f t="shared" ca="1" si="3"/>
        <v>Day 32</v>
      </c>
      <c r="AK102" s="1" t="str">
        <f t="shared" ca="1" si="3"/>
        <v>Day 33</v>
      </c>
      <c r="AL102" s="1" t="str">
        <f t="shared" ca="1" si="3"/>
        <v>Day 34</v>
      </c>
      <c r="AM102" s="1" t="str">
        <f t="shared" ca="1" si="3"/>
        <v>Day 35</v>
      </c>
      <c r="AN102" s="1" t="str">
        <f t="shared" ca="1" si="3"/>
        <v>Day 36</v>
      </c>
      <c r="AO102" s="1" t="str">
        <f t="shared" ca="1" si="3"/>
        <v>Day 37</v>
      </c>
      <c r="AP102" s="1" t="str">
        <f t="shared" ca="1" si="3"/>
        <v>Day 38</v>
      </c>
      <c r="AQ102" s="1" t="str">
        <f t="shared" ca="1" si="3"/>
        <v>Day 39</v>
      </c>
      <c r="AR102" s="1" t="str">
        <f t="shared" ca="1" si="3"/>
        <v>Day 40</v>
      </c>
      <c r="AS102" s="1" t="str">
        <f t="shared" ca="1" si="3"/>
        <v>Day 41</v>
      </c>
      <c r="AT102" s="1" t="str">
        <f t="shared" ca="1" si="3"/>
        <v>Day 42</v>
      </c>
      <c r="AU102" s="1" t="str">
        <f t="shared" ca="1" si="3"/>
        <v>Day 43</v>
      </c>
      <c r="AV102" s="1" t="str">
        <f t="shared" ca="1" si="3"/>
        <v>Day 44</v>
      </c>
      <c r="AW102" s="1" t="str">
        <f t="shared" ca="1" si="3"/>
        <v>Day 45</v>
      </c>
      <c r="AX102" s="1" t="str">
        <f t="shared" ca="1" si="3"/>
        <v>Day 46</v>
      </c>
      <c r="AY102" s="1" t="str">
        <f t="shared" ca="1" si="3"/>
        <v>Day 47</v>
      </c>
      <c r="AZ102" s="1" t="str">
        <f t="shared" ca="1" si="3"/>
        <v>Day 48</v>
      </c>
      <c r="BA102" s="1" t="str">
        <f t="shared" ca="1" si="3"/>
        <v>Day 49</v>
      </c>
      <c r="BB102" s="1" t="str">
        <f t="shared" ca="1" si="3"/>
        <v>Day 50</v>
      </c>
      <c r="BC102" s="1" t="str">
        <f t="shared" ca="1" si="3"/>
        <v>Day 51</v>
      </c>
      <c r="BD102" s="1" t="str">
        <f t="shared" ca="1" si="3"/>
        <v>Day 52</v>
      </c>
      <c r="BE102" s="1" t="str">
        <f t="shared" ca="1" si="3"/>
        <v>Day 53</v>
      </c>
      <c r="BF102" s="1" t="str">
        <f t="shared" ca="1" si="3"/>
        <v>Day 54</v>
      </c>
      <c r="BG102" s="1" t="str">
        <f t="shared" ca="1" si="3"/>
        <v>Day 55</v>
      </c>
      <c r="BH102" s="1" t="str">
        <f t="shared" ca="1" si="3"/>
        <v>Day 56</v>
      </c>
      <c r="BI102" s="1" t="str">
        <f t="shared" ca="1" si="3"/>
        <v>Day 57</v>
      </c>
      <c r="BJ102" s="1" t="str">
        <f t="shared" ca="1" si="3"/>
        <v>Day 58</v>
      </c>
      <c r="BK102" s="1" t="str">
        <f t="shared" ca="1" si="3"/>
        <v>Day 59</v>
      </c>
      <c r="BL102" s="1" t="str">
        <f t="shared" ca="1" si="3"/>
        <v>Day 60</v>
      </c>
      <c r="BM102" s="1" t="str">
        <f t="shared" ca="1" si="3"/>
        <v>Day 61</v>
      </c>
      <c r="BN102" s="1" t="str">
        <f t="shared" ca="1" si="3"/>
        <v>Day 62</v>
      </c>
      <c r="BO102" s="1">
        <f t="shared" ca="1" si="3"/>
        <v>0</v>
      </c>
      <c r="BP102" s="1">
        <f t="shared" ref="BP102:BV102" ca="1" si="4">BP39</f>
        <v>0</v>
      </c>
      <c r="BQ102" s="1">
        <f t="shared" ca="1" si="4"/>
        <v>0</v>
      </c>
      <c r="BR102" s="1">
        <f t="shared" ca="1" si="4"/>
        <v>0</v>
      </c>
      <c r="BS102" s="1">
        <f t="shared" ca="1" si="4"/>
        <v>0</v>
      </c>
      <c r="BT102" s="1">
        <f t="shared" ca="1" si="4"/>
        <v>0</v>
      </c>
      <c r="BU102" s="1">
        <f t="shared" ca="1" si="4"/>
        <v>0</v>
      </c>
      <c r="BV102" s="1">
        <f t="shared" ca="1" si="4"/>
        <v>0</v>
      </c>
    </row>
    <row r="103" spans="2:74" x14ac:dyDescent="0.25">
      <c r="B103">
        <f>B43</f>
        <v>4</v>
      </c>
      <c r="C103" t="str">
        <f ca="1">C43</f>
        <v>Switzerland</v>
      </c>
      <c r="D103" s="1">
        <f ca="1">D43</f>
        <v>8654622</v>
      </c>
      <c r="E103" s="17">
        <f ca="1">E43/$D103*100000</f>
        <v>0.64705310064379473</v>
      </c>
      <c r="F103" s="17">
        <f t="shared" ref="F103:BQ103" ca="1" si="5">F43/$D103*100000</f>
        <v>1.0399067688918131</v>
      </c>
      <c r="G103" s="17">
        <f t="shared" ca="1" si="5"/>
        <v>1.3172152405962965</v>
      </c>
      <c r="H103" s="17">
        <f t="shared" ca="1" si="5"/>
        <v>2.4726672060316441</v>
      </c>
      <c r="I103" s="17">
        <f t="shared" ca="1" si="5"/>
        <v>3.0966112673667321</v>
      </c>
      <c r="J103" s="17">
        <f t="shared" ca="1" si="5"/>
        <v>3.8938731235171216</v>
      </c>
      <c r="K103" s="17">
        <f t="shared" ca="1" si="5"/>
        <v>4.3213903507282003</v>
      </c>
      <c r="L103" s="17">
        <f t="shared" ca="1" si="5"/>
        <v>5.6732691502875578</v>
      </c>
      <c r="M103" s="17">
        <f t="shared" ca="1" si="5"/>
        <v>7.5335468146384681</v>
      </c>
      <c r="N103" s="17">
        <f t="shared" ca="1" si="5"/>
        <v>7.5335468146384681</v>
      </c>
      <c r="O103" s="17">
        <f t="shared" ca="1" si="5"/>
        <v>13.16059788630861</v>
      </c>
      <c r="P103" s="17">
        <f t="shared" ca="1" si="5"/>
        <v>15.702592210266376</v>
      </c>
      <c r="Q103" s="17">
        <f t="shared" ca="1" si="5"/>
        <v>25.419943239577652</v>
      </c>
      <c r="R103" s="17">
        <f t="shared" ca="1" si="5"/>
        <v>25.419943239577652</v>
      </c>
      <c r="S103" s="17">
        <f t="shared" ca="1" si="5"/>
        <v>31.19720306675439</v>
      </c>
      <c r="T103" s="17">
        <f t="shared" ca="1" si="5"/>
        <v>34.987085513382333</v>
      </c>
      <c r="U103" s="17">
        <f t="shared" ca="1" si="5"/>
        <v>47.084667591490422</v>
      </c>
      <c r="V103" s="17">
        <f t="shared" ca="1" si="5"/>
        <v>61.169627050147312</v>
      </c>
      <c r="W103" s="17">
        <f t="shared" ca="1" si="5"/>
        <v>75.970966727374119</v>
      </c>
      <c r="X103" s="17">
        <f t="shared" ca="1" si="5"/>
        <v>86.358479896637888</v>
      </c>
      <c r="Y103" s="17">
        <f t="shared" ca="1" si="5"/>
        <v>101.62200036003884</v>
      </c>
      <c r="Z103" s="17" t="e">
        <f t="shared" ca="1" si="5"/>
        <v>#N/A</v>
      </c>
      <c r="AA103" s="17" t="e">
        <f t="shared" ca="1" si="5"/>
        <v>#N/A</v>
      </c>
      <c r="AB103" s="17" t="e">
        <f t="shared" ca="1" si="5"/>
        <v>#N/A</v>
      </c>
      <c r="AC103" s="17" t="e">
        <f t="shared" ca="1" si="5"/>
        <v>#N/A</v>
      </c>
      <c r="AD103" s="17" t="e">
        <f t="shared" ca="1" si="5"/>
        <v>#N/A</v>
      </c>
      <c r="AE103" s="17" t="e">
        <f t="shared" ca="1" si="5"/>
        <v>#N/A</v>
      </c>
      <c r="AF103" s="17" t="e">
        <f t="shared" ca="1" si="5"/>
        <v>#N/A</v>
      </c>
      <c r="AG103" s="17" t="e">
        <f t="shared" ca="1" si="5"/>
        <v>#N/A</v>
      </c>
      <c r="AH103" s="17" t="e">
        <f t="shared" ca="1" si="5"/>
        <v>#N/A</v>
      </c>
      <c r="AI103" s="17" t="e">
        <f t="shared" ca="1" si="5"/>
        <v>#N/A</v>
      </c>
      <c r="AJ103" s="17" t="e">
        <f t="shared" ca="1" si="5"/>
        <v>#N/A</v>
      </c>
      <c r="AK103" s="17" t="e">
        <f t="shared" ca="1" si="5"/>
        <v>#N/A</v>
      </c>
      <c r="AL103" s="17" t="e">
        <f t="shared" ca="1" si="5"/>
        <v>#N/A</v>
      </c>
      <c r="AM103" s="17" t="e">
        <f t="shared" ca="1" si="5"/>
        <v>#N/A</v>
      </c>
      <c r="AN103" s="17" t="e">
        <f t="shared" ca="1" si="5"/>
        <v>#N/A</v>
      </c>
      <c r="AO103" s="17" t="e">
        <f t="shared" ca="1" si="5"/>
        <v>#N/A</v>
      </c>
      <c r="AP103" s="17" t="e">
        <f t="shared" ca="1" si="5"/>
        <v>#N/A</v>
      </c>
      <c r="AQ103" s="17" t="e">
        <f t="shared" ca="1" si="5"/>
        <v>#N/A</v>
      </c>
      <c r="AR103" s="17" t="e">
        <f t="shared" ca="1" si="5"/>
        <v>#N/A</v>
      </c>
      <c r="AS103" s="17" t="e">
        <f t="shared" ca="1" si="5"/>
        <v>#N/A</v>
      </c>
      <c r="AT103" s="17" t="e">
        <f t="shared" ca="1" si="5"/>
        <v>#N/A</v>
      </c>
      <c r="AU103" s="17" t="e">
        <f t="shared" ca="1" si="5"/>
        <v>#N/A</v>
      </c>
      <c r="AV103" s="17" t="e">
        <f t="shared" ca="1" si="5"/>
        <v>#N/A</v>
      </c>
      <c r="AW103" s="17" t="e">
        <f t="shared" ca="1" si="5"/>
        <v>#N/A</v>
      </c>
      <c r="AX103" s="17" t="e">
        <f t="shared" ca="1" si="5"/>
        <v>#N/A</v>
      </c>
      <c r="AY103" s="17" t="e">
        <f t="shared" ca="1" si="5"/>
        <v>#N/A</v>
      </c>
      <c r="AZ103" s="17" t="e">
        <f t="shared" ca="1" si="5"/>
        <v>#N/A</v>
      </c>
      <c r="BA103" s="17" t="e">
        <f t="shared" ca="1" si="5"/>
        <v>#N/A</v>
      </c>
      <c r="BB103" s="17" t="e">
        <f t="shared" ca="1" si="5"/>
        <v>#N/A</v>
      </c>
      <c r="BC103" s="17" t="e">
        <f t="shared" ca="1" si="5"/>
        <v>#N/A</v>
      </c>
      <c r="BD103" s="17" t="e">
        <f t="shared" ca="1" si="5"/>
        <v>#N/A</v>
      </c>
      <c r="BE103" s="17" t="e">
        <f t="shared" ca="1" si="5"/>
        <v>#N/A</v>
      </c>
      <c r="BF103" s="17" t="e">
        <f t="shared" ca="1" si="5"/>
        <v>#N/A</v>
      </c>
      <c r="BG103" s="17" t="e">
        <f t="shared" ca="1" si="5"/>
        <v>#N/A</v>
      </c>
      <c r="BH103" s="17" t="e">
        <f t="shared" ca="1" si="5"/>
        <v>#N/A</v>
      </c>
      <c r="BI103" s="17" t="e">
        <f t="shared" ca="1" si="5"/>
        <v>#N/A</v>
      </c>
      <c r="BJ103" s="17" t="e">
        <f t="shared" ca="1" si="5"/>
        <v>#N/A</v>
      </c>
      <c r="BK103" s="17" t="e">
        <f t="shared" ca="1" si="5"/>
        <v>#N/A</v>
      </c>
      <c r="BL103" s="17" t="e">
        <f t="shared" ca="1" si="5"/>
        <v>#N/A</v>
      </c>
      <c r="BM103" s="17" t="e">
        <f t="shared" ca="1" si="5"/>
        <v>#N/A</v>
      </c>
      <c r="BN103" s="17" t="e">
        <f t="shared" ca="1" si="5"/>
        <v>#N/A</v>
      </c>
      <c r="BO103" s="17" t="e">
        <f t="shared" ca="1" si="5"/>
        <v>#N/A</v>
      </c>
      <c r="BP103" s="17" t="e">
        <f t="shared" ca="1" si="5"/>
        <v>#N/A</v>
      </c>
      <c r="BQ103" s="17" t="e">
        <f t="shared" ca="1" si="5"/>
        <v>#N/A</v>
      </c>
      <c r="BR103" s="17" t="e">
        <f t="shared" ref="BR103:BV103" ca="1" si="6">BR43/$D103*100000</f>
        <v>#N/A</v>
      </c>
      <c r="BS103" s="17" t="e">
        <f t="shared" ca="1" si="6"/>
        <v>#N/A</v>
      </c>
      <c r="BT103" s="17" t="e">
        <f t="shared" ca="1" si="6"/>
        <v>#N/A</v>
      </c>
      <c r="BU103" s="17" t="e">
        <f t="shared" ca="1" si="6"/>
        <v>#N/A</v>
      </c>
      <c r="BV103" s="17" t="e">
        <f t="shared" ca="1" si="6"/>
        <v>#N/A</v>
      </c>
    </row>
    <row r="104" spans="2:74" x14ac:dyDescent="0.25">
      <c r="B104">
        <f t="shared" ref="B104:B159" si="7">B44</f>
        <v>5</v>
      </c>
      <c r="C104" t="str">
        <f t="shared" ref="C104:D159" ca="1" si="8">C44</f>
        <v>Switzerland Appenzell Inner Rhodes</v>
      </c>
      <c r="D104" s="1">
        <f t="shared" ca="1" si="8"/>
        <v>16145</v>
      </c>
      <c r="E104" s="17" t="e">
        <f t="shared" ref="E104:BP104" ca="1" si="9">E44/$D104*100000</f>
        <v>#N/A</v>
      </c>
      <c r="F104" s="17" t="e">
        <f t="shared" ca="1" si="9"/>
        <v>#N/A</v>
      </c>
      <c r="G104" s="17" t="e">
        <f t="shared" ca="1" si="9"/>
        <v>#N/A</v>
      </c>
      <c r="H104" s="17" t="e">
        <f t="shared" ca="1" si="9"/>
        <v>#N/A</v>
      </c>
      <c r="I104" s="17" t="e">
        <f t="shared" ca="1" si="9"/>
        <v>#N/A</v>
      </c>
      <c r="J104" s="17" t="e">
        <f t="shared" ca="1" si="9"/>
        <v>#N/A</v>
      </c>
      <c r="K104" s="17" t="e">
        <f t="shared" ca="1" si="9"/>
        <v>#N/A</v>
      </c>
      <c r="L104" s="17" t="e">
        <f t="shared" ca="1" si="9"/>
        <v>#N/A</v>
      </c>
      <c r="M104" s="17" t="e">
        <f t="shared" ca="1" si="9"/>
        <v>#N/A</v>
      </c>
      <c r="N104" s="17" t="e">
        <f t="shared" ca="1" si="9"/>
        <v>#N/A</v>
      </c>
      <c r="O104" s="17" t="e">
        <f t="shared" ca="1" si="9"/>
        <v>#N/A</v>
      </c>
      <c r="P104" s="17" t="e">
        <f t="shared" ca="1" si="9"/>
        <v>#N/A</v>
      </c>
      <c r="Q104" s="17" t="e">
        <f t="shared" ca="1" si="9"/>
        <v>#N/A</v>
      </c>
      <c r="R104" s="17" t="e">
        <f t="shared" ca="1" si="9"/>
        <v>#N/A</v>
      </c>
      <c r="S104" s="17" t="e">
        <f t="shared" ca="1" si="9"/>
        <v>#N/A</v>
      </c>
      <c r="T104" s="17" t="e">
        <f t="shared" ca="1" si="9"/>
        <v>#N/A</v>
      </c>
      <c r="U104" s="17" t="e">
        <f t="shared" ca="1" si="9"/>
        <v>#N/A</v>
      </c>
      <c r="V104" s="17" t="e">
        <f t="shared" ca="1" si="9"/>
        <v>#N/A</v>
      </c>
      <c r="W104" s="17" t="e">
        <f t="shared" ca="1" si="9"/>
        <v>#N/A</v>
      </c>
      <c r="X104" s="17" t="e">
        <f t="shared" ca="1" si="9"/>
        <v>#N/A</v>
      </c>
      <c r="Y104" s="17" t="e">
        <f t="shared" ca="1" si="9"/>
        <v>#N/A</v>
      </c>
      <c r="Z104" s="17" t="e">
        <f t="shared" ca="1" si="9"/>
        <v>#N/A</v>
      </c>
      <c r="AA104" s="17" t="e">
        <f t="shared" ca="1" si="9"/>
        <v>#N/A</v>
      </c>
      <c r="AB104" s="17" t="e">
        <f t="shared" ca="1" si="9"/>
        <v>#N/A</v>
      </c>
      <c r="AC104" s="17" t="e">
        <f t="shared" ca="1" si="9"/>
        <v>#N/A</v>
      </c>
      <c r="AD104" s="17" t="e">
        <f t="shared" ca="1" si="9"/>
        <v>#N/A</v>
      </c>
      <c r="AE104" s="17" t="e">
        <f t="shared" ca="1" si="9"/>
        <v>#N/A</v>
      </c>
      <c r="AF104" s="17" t="e">
        <f t="shared" ca="1" si="9"/>
        <v>#N/A</v>
      </c>
      <c r="AG104" s="17" t="e">
        <f t="shared" ca="1" si="9"/>
        <v>#N/A</v>
      </c>
      <c r="AH104" s="17" t="e">
        <f t="shared" ca="1" si="9"/>
        <v>#N/A</v>
      </c>
      <c r="AI104" s="17" t="e">
        <f t="shared" ca="1" si="9"/>
        <v>#N/A</v>
      </c>
      <c r="AJ104" s="17" t="e">
        <f t="shared" ca="1" si="9"/>
        <v>#N/A</v>
      </c>
      <c r="AK104" s="17" t="e">
        <f t="shared" ca="1" si="9"/>
        <v>#N/A</v>
      </c>
      <c r="AL104" s="17" t="e">
        <f t="shared" ca="1" si="9"/>
        <v>#N/A</v>
      </c>
      <c r="AM104" s="17" t="e">
        <f t="shared" ca="1" si="9"/>
        <v>#N/A</v>
      </c>
      <c r="AN104" s="17" t="e">
        <f t="shared" ca="1" si="9"/>
        <v>#N/A</v>
      </c>
      <c r="AO104" s="17" t="e">
        <f t="shared" ca="1" si="9"/>
        <v>#N/A</v>
      </c>
      <c r="AP104" s="17" t="e">
        <f t="shared" ca="1" si="9"/>
        <v>#N/A</v>
      </c>
      <c r="AQ104" s="17" t="e">
        <f t="shared" ca="1" si="9"/>
        <v>#N/A</v>
      </c>
      <c r="AR104" s="17" t="e">
        <f t="shared" ca="1" si="9"/>
        <v>#N/A</v>
      </c>
      <c r="AS104" s="17" t="e">
        <f t="shared" ca="1" si="9"/>
        <v>#N/A</v>
      </c>
      <c r="AT104" s="17" t="e">
        <f t="shared" ca="1" si="9"/>
        <v>#N/A</v>
      </c>
      <c r="AU104" s="17" t="e">
        <f t="shared" ca="1" si="9"/>
        <v>#N/A</v>
      </c>
      <c r="AV104" s="17" t="e">
        <f t="shared" ca="1" si="9"/>
        <v>#N/A</v>
      </c>
      <c r="AW104" s="17" t="e">
        <f t="shared" ca="1" si="9"/>
        <v>#N/A</v>
      </c>
      <c r="AX104" s="17" t="e">
        <f t="shared" ca="1" si="9"/>
        <v>#N/A</v>
      </c>
      <c r="AY104" s="17" t="e">
        <f t="shared" ca="1" si="9"/>
        <v>#N/A</v>
      </c>
      <c r="AZ104" s="17" t="e">
        <f t="shared" ca="1" si="9"/>
        <v>#N/A</v>
      </c>
      <c r="BA104" s="17" t="e">
        <f t="shared" ca="1" si="9"/>
        <v>#N/A</v>
      </c>
      <c r="BB104" s="17" t="e">
        <f t="shared" ca="1" si="9"/>
        <v>#N/A</v>
      </c>
      <c r="BC104" s="17" t="e">
        <f t="shared" ca="1" si="9"/>
        <v>#N/A</v>
      </c>
      <c r="BD104" s="17" t="e">
        <f t="shared" ca="1" si="9"/>
        <v>#N/A</v>
      </c>
      <c r="BE104" s="17" t="e">
        <f t="shared" ca="1" si="9"/>
        <v>#N/A</v>
      </c>
      <c r="BF104" s="17" t="e">
        <f t="shared" ca="1" si="9"/>
        <v>#N/A</v>
      </c>
      <c r="BG104" s="17" t="e">
        <f t="shared" ca="1" si="9"/>
        <v>#N/A</v>
      </c>
      <c r="BH104" s="17" t="e">
        <f t="shared" ca="1" si="9"/>
        <v>#N/A</v>
      </c>
      <c r="BI104" s="17" t="e">
        <f t="shared" ca="1" si="9"/>
        <v>#N/A</v>
      </c>
      <c r="BJ104" s="17" t="e">
        <f t="shared" ca="1" si="9"/>
        <v>#N/A</v>
      </c>
      <c r="BK104" s="17" t="e">
        <f t="shared" ca="1" si="9"/>
        <v>#N/A</v>
      </c>
      <c r="BL104" s="17" t="e">
        <f t="shared" ca="1" si="9"/>
        <v>#N/A</v>
      </c>
      <c r="BM104" s="17" t="e">
        <f t="shared" ca="1" si="9"/>
        <v>#N/A</v>
      </c>
      <c r="BN104" s="17" t="e">
        <f t="shared" ca="1" si="9"/>
        <v>#N/A</v>
      </c>
      <c r="BO104" s="17" t="e">
        <f t="shared" ca="1" si="9"/>
        <v>#N/A</v>
      </c>
      <c r="BP104" s="17" t="e">
        <f t="shared" ca="1" si="9"/>
        <v>#N/A</v>
      </c>
      <c r="BQ104" s="17" t="e">
        <f t="shared" ref="BQ104:BV104" ca="1" si="10">BQ44/$D104*100000</f>
        <v>#N/A</v>
      </c>
      <c r="BR104" s="17" t="e">
        <f t="shared" ca="1" si="10"/>
        <v>#N/A</v>
      </c>
      <c r="BS104" s="17" t="e">
        <f t="shared" ca="1" si="10"/>
        <v>#N/A</v>
      </c>
      <c r="BT104" s="17" t="e">
        <f t="shared" ca="1" si="10"/>
        <v>#N/A</v>
      </c>
      <c r="BU104" s="17" t="e">
        <f t="shared" ca="1" si="10"/>
        <v>#N/A</v>
      </c>
      <c r="BV104" s="17" t="e">
        <f t="shared" ca="1" si="10"/>
        <v>#N/A</v>
      </c>
    </row>
    <row r="105" spans="2:74" x14ac:dyDescent="0.25">
      <c r="B105">
        <f t="shared" si="7"/>
        <v>6</v>
      </c>
      <c r="C105" t="str">
        <f t="shared" ca="1" si="8"/>
        <v>Switzerland Appenzell Outer Rhodes</v>
      </c>
      <c r="D105" s="1">
        <f t="shared" ca="1" si="8"/>
        <v>55234</v>
      </c>
      <c r="E105" s="17" t="e">
        <f t="shared" ref="E105:BP105" ca="1" si="11">E45/$D105*100000</f>
        <v>#N/A</v>
      </c>
      <c r="F105" s="17" t="e">
        <f t="shared" ca="1" si="11"/>
        <v>#N/A</v>
      </c>
      <c r="G105" s="17" t="e">
        <f t="shared" ca="1" si="11"/>
        <v>#N/A</v>
      </c>
      <c r="H105" s="17" t="e">
        <f t="shared" ca="1" si="11"/>
        <v>#N/A</v>
      </c>
      <c r="I105" s="17" t="e">
        <f t="shared" ca="1" si="11"/>
        <v>#N/A</v>
      </c>
      <c r="J105" s="17" t="e">
        <f t="shared" ca="1" si="11"/>
        <v>#N/A</v>
      </c>
      <c r="K105" s="17" t="e">
        <f t="shared" ca="1" si="11"/>
        <v>#N/A</v>
      </c>
      <c r="L105" s="17" t="e">
        <f t="shared" ca="1" si="11"/>
        <v>#N/A</v>
      </c>
      <c r="M105" s="17" t="e">
        <f t="shared" ca="1" si="11"/>
        <v>#N/A</v>
      </c>
      <c r="N105" s="17" t="e">
        <f t="shared" ca="1" si="11"/>
        <v>#N/A</v>
      </c>
      <c r="O105" s="17" t="e">
        <f t="shared" ca="1" si="11"/>
        <v>#N/A</v>
      </c>
      <c r="P105" s="17" t="e">
        <f t="shared" ca="1" si="11"/>
        <v>#N/A</v>
      </c>
      <c r="Q105" s="17" t="e">
        <f t="shared" ca="1" si="11"/>
        <v>#N/A</v>
      </c>
      <c r="R105" s="17" t="e">
        <f t="shared" ca="1" si="11"/>
        <v>#N/A</v>
      </c>
      <c r="S105" s="17" t="e">
        <f t="shared" ca="1" si="11"/>
        <v>#N/A</v>
      </c>
      <c r="T105" s="17" t="e">
        <f t="shared" ca="1" si="11"/>
        <v>#N/A</v>
      </c>
      <c r="U105" s="17" t="e">
        <f t="shared" ca="1" si="11"/>
        <v>#N/A</v>
      </c>
      <c r="V105" s="17" t="e">
        <f t="shared" ca="1" si="11"/>
        <v>#N/A</v>
      </c>
      <c r="W105" s="17" t="e">
        <f t="shared" ca="1" si="11"/>
        <v>#N/A</v>
      </c>
      <c r="X105" s="17" t="e">
        <f t="shared" ca="1" si="11"/>
        <v>#N/A</v>
      </c>
      <c r="Y105" s="17" t="e">
        <f t="shared" ca="1" si="11"/>
        <v>#N/A</v>
      </c>
      <c r="Z105" s="17" t="e">
        <f t="shared" ca="1" si="11"/>
        <v>#N/A</v>
      </c>
      <c r="AA105" s="17" t="e">
        <f t="shared" ca="1" si="11"/>
        <v>#N/A</v>
      </c>
      <c r="AB105" s="17" t="e">
        <f t="shared" ca="1" si="11"/>
        <v>#N/A</v>
      </c>
      <c r="AC105" s="17" t="e">
        <f t="shared" ca="1" si="11"/>
        <v>#N/A</v>
      </c>
      <c r="AD105" s="17" t="e">
        <f t="shared" ca="1" si="11"/>
        <v>#N/A</v>
      </c>
      <c r="AE105" s="17" t="e">
        <f t="shared" ca="1" si="11"/>
        <v>#N/A</v>
      </c>
      <c r="AF105" s="17" t="e">
        <f t="shared" ca="1" si="11"/>
        <v>#N/A</v>
      </c>
      <c r="AG105" s="17" t="e">
        <f t="shared" ca="1" si="11"/>
        <v>#N/A</v>
      </c>
      <c r="AH105" s="17" t="e">
        <f t="shared" ca="1" si="11"/>
        <v>#N/A</v>
      </c>
      <c r="AI105" s="17" t="e">
        <f t="shared" ca="1" si="11"/>
        <v>#N/A</v>
      </c>
      <c r="AJ105" s="17" t="e">
        <f t="shared" ca="1" si="11"/>
        <v>#N/A</v>
      </c>
      <c r="AK105" s="17" t="e">
        <f t="shared" ca="1" si="11"/>
        <v>#N/A</v>
      </c>
      <c r="AL105" s="17" t="e">
        <f t="shared" ca="1" si="11"/>
        <v>#N/A</v>
      </c>
      <c r="AM105" s="17" t="e">
        <f t="shared" ca="1" si="11"/>
        <v>#N/A</v>
      </c>
      <c r="AN105" s="17" t="e">
        <f t="shared" ca="1" si="11"/>
        <v>#N/A</v>
      </c>
      <c r="AO105" s="17" t="e">
        <f t="shared" ca="1" si="11"/>
        <v>#N/A</v>
      </c>
      <c r="AP105" s="17" t="e">
        <f t="shared" ca="1" si="11"/>
        <v>#N/A</v>
      </c>
      <c r="AQ105" s="17" t="e">
        <f t="shared" ca="1" si="11"/>
        <v>#N/A</v>
      </c>
      <c r="AR105" s="17" t="e">
        <f t="shared" ca="1" si="11"/>
        <v>#N/A</v>
      </c>
      <c r="AS105" s="17" t="e">
        <f t="shared" ca="1" si="11"/>
        <v>#N/A</v>
      </c>
      <c r="AT105" s="17" t="e">
        <f t="shared" ca="1" si="11"/>
        <v>#N/A</v>
      </c>
      <c r="AU105" s="17" t="e">
        <f t="shared" ca="1" si="11"/>
        <v>#N/A</v>
      </c>
      <c r="AV105" s="17" t="e">
        <f t="shared" ca="1" si="11"/>
        <v>#N/A</v>
      </c>
      <c r="AW105" s="17" t="e">
        <f t="shared" ca="1" si="11"/>
        <v>#N/A</v>
      </c>
      <c r="AX105" s="17" t="e">
        <f t="shared" ca="1" si="11"/>
        <v>#N/A</v>
      </c>
      <c r="AY105" s="17" t="e">
        <f t="shared" ca="1" si="11"/>
        <v>#N/A</v>
      </c>
      <c r="AZ105" s="17" t="e">
        <f t="shared" ca="1" si="11"/>
        <v>#N/A</v>
      </c>
      <c r="BA105" s="17" t="e">
        <f t="shared" ca="1" si="11"/>
        <v>#N/A</v>
      </c>
      <c r="BB105" s="17" t="e">
        <f t="shared" ca="1" si="11"/>
        <v>#N/A</v>
      </c>
      <c r="BC105" s="17" t="e">
        <f t="shared" ca="1" si="11"/>
        <v>#N/A</v>
      </c>
      <c r="BD105" s="17" t="e">
        <f t="shared" ca="1" si="11"/>
        <v>#N/A</v>
      </c>
      <c r="BE105" s="17" t="e">
        <f t="shared" ca="1" si="11"/>
        <v>#N/A</v>
      </c>
      <c r="BF105" s="17" t="e">
        <f t="shared" ca="1" si="11"/>
        <v>#N/A</v>
      </c>
      <c r="BG105" s="17" t="e">
        <f t="shared" ca="1" si="11"/>
        <v>#N/A</v>
      </c>
      <c r="BH105" s="17" t="e">
        <f t="shared" ca="1" si="11"/>
        <v>#N/A</v>
      </c>
      <c r="BI105" s="17" t="e">
        <f t="shared" ca="1" si="11"/>
        <v>#N/A</v>
      </c>
      <c r="BJ105" s="17" t="e">
        <f t="shared" ca="1" si="11"/>
        <v>#N/A</v>
      </c>
      <c r="BK105" s="17" t="e">
        <f t="shared" ca="1" si="11"/>
        <v>#N/A</v>
      </c>
      <c r="BL105" s="17" t="e">
        <f t="shared" ca="1" si="11"/>
        <v>#N/A</v>
      </c>
      <c r="BM105" s="17" t="e">
        <f t="shared" ca="1" si="11"/>
        <v>#N/A</v>
      </c>
      <c r="BN105" s="17" t="e">
        <f t="shared" ca="1" si="11"/>
        <v>#N/A</v>
      </c>
      <c r="BO105" s="17" t="e">
        <f t="shared" ca="1" si="11"/>
        <v>#N/A</v>
      </c>
      <c r="BP105" s="17" t="e">
        <f t="shared" ca="1" si="11"/>
        <v>#N/A</v>
      </c>
      <c r="BQ105" s="17" t="e">
        <f t="shared" ref="BQ105:BV105" ca="1" si="12">BQ45/$D105*100000</f>
        <v>#N/A</v>
      </c>
      <c r="BR105" s="17" t="e">
        <f t="shared" ca="1" si="12"/>
        <v>#N/A</v>
      </c>
      <c r="BS105" s="17" t="e">
        <f t="shared" ca="1" si="12"/>
        <v>#N/A</v>
      </c>
      <c r="BT105" s="17" t="e">
        <f t="shared" ca="1" si="12"/>
        <v>#N/A</v>
      </c>
      <c r="BU105" s="17" t="e">
        <f t="shared" ca="1" si="12"/>
        <v>#N/A</v>
      </c>
      <c r="BV105" s="17" t="e">
        <f t="shared" ca="1" si="12"/>
        <v>#N/A</v>
      </c>
    </row>
    <row r="106" spans="2:74" x14ac:dyDescent="0.25">
      <c r="B106">
        <f t="shared" si="7"/>
        <v>7</v>
      </c>
      <c r="C106" t="str">
        <f t="shared" ca="1" si="8"/>
        <v>Switzerland Argovia</v>
      </c>
      <c r="D106" s="1">
        <f t="shared" ca="1" si="8"/>
        <v>677387</v>
      </c>
      <c r="E106" s="17">
        <f t="shared" ref="E106:BP106" ca="1" si="13">E46/$D106*100000</f>
        <v>7.6765571231806931</v>
      </c>
      <c r="F106" s="17">
        <f t="shared" ca="1" si="13"/>
        <v>9.890948601021277</v>
      </c>
      <c r="G106" s="17">
        <f t="shared" ca="1" si="13"/>
        <v>14.91023595079327</v>
      </c>
      <c r="H106" s="17">
        <f t="shared" ca="1" si="13"/>
        <v>17.419879625679265</v>
      </c>
      <c r="I106" s="17">
        <f t="shared" ca="1" si="13"/>
        <v>24.801184551814547</v>
      </c>
      <c r="J106" s="17">
        <f t="shared" ca="1" si="13"/>
        <v>24.801184551814547</v>
      </c>
      <c r="K106" s="17">
        <f t="shared" ca="1" si="13"/>
        <v>34.249254857267701</v>
      </c>
      <c r="L106" s="17">
        <f t="shared" ca="1" si="13"/>
        <v>35.577889743972058</v>
      </c>
      <c r="M106" s="17" t="e">
        <f t="shared" ca="1" si="13"/>
        <v>#N/A</v>
      </c>
      <c r="N106" s="17" t="e">
        <f t="shared" ca="1" si="13"/>
        <v>#N/A</v>
      </c>
      <c r="O106" s="17" t="e">
        <f t="shared" ca="1" si="13"/>
        <v>#N/A</v>
      </c>
      <c r="P106" s="17" t="e">
        <f t="shared" ca="1" si="13"/>
        <v>#N/A</v>
      </c>
      <c r="Q106" s="17" t="e">
        <f t="shared" ca="1" si="13"/>
        <v>#N/A</v>
      </c>
      <c r="R106" s="17" t="e">
        <f t="shared" ca="1" si="13"/>
        <v>#N/A</v>
      </c>
      <c r="S106" s="17" t="e">
        <f t="shared" ca="1" si="13"/>
        <v>#N/A</v>
      </c>
      <c r="T106" s="17" t="e">
        <f t="shared" ca="1" si="13"/>
        <v>#N/A</v>
      </c>
      <c r="U106" s="17" t="e">
        <f t="shared" ca="1" si="13"/>
        <v>#N/A</v>
      </c>
      <c r="V106" s="17" t="e">
        <f t="shared" ca="1" si="13"/>
        <v>#N/A</v>
      </c>
      <c r="W106" s="17" t="e">
        <f t="shared" ca="1" si="13"/>
        <v>#N/A</v>
      </c>
      <c r="X106" s="17" t="e">
        <f t="shared" ca="1" si="13"/>
        <v>#N/A</v>
      </c>
      <c r="Y106" s="17" t="e">
        <f t="shared" ca="1" si="13"/>
        <v>#N/A</v>
      </c>
      <c r="Z106" s="17" t="e">
        <f t="shared" ca="1" si="13"/>
        <v>#N/A</v>
      </c>
      <c r="AA106" s="17" t="e">
        <f t="shared" ca="1" si="13"/>
        <v>#N/A</v>
      </c>
      <c r="AB106" s="17" t="e">
        <f t="shared" ca="1" si="13"/>
        <v>#N/A</v>
      </c>
      <c r="AC106" s="17" t="e">
        <f t="shared" ca="1" si="13"/>
        <v>#N/A</v>
      </c>
      <c r="AD106" s="17" t="e">
        <f t="shared" ca="1" si="13"/>
        <v>#N/A</v>
      </c>
      <c r="AE106" s="17" t="e">
        <f t="shared" ca="1" si="13"/>
        <v>#N/A</v>
      </c>
      <c r="AF106" s="17" t="e">
        <f t="shared" ca="1" si="13"/>
        <v>#N/A</v>
      </c>
      <c r="AG106" s="17" t="e">
        <f t="shared" ca="1" si="13"/>
        <v>#N/A</v>
      </c>
      <c r="AH106" s="17" t="e">
        <f t="shared" ca="1" si="13"/>
        <v>#N/A</v>
      </c>
      <c r="AI106" s="17" t="e">
        <f t="shared" ca="1" si="13"/>
        <v>#N/A</v>
      </c>
      <c r="AJ106" s="17" t="e">
        <f t="shared" ca="1" si="13"/>
        <v>#N/A</v>
      </c>
      <c r="AK106" s="17" t="e">
        <f t="shared" ca="1" si="13"/>
        <v>#N/A</v>
      </c>
      <c r="AL106" s="17" t="e">
        <f t="shared" ca="1" si="13"/>
        <v>#N/A</v>
      </c>
      <c r="AM106" s="17" t="e">
        <f t="shared" ca="1" si="13"/>
        <v>#N/A</v>
      </c>
      <c r="AN106" s="17" t="e">
        <f t="shared" ca="1" si="13"/>
        <v>#N/A</v>
      </c>
      <c r="AO106" s="17" t="e">
        <f t="shared" ca="1" si="13"/>
        <v>#N/A</v>
      </c>
      <c r="AP106" s="17" t="e">
        <f t="shared" ca="1" si="13"/>
        <v>#N/A</v>
      </c>
      <c r="AQ106" s="17" t="e">
        <f t="shared" ca="1" si="13"/>
        <v>#N/A</v>
      </c>
      <c r="AR106" s="17" t="e">
        <f t="shared" ca="1" si="13"/>
        <v>#N/A</v>
      </c>
      <c r="AS106" s="17" t="e">
        <f t="shared" ca="1" si="13"/>
        <v>#N/A</v>
      </c>
      <c r="AT106" s="17" t="e">
        <f t="shared" ca="1" si="13"/>
        <v>#N/A</v>
      </c>
      <c r="AU106" s="17" t="e">
        <f t="shared" ca="1" si="13"/>
        <v>#N/A</v>
      </c>
      <c r="AV106" s="17" t="e">
        <f t="shared" ca="1" si="13"/>
        <v>#N/A</v>
      </c>
      <c r="AW106" s="17" t="e">
        <f t="shared" ca="1" si="13"/>
        <v>#N/A</v>
      </c>
      <c r="AX106" s="17" t="e">
        <f t="shared" ca="1" si="13"/>
        <v>#N/A</v>
      </c>
      <c r="AY106" s="17" t="e">
        <f t="shared" ca="1" si="13"/>
        <v>#N/A</v>
      </c>
      <c r="AZ106" s="17" t="e">
        <f t="shared" ca="1" si="13"/>
        <v>#N/A</v>
      </c>
      <c r="BA106" s="17" t="e">
        <f t="shared" ca="1" si="13"/>
        <v>#N/A</v>
      </c>
      <c r="BB106" s="17" t="e">
        <f t="shared" ca="1" si="13"/>
        <v>#N/A</v>
      </c>
      <c r="BC106" s="17" t="e">
        <f t="shared" ca="1" si="13"/>
        <v>#N/A</v>
      </c>
      <c r="BD106" s="17" t="e">
        <f t="shared" ca="1" si="13"/>
        <v>#N/A</v>
      </c>
      <c r="BE106" s="17" t="e">
        <f t="shared" ca="1" si="13"/>
        <v>#N/A</v>
      </c>
      <c r="BF106" s="17" t="e">
        <f t="shared" ca="1" si="13"/>
        <v>#N/A</v>
      </c>
      <c r="BG106" s="17" t="e">
        <f t="shared" ca="1" si="13"/>
        <v>#N/A</v>
      </c>
      <c r="BH106" s="17" t="e">
        <f t="shared" ca="1" si="13"/>
        <v>#N/A</v>
      </c>
      <c r="BI106" s="17" t="e">
        <f t="shared" ca="1" si="13"/>
        <v>#N/A</v>
      </c>
      <c r="BJ106" s="17" t="e">
        <f t="shared" ca="1" si="13"/>
        <v>#N/A</v>
      </c>
      <c r="BK106" s="17" t="e">
        <f t="shared" ca="1" si="13"/>
        <v>#N/A</v>
      </c>
      <c r="BL106" s="17" t="e">
        <f t="shared" ca="1" si="13"/>
        <v>#N/A</v>
      </c>
      <c r="BM106" s="17" t="e">
        <f t="shared" ca="1" si="13"/>
        <v>#N/A</v>
      </c>
      <c r="BN106" s="17" t="e">
        <f t="shared" ca="1" si="13"/>
        <v>#N/A</v>
      </c>
      <c r="BO106" s="17" t="e">
        <f t="shared" ca="1" si="13"/>
        <v>#N/A</v>
      </c>
      <c r="BP106" s="17" t="e">
        <f t="shared" ca="1" si="13"/>
        <v>#N/A</v>
      </c>
      <c r="BQ106" s="17" t="e">
        <f t="shared" ref="BQ106:BV106" ca="1" si="14">BQ46/$D106*100000</f>
        <v>#N/A</v>
      </c>
      <c r="BR106" s="17" t="e">
        <f t="shared" ca="1" si="14"/>
        <v>#N/A</v>
      </c>
      <c r="BS106" s="17" t="e">
        <f t="shared" ca="1" si="14"/>
        <v>#N/A</v>
      </c>
      <c r="BT106" s="17" t="e">
        <f t="shared" ca="1" si="14"/>
        <v>#N/A</v>
      </c>
      <c r="BU106" s="17" t="e">
        <f t="shared" ca="1" si="14"/>
        <v>#N/A</v>
      </c>
      <c r="BV106" s="17" t="e">
        <f t="shared" ca="1" si="14"/>
        <v>#N/A</v>
      </c>
    </row>
    <row r="107" spans="2:74" x14ac:dyDescent="0.25">
      <c r="B107">
        <f t="shared" si="7"/>
        <v>8</v>
      </c>
      <c r="C107" t="str">
        <f t="shared" ca="1" si="8"/>
        <v>Switzerland Basel City</v>
      </c>
      <c r="D107" s="1">
        <f t="shared" ca="1" si="8"/>
        <v>194766</v>
      </c>
      <c r="E107" s="17">
        <f t="shared" ref="E107:BP107" ca="1" si="15">E47/$D107*100000</f>
        <v>37.48087448527977</v>
      </c>
      <c r="F107" s="17">
        <f t="shared" ca="1" si="15"/>
        <v>47.236170584188201</v>
      </c>
      <c r="G107" s="17">
        <f t="shared" ca="1" si="15"/>
        <v>51.343663678465447</v>
      </c>
      <c r="H107" s="17">
        <f t="shared" ca="1" si="15"/>
        <v>51.343663678465447</v>
      </c>
      <c r="I107" s="17">
        <f t="shared" ca="1" si="15"/>
        <v>73.934875696990233</v>
      </c>
      <c r="J107" s="17">
        <f t="shared" ca="1" si="15"/>
        <v>84.717045069467972</v>
      </c>
      <c r="K107" s="17">
        <f t="shared" ca="1" si="15"/>
        <v>93.445467894807095</v>
      </c>
      <c r="L107" s="17">
        <f t="shared" ca="1" si="15"/>
        <v>113.98293336619327</v>
      </c>
      <c r="M107" s="17">
        <f t="shared" ca="1" si="15"/>
        <v>139.654765205426</v>
      </c>
      <c r="N107" s="17">
        <f t="shared" ca="1" si="15"/>
        <v>153.51755439861168</v>
      </c>
      <c r="O107" s="17">
        <f t="shared" ca="1" si="15"/>
        <v>183.81031596890628</v>
      </c>
      <c r="P107" s="17">
        <f t="shared" ca="1" si="15"/>
        <v>193.05217543103007</v>
      </c>
      <c r="Q107" s="17" t="e">
        <f t="shared" ca="1" si="15"/>
        <v>#N/A</v>
      </c>
      <c r="R107" s="17" t="e">
        <f t="shared" ca="1" si="15"/>
        <v>#N/A</v>
      </c>
      <c r="S107" s="17" t="e">
        <f t="shared" ca="1" si="15"/>
        <v>#N/A</v>
      </c>
      <c r="T107" s="17" t="e">
        <f t="shared" ca="1" si="15"/>
        <v>#N/A</v>
      </c>
      <c r="U107" s="17" t="e">
        <f t="shared" ca="1" si="15"/>
        <v>#N/A</v>
      </c>
      <c r="V107" s="17" t="e">
        <f t="shared" ca="1" si="15"/>
        <v>#N/A</v>
      </c>
      <c r="W107" s="17" t="e">
        <f t="shared" ca="1" si="15"/>
        <v>#N/A</v>
      </c>
      <c r="X107" s="17" t="e">
        <f t="shared" ca="1" si="15"/>
        <v>#N/A</v>
      </c>
      <c r="Y107" s="17" t="e">
        <f t="shared" ca="1" si="15"/>
        <v>#N/A</v>
      </c>
      <c r="Z107" s="17" t="e">
        <f t="shared" ca="1" si="15"/>
        <v>#N/A</v>
      </c>
      <c r="AA107" s="17" t="e">
        <f t="shared" ca="1" si="15"/>
        <v>#N/A</v>
      </c>
      <c r="AB107" s="17" t="e">
        <f t="shared" ca="1" si="15"/>
        <v>#N/A</v>
      </c>
      <c r="AC107" s="17" t="e">
        <f t="shared" ca="1" si="15"/>
        <v>#N/A</v>
      </c>
      <c r="AD107" s="17" t="e">
        <f t="shared" ca="1" si="15"/>
        <v>#N/A</v>
      </c>
      <c r="AE107" s="17" t="e">
        <f t="shared" ca="1" si="15"/>
        <v>#N/A</v>
      </c>
      <c r="AF107" s="17" t="e">
        <f t="shared" ca="1" si="15"/>
        <v>#N/A</v>
      </c>
      <c r="AG107" s="17" t="e">
        <f t="shared" ca="1" si="15"/>
        <v>#N/A</v>
      </c>
      <c r="AH107" s="17" t="e">
        <f t="shared" ca="1" si="15"/>
        <v>#N/A</v>
      </c>
      <c r="AI107" s="17" t="e">
        <f t="shared" ca="1" si="15"/>
        <v>#N/A</v>
      </c>
      <c r="AJ107" s="17" t="e">
        <f t="shared" ca="1" si="15"/>
        <v>#N/A</v>
      </c>
      <c r="AK107" s="17" t="e">
        <f t="shared" ca="1" si="15"/>
        <v>#N/A</v>
      </c>
      <c r="AL107" s="17" t="e">
        <f t="shared" ca="1" si="15"/>
        <v>#N/A</v>
      </c>
      <c r="AM107" s="17" t="e">
        <f t="shared" ca="1" si="15"/>
        <v>#N/A</v>
      </c>
      <c r="AN107" s="17" t="e">
        <f t="shared" ca="1" si="15"/>
        <v>#N/A</v>
      </c>
      <c r="AO107" s="17" t="e">
        <f t="shared" ca="1" si="15"/>
        <v>#N/A</v>
      </c>
      <c r="AP107" s="17" t="e">
        <f t="shared" ca="1" si="15"/>
        <v>#N/A</v>
      </c>
      <c r="AQ107" s="17" t="e">
        <f t="shared" ca="1" si="15"/>
        <v>#N/A</v>
      </c>
      <c r="AR107" s="17" t="e">
        <f t="shared" ca="1" si="15"/>
        <v>#N/A</v>
      </c>
      <c r="AS107" s="17" t="e">
        <f t="shared" ca="1" si="15"/>
        <v>#N/A</v>
      </c>
      <c r="AT107" s="17" t="e">
        <f t="shared" ca="1" si="15"/>
        <v>#N/A</v>
      </c>
      <c r="AU107" s="17" t="e">
        <f t="shared" ca="1" si="15"/>
        <v>#N/A</v>
      </c>
      <c r="AV107" s="17" t="e">
        <f t="shared" ca="1" si="15"/>
        <v>#N/A</v>
      </c>
      <c r="AW107" s="17" t="e">
        <f t="shared" ca="1" si="15"/>
        <v>#N/A</v>
      </c>
      <c r="AX107" s="17" t="e">
        <f t="shared" ca="1" si="15"/>
        <v>#N/A</v>
      </c>
      <c r="AY107" s="17" t="e">
        <f t="shared" ca="1" si="15"/>
        <v>#N/A</v>
      </c>
      <c r="AZ107" s="17" t="e">
        <f t="shared" ca="1" si="15"/>
        <v>#N/A</v>
      </c>
      <c r="BA107" s="17" t="e">
        <f t="shared" ca="1" si="15"/>
        <v>#N/A</v>
      </c>
      <c r="BB107" s="17" t="e">
        <f t="shared" ca="1" si="15"/>
        <v>#N/A</v>
      </c>
      <c r="BC107" s="17" t="e">
        <f t="shared" ca="1" si="15"/>
        <v>#N/A</v>
      </c>
      <c r="BD107" s="17" t="e">
        <f t="shared" ca="1" si="15"/>
        <v>#N/A</v>
      </c>
      <c r="BE107" s="17" t="e">
        <f t="shared" ca="1" si="15"/>
        <v>#N/A</v>
      </c>
      <c r="BF107" s="17" t="e">
        <f t="shared" ca="1" si="15"/>
        <v>#N/A</v>
      </c>
      <c r="BG107" s="17" t="e">
        <f t="shared" ca="1" si="15"/>
        <v>#N/A</v>
      </c>
      <c r="BH107" s="17" t="e">
        <f t="shared" ca="1" si="15"/>
        <v>#N/A</v>
      </c>
      <c r="BI107" s="17" t="e">
        <f t="shared" ca="1" si="15"/>
        <v>#N/A</v>
      </c>
      <c r="BJ107" s="17" t="e">
        <f t="shared" ca="1" si="15"/>
        <v>#N/A</v>
      </c>
      <c r="BK107" s="17" t="e">
        <f t="shared" ca="1" si="15"/>
        <v>#N/A</v>
      </c>
      <c r="BL107" s="17" t="e">
        <f t="shared" ca="1" si="15"/>
        <v>#N/A</v>
      </c>
      <c r="BM107" s="17" t="e">
        <f t="shared" ca="1" si="15"/>
        <v>#N/A</v>
      </c>
      <c r="BN107" s="17" t="e">
        <f t="shared" ca="1" si="15"/>
        <v>#N/A</v>
      </c>
      <c r="BO107" s="17" t="e">
        <f t="shared" ca="1" si="15"/>
        <v>#N/A</v>
      </c>
      <c r="BP107" s="17" t="e">
        <f t="shared" ca="1" si="15"/>
        <v>#N/A</v>
      </c>
      <c r="BQ107" s="17" t="e">
        <f t="shared" ref="BQ107:BV107" ca="1" si="16">BQ47/$D107*100000</f>
        <v>#N/A</v>
      </c>
      <c r="BR107" s="17" t="e">
        <f t="shared" ca="1" si="16"/>
        <v>#N/A</v>
      </c>
      <c r="BS107" s="17" t="e">
        <f t="shared" ca="1" si="16"/>
        <v>#N/A</v>
      </c>
      <c r="BT107" s="17" t="e">
        <f t="shared" ca="1" si="16"/>
        <v>#N/A</v>
      </c>
      <c r="BU107" s="17" t="e">
        <f t="shared" ca="1" si="16"/>
        <v>#N/A</v>
      </c>
      <c r="BV107" s="17" t="e">
        <f t="shared" ca="1" si="16"/>
        <v>#N/A</v>
      </c>
    </row>
    <row r="108" spans="2:74" x14ac:dyDescent="0.25">
      <c r="B108">
        <f t="shared" si="7"/>
        <v>9</v>
      </c>
      <c r="C108" t="str">
        <f t="shared" ca="1" si="8"/>
        <v>Switzerland Basel Country</v>
      </c>
      <c r="D108" s="1">
        <f t="shared" ca="1" si="8"/>
        <v>288132</v>
      </c>
      <c r="E108" s="17">
        <f t="shared" ref="E108:BP108" ca="1" si="17">E48/$D108*100000</f>
        <v>18.741410186997626</v>
      </c>
      <c r="F108" s="17">
        <f t="shared" ca="1" si="17"/>
        <v>26.376799522441107</v>
      </c>
      <c r="G108" s="17">
        <f t="shared" ca="1" si="17"/>
        <v>30.888620493384977</v>
      </c>
      <c r="H108" s="17">
        <f t="shared" ca="1" si="17"/>
        <v>40.25932558688379</v>
      </c>
      <c r="I108" s="17">
        <f t="shared" ca="1" si="17"/>
        <v>46.506462315882999</v>
      </c>
      <c r="J108" s="17">
        <f t="shared" ca="1" si="17"/>
        <v>63.859619896436364</v>
      </c>
      <c r="K108" s="17">
        <f t="shared" ca="1" si="17"/>
        <v>97.871808754320938</v>
      </c>
      <c r="L108" s="17">
        <f t="shared" ca="1" si="17"/>
        <v>100.30125081559841</v>
      </c>
      <c r="M108" s="17">
        <f t="shared" ca="1" si="17"/>
        <v>104.81307178654227</v>
      </c>
      <c r="N108" s="17" t="e">
        <f t="shared" ca="1" si="17"/>
        <v>#N/A</v>
      </c>
      <c r="O108" s="17" t="e">
        <f t="shared" ca="1" si="17"/>
        <v>#N/A</v>
      </c>
      <c r="P108" s="17" t="e">
        <f t="shared" ca="1" si="17"/>
        <v>#N/A</v>
      </c>
      <c r="Q108" s="17" t="e">
        <f t="shared" ca="1" si="17"/>
        <v>#N/A</v>
      </c>
      <c r="R108" s="17" t="e">
        <f t="shared" ca="1" si="17"/>
        <v>#N/A</v>
      </c>
      <c r="S108" s="17" t="e">
        <f t="shared" ca="1" si="17"/>
        <v>#N/A</v>
      </c>
      <c r="T108" s="17" t="e">
        <f t="shared" ca="1" si="17"/>
        <v>#N/A</v>
      </c>
      <c r="U108" s="17" t="e">
        <f t="shared" ca="1" si="17"/>
        <v>#N/A</v>
      </c>
      <c r="V108" s="17" t="e">
        <f t="shared" ca="1" si="17"/>
        <v>#N/A</v>
      </c>
      <c r="W108" s="17" t="e">
        <f t="shared" ca="1" si="17"/>
        <v>#N/A</v>
      </c>
      <c r="X108" s="17" t="e">
        <f t="shared" ca="1" si="17"/>
        <v>#N/A</v>
      </c>
      <c r="Y108" s="17" t="e">
        <f t="shared" ca="1" si="17"/>
        <v>#N/A</v>
      </c>
      <c r="Z108" s="17" t="e">
        <f t="shared" ca="1" si="17"/>
        <v>#N/A</v>
      </c>
      <c r="AA108" s="17" t="e">
        <f t="shared" ca="1" si="17"/>
        <v>#N/A</v>
      </c>
      <c r="AB108" s="17" t="e">
        <f t="shared" ca="1" si="17"/>
        <v>#N/A</v>
      </c>
      <c r="AC108" s="17" t="e">
        <f t="shared" ca="1" si="17"/>
        <v>#N/A</v>
      </c>
      <c r="AD108" s="17" t="e">
        <f t="shared" ca="1" si="17"/>
        <v>#N/A</v>
      </c>
      <c r="AE108" s="17" t="e">
        <f t="shared" ca="1" si="17"/>
        <v>#N/A</v>
      </c>
      <c r="AF108" s="17" t="e">
        <f t="shared" ca="1" si="17"/>
        <v>#N/A</v>
      </c>
      <c r="AG108" s="17" t="e">
        <f t="shared" ca="1" si="17"/>
        <v>#N/A</v>
      </c>
      <c r="AH108" s="17" t="e">
        <f t="shared" ca="1" si="17"/>
        <v>#N/A</v>
      </c>
      <c r="AI108" s="17" t="e">
        <f t="shared" ca="1" si="17"/>
        <v>#N/A</v>
      </c>
      <c r="AJ108" s="17" t="e">
        <f t="shared" ca="1" si="17"/>
        <v>#N/A</v>
      </c>
      <c r="AK108" s="17" t="e">
        <f t="shared" ca="1" si="17"/>
        <v>#N/A</v>
      </c>
      <c r="AL108" s="17" t="e">
        <f t="shared" ca="1" si="17"/>
        <v>#N/A</v>
      </c>
      <c r="AM108" s="17" t="e">
        <f t="shared" ca="1" si="17"/>
        <v>#N/A</v>
      </c>
      <c r="AN108" s="17" t="e">
        <f t="shared" ca="1" si="17"/>
        <v>#N/A</v>
      </c>
      <c r="AO108" s="17" t="e">
        <f t="shared" ca="1" si="17"/>
        <v>#N/A</v>
      </c>
      <c r="AP108" s="17" t="e">
        <f t="shared" ca="1" si="17"/>
        <v>#N/A</v>
      </c>
      <c r="AQ108" s="17" t="e">
        <f t="shared" ca="1" si="17"/>
        <v>#N/A</v>
      </c>
      <c r="AR108" s="17" t="e">
        <f t="shared" ca="1" si="17"/>
        <v>#N/A</v>
      </c>
      <c r="AS108" s="17" t="e">
        <f t="shared" ca="1" si="17"/>
        <v>#N/A</v>
      </c>
      <c r="AT108" s="17" t="e">
        <f t="shared" ca="1" si="17"/>
        <v>#N/A</v>
      </c>
      <c r="AU108" s="17" t="e">
        <f t="shared" ca="1" si="17"/>
        <v>#N/A</v>
      </c>
      <c r="AV108" s="17" t="e">
        <f t="shared" ca="1" si="17"/>
        <v>#N/A</v>
      </c>
      <c r="AW108" s="17" t="e">
        <f t="shared" ca="1" si="17"/>
        <v>#N/A</v>
      </c>
      <c r="AX108" s="17" t="e">
        <f t="shared" ca="1" si="17"/>
        <v>#N/A</v>
      </c>
      <c r="AY108" s="17" t="e">
        <f t="shared" ca="1" si="17"/>
        <v>#N/A</v>
      </c>
      <c r="AZ108" s="17" t="e">
        <f t="shared" ca="1" si="17"/>
        <v>#N/A</v>
      </c>
      <c r="BA108" s="17" t="e">
        <f t="shared" ca="1" si="17"/>
        <v>#N/A</v>
      </c>
      <c r="BB108" s="17" t="e">
        <f t="shared" ca="1" si="17"/>
        <v>#N/A</v>
      </c>
      <c r="BC108" s="17" t="e">
        <f t="shared" ca="1" si="17"/>
        <v>#N/A</v>
      </c>
      <c r="BD108" s="17" t="e">
        <f t="shared" ca="1" si="17"/>
        <v>#N/A</v>
      </c>
      <c r="BE108" s="17" t="e">
        <f t="shared" ca="1" si="17"/>
        <v>#N/A</v>
      </c>
      <c r="BF108" s="17" t="e">
        <f t="shared" ca="1" si="17"/>
        <v>#N/A</v>
      </c>
      <c r="BG108" s="17" t="e">
        <f t="shared" ca="1" si="17"/>
        <v>#N/A</v>
      </c>
      <c r="BH108" s="17" t="e">
        <f t="shared" ca="1" si="17"/>
        <v>#N/A</v>
      </c>
      <c r="BI108" s="17" t="e">
        <f t="shared" ca="1" si="17"/>
        <v>#N/A</v>
      </c>
      <c r="BJ108" s="17" t="e">
        <f t="shared" ca="1" si="17"/>
        <v>#N/A</v>
      </c>
      <c r="BK108" s="17" t="e">
        <f t="shared" ca="1" si="17"/>
        <v>#N/A</v>
      </c>
      <c r="BL108" s="17" t="e">
        <f t="shared" ca="1" si="17"/>
        <v>#N/A</v>
      </c>
      <c r="BM108" s="17" t="e">
        <f t="shared" ca="1" si="17"/>
        <v>#N/A</v>
      </c>
      <c r="BN108" s="17" t="e">
        <f t="shared" ca="1" si="17"/>
        <v>#N/A</v>
      </c>
      <c r="BO108" s="17" t="e">
        <f t="shared" ca="1" si="17"/>
        <v>#N/A</v>
      </c>
      <c r="BP108" s="17" t="e">
        <f t="shared" ca="1" si="17"/>
        <v>#N/A</v>
      </c>
      <c r="BQ108" s="17" t="e">
        <f t="shared" ref="BQ108:BV108" ca="1" si="18">BQ48/$D108*100000</f>
        <v>#N/A</v>
      </c>
      <c r="BR108" s="17" t="e">
        <f t="shared" ca="1" si="18"/>
        <v>#N/A</v>
      </c>
      <c r="BS108" s="17" t="e">
        <f t="shared" ca="1" si="18"/>
        <v>#N/A</v>
      </c>
      <c r="BT108" s="17" t="e">
        <f t="shared" ca="1" si="18"/>
        <v>#N/A</v>
      </c>
      <c r="BU108" s="17" t="e">
        <f t="shared" ca="1" si="18"/>
        <v>#N/A</v>
      </c>
      <c r="BV108" s="17" t="e">
        <f t="shared" ca="1" si="18"/>
        <v>#N/A</v>
      </c>
    </row>
    <row r="109" spans="2:74" x14ac:dyDescent="0.25">
      <c r="B109">
        <f t="shared" si="7"/>
        <v>10</v>
      </c>
      <c r="C109" t="str">
        <f t="shared" ca="1" si="8"/>
        <v>Switzerland Berne</v>
      </c>
      <c r="D109" s="1">
        <f t="shared" ca="1" si="8"/>
        <v>1034977</v>
      </c>
      <c r="E109" s="17">
        <f t="shared" ref="E109:BP109" ca="1" si="19">E49/$D109*100000</f>
        <v>11.884322067060427</v>
      </c>
      <c r="F109" s="17">
        <f t="shared" ca="1" si="19"/>
        <v>11.884322067060427</v>
      </c>
      <c r="G109" s="17">
        <f t="shared" ca="1" si="19"/>
        <v>18.647757389777745</v>
      </c>
      <c r="H109" s="17">
        <f t="shared" ca="1" si="19"/>
        <v>27.246982300089758</v>
      </c>
      <c r="I109" s="17">
        <f t="shared" ca="1" si="19"/>
        <v>36.425930238063259</v>
      </c>
      <c r="J109" s="17">
        <f t="shared" ca="1" si="19"/>
        <v>40.387370927083403</v>
      </c>
      <c r="K109" s="17">
        <f t="shared" ca="1" si="19"/>
        <v>40.387370927083403</v>
      </c>
      <c r="L109" s="17">
        <f t="shared" ca="1" si="19"/>
        <v>45.41163716681627</v>
      </c>
      <c r="M109" s="17" t="e">
        <f t="shared" ca="1" si="19"/>
        <v>#N/A</v>
      </c>
      <c r="N109" s="17" t="e">
        <f t="shared" ca="1" si="19"/>
        <v>#N/A</v>
      </c>
      <c r="O109" s="17" t="e">
        <f t="shared" ca="1" si="19"/>
        <v>#N/A</v>
      </c>
      <c r="P109" s="17" t="e">
        <f t="shared" ca="1" si="19"/>
        <v>#N/A</v>
      </c>
      <c r="Q109" s="17" t="e">
        <f t="shared" ca="1" si="19"/>
        <v>#N/A</v>
      </c>
      <c r="R109" s="17" t="e">
        <f t="shared" ca="1" si="19"/>
        <v>#N/A</v>
      </c>
      <c r="S109" s="17" t="e">
        <f t="shared" ca="1" si="19"/>
        <v>#N/A</v>
      </c>
      <c r="T109" s="17" t="e">
        <f t="shared" ca="1" si="19"/>
        <v>#N/A</v>
      </c>
      <c r="U109" s="17" t="e">
        <f t="shared" ca="1" si="19"/>
        <v>#N/A</v>
      </c>
      <c r="V109" s="17" t="e">
        <f t="shared" ca="1" si="19"/>
        <v>#N/A</v>
      </c>
      <c r="W109" s="17" t="e">
        <f t="shared" ca="1" si="19"/>
        <v>#N/A</v>
      </c>
      <c r="X109" s="17" t="e">
        <f t="shared" ca="1" si="19"/>
        <v>#N/A</v>
      </c>
      <c r="Y109" s="17" t="e">
        <f t="shared" ca="1" si="19"/>
        <v>#N/A</v>
      </c>
      <c r="Z109" s="17" t="e">
        <f t="shared" ca="1" si="19"/>
        <v>#N/A</v>
      </c>
      <c r="AA109" s="17" t="e">
        <f t="shared" ca="1" si="19"/>
        <v>#N/A</v>
      </c>
      <c r="AB109" s="17" t="e">
        <f t="shared" ca="1" si="19"/>
        <v>#N/A</v>
      </c>
      <c r="AC109" s="17" t="e">
        <f t="shared" ca="1" si="19"/>
        <v>#N/A</v>
      </c>
      <c r="AD109" s="17" t="e">
        <f t="shared" ca="1" si="19"/>
        <v>#N/A</v>
      </c>
      <c r="AE109" s="17" t="e">
        <f t="shared" ca="1" si="19"/>
        <v>#N/A</v>
      </c>
      <c r="AF109" s="17" t="e">
        <f t="shared" ca="1" si="19"/>
        <v>#N/A</v>
      </c>
      <c r="AG109" s="17" t="e">
        <f t="shared" ca="1" si="19"/>
        <v>#N/A</v>
      </c>
      <c r="AH109" s="17" t="e">
        <f t="shared" ca="1" si="19"/>
        <v>#N/A</v>
      </c>
      <c r="AI109" s="17" t="e">
        <f t="shared" ca="1" si="19"/>
        <v>#N/A</v>
      </c>
      <c r="AJ109" s="17" t="e">
        <f t="shared" ca="1" si="19"/>
        <v>#N/A</v>
      </c>
      <c r="AK109" s="17" t="e">
        <f t="shared" ca="1" si="19"/>
        <v>#N/A</v>
      </c>
      <c r="AL109" s="17" t="e">
        <f t="shared" ca="1" si="19"/>
        <v>#N/A</v>
      </c>
      <c r="AM109" s="17" t="e">
        <f t="shared" ca="1" si="19"/>
        <v>#N/A</v>
      </c>
      <c r="AN109" s="17" t="e">
        <f t="shared" ca="1" si="19"/>
        <v>#N/A</v>
      </c>
      <c r="AO109" s="17" t="e">
        <f t="shared" ca="1" si="19"/>
        <v>#N/A</v>
      </c>
      <c r="AP109" s="17" t="e">
        <f t="shared" ca="1" si="19"/>
        <v>#N/A</v>
      </c>
      <c r="AQ109" s="17" t="e">
        <f t="shared" ca="1" si="19"/>
        <v>#N/A</v>
      </c>
      <c r="AR109" s="17" t="e">
        <f t="shared" ca="1" si="19"/>
        <v>#N/A</v>
      </c>
      <c r="AS109" s="17" t="e">
        <f t="shared" ca="1" si="19"/>
        <v>#N/A</v>
      </c>
      <c r="AT109" s="17" t="e">
        <f t="shared" ca="1" si="19"/>
        <v>#N/A</v>
      </c>
      <c r="AU109" s="17" t="e">
        <f t="shared" ca="1" si="19"/>
        <v>#N/A</v>
      </c>
      <c r="AV109" s="17" t="e">
        <f t="shared" ca="1" si="19"/>
        <v>#N/A</v>
      </c>
      <c r="AW109" s="17" t="e">
        <f t="shared" ca="1" si="19"/>
        <v>#N/A</v>
      </c>
      <c r="AX109" s="17" t="e">
        <f t="shared" ca="1" si="19"/>
        <v>#N/A</v>
      </c>
      <c r="AY109" s="17" t="e">
        <f t="shared" ca="1" si="19"/>
        <v>#N/A</v>
      </c>
      <c r="AZ109" s="17" t="e">
        <f t="shared" ca="1" si="19"/>
        <v>#N/A</v>
      </c>
      <c r="BA109" s="17" t="e">
        <f t="shared" ca="1" si="19"/>
        <v>#N/A</v>
      </c>
      <c r="BB109" s="17" t="e">
        <f t="shared" ca="1" si="19"/>
        <v>#N/A</v>
      </c>
      <c r="BC109" s="17" t="e">
        <f t="shared" ca="1" si="19"/>
        <v>#N/A</v>
      </c>
      <c r="BD109" s="17" t="e">
        <f t="shared" ca="1" si="19"/>
        <v>#N/A</v>
      </c>
      <c r="BE109" s="17" t="e">
        <f t="shared" ca="1" si="19"/>
        <v>#N/A</v>
      </c>
      <c r="BF109" s="17" t="e">
        <f t="shared" ca="1" si="19"/>
        <v>#N/A</v>
      </c>
      <c r="BG109" s="17" t="e">
        <f t="shared" ca="1" si="19"/>
        <v>#N/A</v>
      </c>
      <c r="BH109" s="17" t="e">
        <f t="shared" ca="1" si="19"/>
        <v>#N/A</v>
      </c>
      <c r="BI109" s="17" t="e">
        <f t="shared" ca="1" si="19"/>
        <v>#N/A</v>
      </c>
      <c r="BJ109" s="17" t="e">
        <f t="shared" ca="1" si="19"/>
        <v>#N/A</v>
      </c>
      <c r="BK109" s="17" t="e">
        <f t="shared" ca="1" si="19"/>
        <v>#N/A</v>
      </c>
      <c r="BL109" s="17" t="e">
        <f t="shared" ca="1" si="19"/>
        <v>#N/A</v>
      </c>
      <c r="BM109" s="17" t="e">
        <f t="shared" ca="1" si="19"/>
        <v>#N/A</v>
      </c>
      <c r="BN109" s="17" t="e">
        <f t="shared" ca="1" si="19"/>
        <v>#N/A</v>
      </c>
      <c r="BO109" s="17" t="e">
        <f t="shared" ca="1" si="19"/>
        <v>#N/A</v>
      </c>
      <c r="BP109" s="17" t="e">
        <f t="shared" ca="1" si="19"/>
        <v>#N/A</v>
      </c>
      <c r="BQ109" s="17" t="e">
        <f t="shared" ref="BQ109:BV109" ca="1" si="20">BQ49/$D109*100000</f>
        <v>#N/A</v>
      </c>
      <c r="BR109" s="17" t="e">
        <f t="shared" ca="1" si="20"/>
        <v>#N/A</v>
      </c>
      <c r="BS109" s="17" t="e">
        <f t="shared" ca="1" si="20"/>
        <v>#N/A</v>
      </c>
      <c r="BT109" s="17" t="e">
        <f t="shared" ca="1" si="20"/>
        <v>#N/A</v>
      </c>
      <c r="BU109" s="17" t="e">
        <f t="shared" ca="1" si="20"/>
        <v>#N/A</v>
      </c>
      <c r="BV109" s="17" t="e">
        <f t="shared" ca="1" si="20"/>
        <v>#N/A</v>
      </c>
    </row>
    <row r="110" spans="2:74" x14ac:dyDescent="0.25">
      <c r="B110">
        <f t="shared" si="7"/>
        <v>11</v>
      </c>
      <c r="C110" t="str">
        <f t="shared" ca="1" si="8"/>
        <v>Switzerland Friborg</v>
      </c>
      <c r="D110" s="1">
        <f t="shared" ca="1" si="8"/>
        <v>318714</v>
      </c>
      <c r="E110" s="17" t="e">
        <f t="shared" ref="E110:BP110" ca="1" si="21">E50/$D110*100000</f>
        <v>#N/A</v>
      </c>
      <c r="F110" s="17" t="e">
        <f t="shared" ca="1" si="21"/>
        <v>#N/A</v>
      </c>
      <c r="G110" s="17" t="e">
        <f t="shared" ca="1" si="21"/>
        <v>#N/A</v>
      </c>
      <c r="H110" s="17" t="e">
        <f t="shared" ca="1" si="21"/>
        <v>#N/A</v>
      </c>
      <c r="I110" s="17" t="e">
        <f t="shared" ca="1" si="21"/>
        <v>#N/A</v>
      </c>
      <c r="J110" s="17" t="e">
        <f t="shared" ca="1" si="21"/>
        <v>#N/A</v>
      </c>
      <c r="K110" s="17" t="e">
        <f t="shared" ca="1" si="21"/>
        <v>#N/A</v>
      </c>
      <c r="L110" s="17" t="e">
        <f t="shared" ca="1" si="21"/>
        <v>#N/A</v>
      </c>
      <c r="M110" s="17" t="e">
        <f t="shared" ca="1" si="21"/>
        <v>#N/A</v>
      </c>
      <c r="N110" s="17" t="e">
        <f t="shared" ca="1" si="21"/>
        <v>#N/A</v>
      </c>
      <c r="O110" s="17" t="e">
        <f t="shared" ca="1" si="21"/>
        <v>#N/A</v>
      </c>
      <c r="P110" s="17" t="e">
        <f t="shared" ca="1" si="21"/>
        <v>#N/A</v>
      </c>
      <c r="Q110" s="17" t="e">
        <f t="shared" ca="1" si="21"/>
        <v>#N/A</v>
      </c>
      <c r="R110" s="17" t="e">
        <f t="shared" ca="1" si="21"/>
        <v>#N/A</v>
      </c>
      <c r="S110" s="17" t="e">
        <f t="shared" ca="1" si="21"/>
        <v>#N/A</v>
      </c>
      <c r="T110" s="17" t="e">
        <f t="shared" ca="1" si="21"/>
        <v>#N/A</v>
      </c>
      <c r="U110" s="17" t="e">
        <f t="shared" ca="1" si="21"/>
        <v>#N/A</v>
      </c>
      <c r="V110" s="17" t="e">
        <f t="shared" ca="1" si="21"/>
        <v>#N/A</v>
      </c>
      <c r="W110" s="17" t="e">
        <f t="shared" ca="1" si="21"/>
        <v>#N/A</v>
      </c>
      <c r="X110" s="17" t="e">
        <f t="shared" ca="1" si="21"/>
        <v>#N/A</v>
      </c>
      <c r="Y110" s="17" t="e">
        <f t="shared" ca="1" si="21"/>
        <v>#N/A</v>
      </c>
      <c r="Z110" s="17" t="e">
        <f t="shared" ca="1" si="21"/>
        <v>#N/A</v>
      </c>
      <c r="AA110" s="17" t="e">
        <f t="shared" ca="1" si="21"/>
        <v>#N/A</v>
      </c>
      <c r="AB110" s="17" t="e">
        <f t="shared" ca="1" si="21"/>
        <v>#N/A</v>
      </c>
      <c r="AC110" s="17" t="e">
        <f t="shared" ca="1" si="21"/>
        <v>#N/A</v>
      </c>
      <c r="AD110" s="17" t="e">
        <f t="shared" ca="1" si="21"/>
        <v>#N/A</v>
      </c>
      <c r="AE110" s="17" t="e">
        <f t="shared" ca="1" si="21"/>
        <v>#N/A</v>
      </c>
      <c r="AF110" s="17" t="e">
        <f t="shared" ca="1" si="21"/>
        <v>#N/A</v>
      </c>
      <c r="AG110" s="17" t="e">
        <f t="shared" ca="1" si="21"/>
        <v>#N/A</v>
      </c>
      <c r="AH110" s="17" t="e">
        <f t="shared" ca="1" si="21"/>
        <v>#N/A</v>
      </c>
      <c r="AI110" s="17" t="e">
        <f t="shared" ca="1" si="21"/>
        <v>#N/A</v>
      </c>
      <c r="AJ110" s="17" t="e">
        <f t="shared" ca="1" si="21"/>
        <v>#N/A</v>
      </c>
      <c r="AK110" s="17" t="e">
        <f t="shared" ca="1" si="21"/>
        <v>#N/A</v>
      </c>
      <c r="AL110" s="17" t="e">
        <f t="shared" ca="1" si="21"/>
        <v>#N/A</v>
      </c>
      <c r="AM110" s="17" t="e">
        <f t="shared" ca="1" si="21"/>
        <v>#N/A</v>
      </c>
      <c r="AN110" s="17" t="e">
        <f t="shared" ca="1" si="21"/>
        <v>#N/A</v>
      </c>
      <c r="AO110" s="17" t="e">
        <f t="shared" ca="1" si="21"/>
        <v>#N/A</v>
      </c>
      <c r="AP110" s="17" t="e">
        <f t="shared" ca="1" si="21"/>
        <v>#N/A</v>
      </c>
      <c r="AQ110" s="17" t="e">
        <f t="shared" ca="1" si="21"/>
        <v>#N/A</v>
      </c>
      <c r="AR110" s="17" t="e">
        <f t="shared" ca="1" si="21"/>
        <v>#N/A</v>
      </c>
      <c r="AS110" s="17" t="e">
        <f t="shared" ca="1" si="21"/>
        <v>#N/A</v>
      </c>
      <c r="AT110" s="17" t="e">
        <f t="shared" ca="1" si="21"/>
        <v>#N/A</v>
      </c>
      <c r="AU110" s="17" t="e">
        <f t="shared" ca="1" si="21"/>
        <v>#N/A</v>
      </c>
      <c r="AV110" s="17" t="e">
        <f t="shared" ca="1" si="21"/>
        <v>#N/A</v>
      </c>
      <c r="AW110" s="17" t="e">
        <f t="shared" ca="1" si="21"/>
        <v>#N/A</v>
      </c>
      <c r="AX110" s="17" t="e">
        <f t="shared" ca="1" si="21"/>
        <v>#N/A</v>
      </c>
      <c r="AY110" s="17" t="e">
        <f t="shared" ca="1" si="21"/>
        <v>#N/A</v>
      </c>
      <c r="AZ110" s="17" t="e">
        <f t="shared" ca="1" si="21"/>
        <v>#N/A</v>
      </c>
      <c r="BA110" s="17" t="e">
        <f t="shared" ca="1" si="21"/>
        <v>#N/A</v>
      </c>
      <c r="BB110" s="17" t="e">
        <f t="shared" ca="1" si="21"/>
        <v>#N/A</v>
      </c>
      <c r="BC110" s="17" t="e">
        <f t="shared" ca="1" si="21"/>
        <v>#N/A</v>
      </c>
      <c r="BD110" s="17" t="e">
        <f t="shared" ca="1" si="21"/>
        <v>#N/A</v>
      </c>
      <c r="BE110" s="17" t="e">
        <f t="shared" ca="1" si="21"/>
        <v>#N/A</v>
      </c>
      <c r="BF110" s="17" t="e">
        <f t="shared" ca="1" si="21"/>
        <v>#N/A</v>
      </c>
      <c r="BG110" s="17" t="e">
        <f t="shared" ca="1" si="21"/>
        <v>#N/A</v>
      </c>
      <c r="BH110" s="17" t="e">
        <f t="shared" ca="1" si="21"/>
        <v>#N/A</v>
      </c>
      <c r="BI110" s="17" t="e">
        <f t="shared" ca="1" si="21"/>
        <v>#N/A</v>
      </c>
      <c r="BJ110" s="17" t="e">
        <f t="shared" ca="1" si="21"/>
        <v>#N/A</v>
      </c>
      <c r="BK110" s="17" t="e">
        <f t="shared" ca="1" si="21"/>
        <v>#N/A</v>
      </c>
      <c r="BL110" s="17" t="e">
        <f t="shared" ca="1" si="21"/>
        <v>#N/A</v>
      </c>
      <c r="BM110" s="17" t="e">
        <f t="shared" ca="1" si="21"/>
        <v>#N/A</v>
      </c>
      <c r="BN110" s="17" t="e">
        <f t="shared" ca="1" si="21"/>
        <v>#N/A</v>
      </c>
      <c r="BO110" s="17" t="e">
        <f t="shared" ca="1" si="21"/>
        <v>#N/A</v>
      </c>
      <c r="BP110" s="17" t="e">
        <f t="shared" ca="1" si="21"/>
        <v>#N/A</v>
      </c>
      <c r="BQ110" s="17" t="e">
        <f t="shared" ref="BQ110:BV110" ca="1" si="22">BQ50/$D110*100000</f>
        <v>#N/A</v>
      </c>
      <c r="BR110" s="17" t="e">
        <f t="shared" ca="1" si="22"/>
        <v>#N/A</v>
      </c>
      <c r="BS110" s="17" t="e">
        <f t="shared" ca="1" si="22"/>
        <v>#N/A</v>
      </c>
      <c r="BT110" s="17" t="e">
        <f t="shared" ca="1" si="22"/>
        <v>#N/A</v>
      </c>
      <c r="BU110" s="17" t="e">
        <f t="shared" ca="1" si="22"/>
        <v>#N/A</v>
      </c>
      <c r="BV110" s="17" t="e">
        <f t="shared" ca="1" si="22"/>
        <v>#N/A</v>
      </c>
    </row>
    <row r="111" spans="2:74" x14ac:dyDescent="0.25">
      <c r="B111">
        <f t="shared" si="7"/>
        <v>12</v>
      </c>
      <c r="C111" t="str">
        <f t="shared" ca="1" si="8"/>
        <v>Switzerland Geneva</v>
      </c>
      <c r="D111" s="1">
        <f t="shared" ca="1" si="8"/>
        <v>499480</v>
      </c>
      <c r="E111" s="17">
        <f t="shared" ref="E111:BP111" ca="1" si="23">E51/$D111*100000</f>
        <v>11.812284776167214</v>
      </c>
      <c r="F111" s="17">
        <f t="shared" ca="1" si="23"/>
        <v>13.213742291983662</v>
      </c>
      <c r="G111" s="17">
        <f t="shared" ca="1" si="23"/>
        <v>16.016657323616563</v>
      </c>
      <c r="H111" s="17">
        <f t="shared" ca="1" si="23"/>
        <v>20.821654520701529</v>
      </c>
      <c r="I111" s="17">
        <f t="shared" ca="1" si="23"/>
        <v>39.240810442860578</v>
      </c>
      <c r="J111" s="17">
        <f t="shared" ca="1" si="23"/>
        <v>56.258508849203174</v>
      </c>
      <c r="K111" s="17">
        <f t="shared" ca="1" si="23"/>
        <v>74.677664771362217</v>
      </c>
      <c r="L111" s="17">
        <f t="shared" ca="1" si="23"/>
        <v>99.103067189877464</v>
      </c>
      <c r="M111" s="17">
        <f t="shared" ca="1" si="23"/>
        <v>125.9309682069352</v>
      </c>
      <c r="N111" s="17">
        <f t="shared" ca="1" si="23"/>
        <v>165.37198686634099</v>
      </c>
      <c r="O111" s="17">
        <f t="shared" ca="1" si="23"/>
        <v>199.00696724593578</v>
      </c>
      <c r="P111" s="17">
        <f t="shared" ca="1" si="23"/>
        <v>225.8348682629935</v>
      </c>
      <c r="Q111" s="17">
        <f t="shared" ca="1" si="23"/>
        <v>240.85048450388402</v>
      </c>
      <c r="R111" s="17">
        <f t="shared" ca="1" si="23"/>
        <v>302.11419876671738</v>
      </c>
      <c r="S111" s="17" t="e">
        <f t="shared" ca="1" si="23"/>
        <v>#N/A</v>
      </c>
      <c r="T111" s="17" t="e">
        <f t="shared" ca="1" si="23"/>
        <v>#N/A</v>
      </c>
      <c r="U111" s="17" t="e">
        <f t="shared" ca="1" si="23"/>
        <v>#N/A</v>
      </c>
      <c r="V111" s="17" t="e">
        <f t="shared" ca="1" si="23"/>
        <v>#N/A</v>
      </c>
      <c r="W111" s="17" t="e">
        <f t="shared" ca="1" si="23"/>
        <v>#N/A</v>
      </c>
      <c r="X111" s="17" t="e">
        <f t="shared" ca="1" si="23"/>
        <v>#N/A</v>
      </c>
      <c r="Y111" s="17" t="e">
        <f t="shared" ca="1" si="23"/>
        <v>#N/A</v>
      </c>
      <c r="Z111" s="17" t="e">
        <f t="shared" ca="1" si="23"/>
        <v>#N/A</v>
      </c>
      <c r="AA111" s="17" t="e">
        <f t="shared" ca="1" si="23"/>
        <v>#N/A</v>
      </c>
      <c r="AB111" s="17" t="e">
        <f t="shared" ca="1" si="23"/>
        <v>#N/A</v>
      </c>
      <c r="AC111" s="17" t="e">
        <f t="shared" ca="1" si="23"/>
        <v>#N/A</v>
      </c>
      <c r="AD111" s="17" t="e">
        <f t="shared" ca="1" si="23"/>
        <v>#N/A</v>
      </c>
      <c r="AE111" s="17" t="e">
        <f t="shared" ca="1" si="23"/>
        <v>#N/A</v>
      </c>
      <c r="AF111" s="17" t="e">
        <f t="shared" ca="1" si="23"/>
        <v>#N/A</v>
      </c>
      <c r="AG111" s="17" t="e">
        <f t="shared" ca="1" si="23"/>
        <v>#N/A</v>
      </c>
      <c r="AH111" s="17" t="e">
        <f t="shared" ca="1" si="23"/>
        <v>#N/A</v>
      </c>
      <c r="AI111" s="17" t="e">
        <f t="shared" ca="1" si="23"/>
        <v>#N/A</v>
      </c>
      <c r="AJ111" s="17" t="e">
        <f t="shared" ca="1" si="23"/>
        <v>#N/A</v>
      </c>
      <c r="AK111" s="17" t="e">
        <f t="shared" ca="1" si="23"/>
        <v>#N/A</v>
      </c>
      <c r="AL111" s="17" t="e">
        <f t="shared" ca="1" si="23"/>
        <v>#N/A</v>
      </c>
      <c r="AM111" s="17" t="e">
        <f t="shared" ca="1" si="23"/>
        <v>#N/A</v>
      </c>
      <c r="AN111" s="17" t="e">
        <f t="shared" ca="1" si="23"/>
        <v>#N/A</v>
      </c>
      <c r="AO111" s="17" t="e">
        <f t="shared" ca="1" si="23"/>
        <v>#N/A</v>
      </c>
      <c r="AP111" s="17" t="e">
        <f t="shared" ca="1" si="23"/>
        <v>#N/A</v>
      </c>
      <c r="AQ111" s="17" t="e">
        <f t="shared" ca="1" si="23"/>
        <v>#N/A</v>
      </c>
      <c r="AR111" s="17" t="e">
        <f t="shared" ca="1" si="23"/>
        <v>#N/A</v>
      </c>
      <c r="AS111" s="17" t="e">
        <f t="shared" ca="1" si="23"/>
        <v>#N/A</v>
      </c>
      <c r="AT111" s="17" t="e">
        <f t="shared" ca="1" si="23"/>
        <v>#N/A</v>
      </c>
      <c r="AU111" s="17" t="e">
        <f t="shared" ca="1" si="23"/>
        <v>#N/A</v>
      </c>
      <c r="AV111" s="17" t="e">
        <f t="shared" ca="1" si="23"/>
        <v>#N/A</v>
      </c>
      <c r="AW111" s="17" t="e">
        <f t="shared" ca="1" si="23"/>
        <v>#N/A</v>
      </c>
      <c r="AX111" s="17" t="e">
        <f t="shared" ca="1" si="23"/>
        <v>#N/A</v>
      </c>
      <c r="AY111" s="17" t="e">
        <f t="shared" ca="1" si="23"/>
        <v>#N/A</v>
      </c>
      <c r="AZ111" s="17" t="e">
        <f t="shared" ca="1" si="23"/>
        <v>#N/A</v>
      </c>
      <c r="BA111" s="17" t="e">
        <f t="shared" ca="1" si="23"/>
        <v>#N/A</v>
      </c>
      <c r="BB111" s="17" t="e">
        <f t="shared" ca="1" si="23"/>
        <v>#N/A</v>
      </c>
      <c r="BC111" s="17" t="e">
        <f t="shared" ca="1" si="23"/>
        <v>#N/A</v>
      </c>
      <c r="BD111" s="17" t="e">
        <f t="shared" ca="1" si="23"/>
        <v>#N/A</v>
      </c>
      <c r="BE111" s="17" t="e">
        <f t="shared" ca="1" si="23"/>
        <v>#N/A</v>
      </c>
      <c r="BF111" s="17" t="e">
        <f t="shared" ca="1" si="23"/>
        <v>#N/A</v>
      </c>
      <c r="BG111" s="17" t="e">
        <f t="shared" ca="1" si="23"/>
        <v>#N/A</v>
      </c>
      <c r="BH111" s="17" t="e">
        <f t="shared" ca="1" si="23"/>
        <v>#N/A</v>
      </c>
      <c r="BI111" s="17" t="e">
        <f t="shared" ca="1" si="23"/>
        <v>#N/A</v>
      </c>
      <c r="BJ111" s="17" t="e">
        <f t="shared" ca="1" si="23"/>
        <v>#N/A</v>
      </c>
      <c r="BK111" s="17" t="e">
        <f t="shared" ca="1" si="23"/>
        <v>#N/A</v>
      </c>
      <c r="BL111" s="17" t="e">
        <f t="shared" ca="1" si="23"/>
        <v>#N/A</v>
      </c>
      <c r="BM111" s="17" t="e">
        <f t="shared" ca="1" si="23"/>
        <v>#N/A</v>
      </c>
      <c r="BN111" s="17" t="e">
        <f t="shared" ca="1" si="23"/>
        <v>#N/A</v>
      </c>
      <c r="BO111" s="17" t="e">
        <f t="shared" ca="1" si="23"/>
        <v>#N/A</v>
      </c>
      <c r="BP111" s="17" t="e">
        <f t="shared" ca="1" si="23"/>
        <v>#N/A</v>
      </c>
      <c r="BQ111" s="17" t="e">
        <f t="shared" ref="BQ111:BV111" ca="1" si="24">BQ51/$D111*100000</f>
        <v>#N/A</v>
      </c>
      <c r="BR111" s="17" t="e">
        <f t="shared" ca="1" si="24"/>
        <v>#N/A</v>
      </c>
      <c r="BS111" s="17" t="e">
        <f t="shared" ca="1" si="24"/>
        <v>#N/A</v>
      </c>
      <c r="BT111" s="17" t="e">
        <f t="shared" ca="1" si="24"/>
        <v>#N/A</v>
      </c>
      <c r="BU111" s="17" t="e">
        <f t="shared" ca="1" si="24"/>
        <v>#N/A</v>
      </c>
      <c r="BV111" s="17" t="e">
        <f t="shared" ca="1" si="24"/>
        <v>#N/A</v>
      </c>
    </row>
    <row r="112" spans="2:74" x14ac:dyDescent="0.25">
      <c r="B112">
        <f t="shared" si="7"/>
        <v>13</v>
      </c>
      <c r="C112" t="str">
        <f t="shared" ca="1" si="8"/>
        <v>Switzerland Glarus</v>
      </c>
      <c r="D112" s="1">
        <f t="shared" ca="1" si="8"/>
        <v>40403</v>
      </c>
      <c r="E112" s="17" t="e">
        <f t="shared" ref="E112:BP112" ca="1" si="25">E52/$D112*100000</f>
        <v>#N/A</v>
      </c>
      <c r="F112" s="17" t="e">
        <f t="shared" ca="1" si="25"/>
        <v>#N/A</v>
      </c>
      <c r="G112" s="17" t="e">
        <f t="shared" ca="1" si="25"/>
        <v>#N/A</v>
      </c>
      <c r="H112" s="17" t="e">
        <f t="shared" ca="1" si="25"/>
        <v>#N/A</v>
      </c>
      <c r="I112" s="17" t="e">
        <f t="shared" ca="1" si="25"/>
        <v>#N/A</v>
      </c>
      <c r="J112" s="17" t="e">
        <f t="shared" ca="1" si="25"/>
        <v>#N/A</v>
      </c>
      <c r="K112" s="17" t="e">
        <f t="shared" ca="1" si="25"/>
        <v>#N/A</v>
      </c>
      <c r="L112" s="17" t="e">
        <f t="shared" ca="1" si="25"/>
        <v>#N/A</v>
      </c>
      <c r="M112" s="17" t="e">
        <f t="shared" ca="1" si="25"/>
        <v>#N/A</v>
      </c>
      <c r="N112" s="17" t="e">
        <f t="shared" ca="1" si="25"/>
        <v>#N/A</v>
      </c>
      <c r="O112" s="17" t="e">
        <f t="shared" ca="1" si="25"/>
        <v>#N/A</v>
      </c>
      <c r="P112" s="17" t="e">
        <f t="shared" ca="1" si="25"/>
        <v>#N/A</v>
      </c>
      <c r="Q112" s="17" t="e">
        <f t="shared" ca="1" si="25"/>
        <v>#N/A</v>
      </c>
      <c r="R112" s="17" t="e">
        <f t="shared" ca="1" si="25"/>
        <v>#N/A</v>
      </c>
      <c r="S112" s="17" t="e">
        <f t="shared" ca="1" si="25"/>
        <v>#N/A</v>
      </c>
      <c r="T112" s="17" t="e">
        <f t="shared" ca="1" si="25"/>
        <v>#N/A</v>
      </c>
      <c r="U112" s="17" t="e">
        <f t="shared" ca="1" si="25"/>
        <v>#N/A</v>
      </c>
      <c r="V112" s="17" t="e">
        <f t="shared" ca="1" si="25"/>
        <v>#N/A</v>
      </c>
      <c r="W112" s="17" t="e">
        <f t="shared" ca="1" si="25"/>
        <v>#N/A</v>
      </c>
      <c r="X112" s="17" t="e">
        <f t="shared" ca="1" si="25"/>
        <v>#N/A</v>
      </c>
      <c r="Y112" s="17" t="e">
        <f t="shared" ca="1" si="25"/>
        <v>#N/A</v>
      </c>
      <c r="Z112" s="17" t="e">
        <f t="shared" ca="1" si="25"/>
        <v>#N/A</v>
      </c>
      <c r="AA112" s="17" t="e">
        <f t="shared" ca="1" si="25"/>
        <v>#N/A</v>
      </c>
      <c r="AB112" s="17" t="e">
        <f t="shared" ca="1" si="25"/>
        <v>#N/A</v>
      </c>
      <c r="AC112" s="17" t="e">
        <f t="shared" ca="1" si="25"/>
        <v>#N/A</v>
      </c>
      <c r="AD112" s="17" t="e">
        <f t="shared" ca="1" si="25"/>
        <v>#N/A</v>
      </c>
      <c r="AE112" s="17" t="e">
        <f t="shared" ca="1" si="25"/>
        <v>#N/A</v>
      </c>
      <c r="AF112" s="17" t="e">
        <f t="shared" ca="1" si="25"/>
        <v>#N/A</v>
      </c>
      <c r="AG112" s="17" t="e">
        <f t="shared" ca="1" si="25"/>
        <v>#N/A</v>
      </c>
      <c r="AH112" s="17" t="e">
        <f t="shared" ca="1" si="25"/>
        <v>#N/A</v>
      </c>
      <c r="AI112" s="17" t="e">
        <f t="shared" ca="1" si="25"/>
        <v>#N/A</v>
      </c>
      <c r="AJ112" s="17" t="e">
        <f t="shared" ca="1" si="25"/>
        <v>#N/A</v>
      </c>
      <c r="AK112" s="17" t="e">
        <f t="shared" ca="1" si="25"/>
        <v>#N/A</v>
      </c>
      <c r="AL112" s="17" t="e">
        <f t="shared" ca="1" si="25"/>
        <v>#N/A</v>
      </c>
      <c r="AM112" s="17" t="e">
        <f t="shared" ca="1" si="25"/>
        <v>#N/A</v>
      </c>
      <c r="AN112" s="17" t="e">
        <f t="shared" ca="1" si="25"/>
        <v>#N/A</v>
      </c>
      <c r="AO112" s="17" t="e">
        <f t="shared" ca="1" si="25"/>
        <v>#N/A</v>
      </c>
      <c r="AP112" s="17" t="e">
        <f t="shared" ca="1" si="25"/>
        <v>#N/A</v>
      </c>
      <c r="AQ112" s="17" t="e">
        <f t="shared" ca="1" si="25"/>
        <v>#N/A</v>
      </c>
      <c r="AR112" s="17" t="e">
        <f t="shared" ca="1" si="25"/>
        <v>#N/A</v>
      </c>
      <c r="AS112" s="17" t="e">
        <f t="shared" ca="1" si="25"/>
        <v>#N/A</v>
      </c>
      <c r="AT112" s="17" t="e">
        <f t="shared" ca="1" si="25"/>
        <v>#N/A</v>
      </c>
      <c r="AU112" s="17" t="e">
        <f t="shared" ca="1" si="25"/>
        <v>#N/A</v>
      </c>
      <c r="AV112" s="17" t="e">
        <f t="shared" ca="1" si="25"/>
        <v>#N/A</v>
      </c>
      <c r="AW112" s="17" t="e">
        <f t="shared" ca="1" si="25"/>
        <v>#N/A</v>
      </c>
      <c r="AX112" s="17" t="e">
        <f t="shared" ca="1" si="25"/>
        <v>#N/A</v>
      </c>
      <c r="AY112" s="17" t="e">
        <f t="shared" ca="1" si="25"/>
        <v>#N/A</v>
      </c>
      <c r="AZ112" s="17" t="e">
        <f t="shared" ca="1" si="25"/>
        <v>#N/A</v>
      </c>
      <c r="BA112" s="17" t="e">
        <f t="shared" ca="1" si="25"/>
        <v>#N/A</v>
      </c>
      <c r="BB112" s="17" t="e">
        <f t="shared" ca="1" si="25"/>
        <v>#N/A</v>
      </c>
      <c r="BC112" s="17" t="e">
        <f t="shared" ca="1" si="25"/>
        <v>#N/A</v>
      </c>
      <c r="BD112" s="17" t="e">
        <f t="shared" ca="1" si="25"/>
        <v>#N/A</v>
      </c>
      <c r="BE112" s="17" t="e">
        <f t="shared" ca="1" si="25"/>
        <v>#N/A</v>
      </c>
      <c r="BF112" s="17" t="e">
        <f t="shared" ca="1" si="25"/>
        <v>#N/A</v>
      </c>
      <c r="BG112" s="17" t="e">
        <f t="shared" ca="1" si="25"/>
        <v>#N/A</v>
      </c>
      <c r="BH112" s="17" t="e">
        <f t="shared" ca="1" si="25"/>
        <v>#N/A</v>
      </c>
      <c r="BI112" s="17" t="e">
        <f t="shared" ca="1" si="25"/>
        <v>#N/A</v>
      </c>
      <c r="BJ112" s="17" t="e">
        <f t="shared" ca="1" si="25"/>
        <v>#N/A</v>
      </c>
      <c r="BK112" s="17" t="e">
        <f t="shared" ca="1" si="25"/>
        <v>#N/A</v>
      </c>
      <c r="BL112" s="17" t="e">
        <f t="shared" ca="1" si="25"/>
        <v>#N/A</v>
      </c>
      <c r="BM112" s="17" t="e">
        <f t="shared" ca="1" si="25"/>
        <v>#N/A</v>
      </c>
      <c r="BN112" s="17" t="e">
        <f t="shared" ca="1" si="25"/>
        <v>#N/A</v>
      </c>
      <c r="BO112" s="17" t="e">
        <f t="shared" ca="1" si="25"/>
        <v>#N/A</v>
      </c>
      <c r="BP112" s="17" t="e">
        <f t="shared" ca="1" si="25"/>
        <v>#N/A</v>
      </c>
      <c r="BQ112" s="17" t="e">
        <f t="shared" ref="BQ112:BV112" ca="1" si="26">BQ52/$D112*100000</f>
        <v>#N/A</v>
      </c>
      <c r="BR112" s="17" t="e">
        <f t="shared" ca="1" si="26"/>
        <v>#N/A</v>
      </c>
      <c r="BS112" s="17" t="e">
        <f t="shared" ca="1" si="26"/>
        <v>#N/A</v>
      </c>
      <c r="BT112" s="17" t="e">
        <f t="shared" ca="1" si="26"/>
        <v>#N/A</v>
      </c>
      <c r="BU112" s="17" t="e">
        <f t="shared" ca="1" si="26"/>
        <v>#N/A</v>
      </c>
      <c r="BV112" s="17" t="e">
        <f t="shared" ca="1" si="26"/>
        <v>#N/A</v>
      </c>
    </row>
    <row r="113" spans="2:74" x14ac:dyDescent="0.25">
      <c r="B113">
        <f t="shared" si="7"/>
        <v>14</v>
      </c>
      <c r="C113" t="str">
        <f t="shared" ca="1" si="8"/>
        <v>Switzerland Grisons</v>
      </c>
      <c r="D113" s="1">
        <f t="shared" ca="1" si="8"/>
        <v>198379</v>
      </c>
      <c r="E113" s="17">
        <f t="shared" ref="E113:BP113" ca="1" si="27">E53/$D113*100000</f>
        <v>58.473931212477126</v>
      </c>
      <c r="F113" s="17">
        <f t="shared" ca="1" si="27"/>
        <v>73.092414015596404</v>
      </c>
      <c r="G113" s="17">
        <f t="shared" ca="1" si="27"/>
        <v>107.37023576084161</v>
      </c>
      <c r="H113" s="17">
        <f t="shared" ca="1" si="27"/>
        <v>120.4764617222589</v>
      </c>
      <c r="I113" s="17">
        <f t="shared" ca="1" si="27"/>
        <v>134.08677329757685</v>
      </c>
      <c r="J113" s="17">
        <f t="shared" ca="1" si="27"/>
        <v>134.08677329757685</v>
      </c>
      <c r="K113" s="17" t="e">
        <f t="shared" ca="1" si="27"/>
        <v>#N/A</v>
      </c>
      <c r="L113" s="17" t="e">
        <f t="shared" ca="1" si="27"/>
        <v>#N/A</v>
      </c>
      <c r="M113" s="17" t="e">
        <f t="shared" ca="1" si="27"/>
        <v>#N/A</v>
      </c>
      <c r="N113" s="17" t="e">
        <f t="shared" ca="1" si="27"/>
        <v>#N/A</v>
      </c>
      <c r="O113" s="17" t="e">
        <f t="shared" ca="1" si="27"/>
        <v>#N/A</v>
      </c>
      <c r="P113" s="17" t="e">
        <f t="shared" ca="1" si="27"/>
        <v>#N/A</v>
      </c>
      <c r="Q113" s="17" t="e">
        <f t="shared" ca="1" si="27"/>
        <v>#N/A</v>
      </c>
      <c r="R113" s="17" t="e">
        <f t="shared" ca="1" si="27"/>
        <v>#N/A</v>
      </c>
      <c r="S113" s="17" t="e">
        <f t="shared" ca="1" si="27"/>
        <v>#N/A</v>
      </c>
      <c r="T113" s="17" t="e">
        <f t="shared" ca="1" si="27"/>
        <v>#N/A</v>
      </c>
      <c r="U113" s="17" t="e">
        <f t="shared" ca="1" si="27"/>
        <v>#N/A</v>
      </c>
      <c r="V113" s="17" t="e">
        <f t="shared" ca="1" si="27"/>
        <v>#N/A</v>
      </c>
      <c r="W113" s="17" t="e">
        <f t="shared" ca="1" si="27"/>
        <v>#N/A</v>
      </c>
      <c r="X113" s="17" t="e">
        <f t="shared" ca="1" si="27"/>
        <v>#N/A</v>
      </c>
      <c r="Y113" s="17" t="e">
        <f t="shared" ca="1" si="27"/>
        <v>#N/A</v>
      </c>
      <c r="Z113" s="17" t="e">
        <f t="shared" ca="1" si="27"/>
        <v>#N/A</v>
      </c>
      <c r="AA113" s="17" t="e">
        <f t="shared" ca="1" si="27"/>
        <v>#N/A</v>
      </c>
      <c r="AB113" s="17" t="e">
        <f t="shared" ca="1" si="27"/>
        <v>#N/A</v>
      </c>
      <c r="AC113" s="17" t="e">
        <f t="shared" ca="1" si="27"/>
        <v>#N/A</v>
      </c>
      <c r="AD113" s="17" t="e">
        <f t="shared" ca="1" si="27"/>
        <v>#N/A</v>
      </c>
      <c r="AE113" s="17" t="e">
        <f t="shared" ca="1" si="27"/>
        <v>#N/A</v>
      </c>
      <c r="AF113" s="17" t="e">
        <f t="shared" ca="1" si="27"/>
        <v>#N/A</v>
      </c>
      <c r="AG113" s="17" t="e">
        <f t="shared" ca="1" si="27"/>
        <v>#N/A</v>
      </c>
      <c r="AH113" s="17" t="e">
        <f t="shared" ca="1" si="27"/>
        <v>#N/A</v>
      </c>
      <c r="AI113" s="17" t="e">
        <f t="shared" ca="1" si="27"/>
        <v>#N/A</v>
      </c>
      <c r="AJ113" s="17" t="e">
        <f t="shared" ca="1" si="27"/>
        <v>#N/A</v>
      </c>
      <c r="AK113" s="17" t="e">
        <f t="shared" ca="1" si="27"/>
        <v>#N/A</v>
      </c>
      <c r="AL113" s="17" t="e">
        <f t="shared" ca="1" si="27"/>
        <v>#N/A</v>
      </c>
      <c r="AM113" s="17" t="e">
        <f t="shared" ca="1" si="27"/>
        <v>#N/A</v>
      </c>
      <c r="AN113" s="17" t="e">
        <f t="shared" ca="1" si="27"/>
        <v>#N/A</v>
      </c>
      <c r="AO113" s="17" t="e">
        <f t="shared" ca="1" si="27"/>
        <v>#N/A</v>
      </c>
      <c r="AP113" s="17" t="e">
        <f t="shared" ca="1" si="27"/>
        <v>#N/A</v>
      </c>
      <c r="AQ113" s="17" t="e">
        <f t="shared" ca="1" si="27"/>
        <v>#N/A</v>
      </c>
      <c r="AR113" s="17" t="e">
        <f t="shared" ca="1" si="27"/>
        <v>#N/A</v>
      </c>
      <c r="AS113" s="17" t="e">
        <f t="shared" ca="1" si="27"/>
        <v>#N/A</v>
      </c>
      <c r="AT113" s="17" t="e">
        <f t="shared" ca="1" si="27"/>
        <v>#N/A</v>
      </c>
      <c r="AU113" s="17" t="e">
        <f t="shared" ca="1" si="27"/>
        <v>#N/A</v>
      </c>
      <c r="AV113" s="17" t="e">
        <f t="shared" ca="1" si="27"/>
        <v>#N/A</v>
      </c>
      <c r="AW113" s="17" t="e">
        <f t="shared" ca="1" si="27"/>
        <v>#N/A</v>
      </c>
      <c r="AX113" s="17" t="e">
        <f t="shared" ca="1" si="27"/>
        <v>#N/A</v>
      </c>
      <c r="AY113" s="17" t="e">
        <f t="shared" ca="1" si="27"/>
        <v>#N/A</v>
      </c>
      <c r="AZ113" s="17" t="e">
        <f t="shared" ca="1" si="27"/>
        <v>#N/A</v>
      </c>
      <c r="BA113" s="17" t="e">
        <f t="shared" ca="1" si="27"/>
        <v>#N/A</v>
      </c>
      <c r="BB113" s="17" t="e">
        <f t="shared" ca="1" si="27"/>
        <v>#N/A</v>
      </c>
      <c r="BC113" s="17" t="e">
        <f t="shared" ca="1" si="27"/>
        <v>#N/A</v>
      </c>
      <c r="BD113" s="17" t="e">
        <f t="shared" ca="1" si="27"/>
        <v>#N/A</v>
      </c>
      <c r="BE113" s="17" t="e">
        <f t="shared" ca="1" si="27"/>
        <v>#N/A</v>
      </c>
      <c r="BF113" s="17" t="e">
        <f t="shared" ca="1" si="27"/>
        <v>#N/A</v>
      </c>
      <c r="BG113" s="17" t="e">
        <f t="shared" ca="1" si="27"/>
        <v>#N/A</v>
      </c>
      <c r="BH113" s="17" t="e">
        <f t="shared" ca="1" si="27"/>
        <v>#N/A</v>
      </c>
      <c r="BI113" s="17" t="e">
        <f t="shared" ca="1" si="27"/>
        <v>#N/A</v>
      </c>
      <c r="BJ113" s="17" t="e">
        <f t="shared" ca="1" si="27"/>
        <v>#N/A</v>
      </c>
      <c r="BK113" s="17" t="e">
        <f t="shared" ca="1" si="27"/>
        <v>#N/A</v>
      </c>
      <c r="BL113" s="17" t="e">
        <f t="shared" ca="1" si="27"/>
        <v>#N/A</v>
      </c>
      <c r="BM113" s="17" t="e">
        <f t="shared" ca="1" si="27"/>
        <v>#N/A</v>
      </c>
      <c r="BN113" s="17" t="e">
        <f t="shared" ca="1" si="27"/>
        <v>#N/A</v>
      </c>
      <c r="BO113" s="17" t="e">
        <f t="shared" ca="1" si="27"/>
        <v>#N/A</v>
      </c>
      <c r="BP113" s="17" t="e">
        <f t="shared" ca="1" si="27"/>
        <v>#N/A</v>
      </c>
      <c r="BQ113" s="17" t="e">
        <f t="shared" ref="BQ113:BV113" ca="1" si="28">BQ53/$D113*100000</f>
        <v>#N/A</v>
      </c>
      <c r="BR113" s="17" t="e">
        <f t="shared" ca="1" si="28"/>
        <v>#N/A</v>
      </c>
      <c r="BS113" s="17" t="e">
        <f t="shared" ca="1" si="28"/>
        <v>#N/A</v>
      </c>
      <c r="BT113" s="17" t="e">
        <f t="shared" ca="1" si="28"/>
        <v>#N/A</v>
      </c>
      <c r="BU113" s="17" t="e">
        <f t="shared" ca="1" si="28"/>
        <v>#N/A</v>
      </c>
      <c r="BV113" s="17" t="e">
        <f t="shared" ca="1" si="28"/>
        <v>#N/A</v>
      </c>
    </row>
    <row r="114" spans="2:74" x14ac:dyDescent="0.25">
      <c r="B114">
        <f t="shared" si="7"/>
        <v>15</v>
      </c>
      <c r="C114" t="str">
        <f t="shared" ca="1" si="8"/>
        <v>Switzerland Jura</v>
      </c>
      <c r="D114" s="1">
        <f t="shared" ca="1" si="8"/>
        <v>73419</v>
      </c>
      <c r="E114" s="17">
        <f t="shared" ref="E114:BP114" ca="1" si="29">E54/$D114*100000</f>
        <v>69.464307604298611</v>
      </c>
      <c r="F114" s="17">
        <f t="shared" ca="1" si="29"/>
        <v>77.636579087157273</v>
      </c>
      <c r="G114" s="17" t="e">
        <f t="shared" ca="1" si="29"/>
        <v>#N/A</v>
      </c>
      <c r="H114" s="17" t="e">
        <f t="shared" ca="1" si="29"/>
        <v>#N/A</v>
      </c>
      <c r="I114" s="17" t="e">
        <f t="shared" ca="1" si="29"/>
        <v>#N/A</v>
      </c>
      <c r="J114" s="17" t="e">
        <f t="shared" ca="1" si="29"/>
        <v>#N/A</v>
      </c>
      <c r="K114" s="17" t="e">
        <f t="shared" ca="1" si="29"/>
        <v>#N/A</v>
      </c>
      <c r="L114" s="17" t="e">
        <f t="shared" ca="1" si="29"/>
        <v>#N/A</v>
      </c>
      <c r="M114" s="17" t="e">
        <f t="shared" ca="1" si="29"/>
        <v>#N/A</v>
      </c>
      <c r="N114" s="17" t="e">
        <f t="shared" ca="1" si="29"/>
        <v>#N/A</v>
      </c>
      <c r="O114" s="17" t="e">
        <f t="shared" ca="1" si="29"/>
        <v>#N/A</v>
      </c>
      <c r="P114" s="17" t="e">
        <f t="shared" ca="1" si="29"/>
        <v>#N/A</v>
      </c>
      <c r="Q114" s="17" t="e">
        <f t="shared" ca="1" si="29"/>
        <v>#N/A</v>
      </c>
      <c r="R114" s="17" t="e">
        <f t="shared" ca="1" si="29"/>
        <v>#N/A</v>
      </c>
      <c r="S114" s="17" t="e">
        <f t="shared" ca="1" si="29"/>
        <v>#N/A</v>
      </c>
      <c r="T114" s="17" t="e">
        <f t="shared" ca="1" si="29"/>
        <v>#N/A</v>
      </c>
      <c r="U114" s="17" t="e">
        <f t="shared" ca="1" si="29"/>
        <v>#N/A</v>
      </c>
      <c r="V114" s="17" t="e">
        <f t="shared" ca="1" si="29"/>
        <v>#N/A</v>
      </c>
      <c r="W114" s="17" t="e">
        <f t="shared" ca="1" si="29"/>
        <v>#N/A</v>
      </c>
      <c r="X114" s="17" t="e">
        <f t="shared" ca="1" si="29"/>
        <v>#N/A</v>
      </c>
      <c r="Y114" s="17" t="e">
        <f t="shared" ca="1" si="29"/>
        <v>#N/A</v>
      </c>
      <c r="Z114" s="17" t="e">
        <f t="shared" ca="1" si="29"/>
        <v>#N/A</v>
      </c>
      <c r="AA114" s="17" t="e">
        <f t="shared" ca="1" si="29"/>
        <v>#N/A</v>
      </c>
      <c r="AB114" s="17" t="e">
        <f t="shared" ca="1" si="29"/>
        <v>#N/A</v>
      </c>
      <c r="AC114" s="17" t="e">
        <f t="shared" ca="1" si="29"/>
        <v>#N/A</v>
      </c>
      <c r="AD114" s="17" t="e">
        <f t="shared" ca="1" si="29"/>
        <v>#N/A</v>
      </c>
      <c r="AE114" s="17" t="e">
        <f t="shared" ca="1" si="29"/>
        <v>#N/A</v>
      </c>
      <c r="AF114" s="17" t="e">
        <f t="shared" ca="1" si="29"/>
        <v>#N/A</v>
      </c>
      <c r="AG114" s="17" t="e">
        <f t="shared" ca="1" si="29"/>
        <v>#N/A</v>
      </c>
      <c r="AH114" s="17" t="e">
        <f t="shared" ca="1" si="29"/>
        <v>#N/A</v>
      </c>
      <c r="AI114" s="17" t="e">
        <f t="shared" ca="1" si="29"/>
        <v>#N/A</v>
      </c>
      <c r="AJ114" s="17" t="e">
        <f t="shared" ca="1" si="29"/>
        <v>#N/A</v>
      </c>
      <c r="AK114" s="17" t="e">
        <f t="shared" ca="1" si="29"/>
        <v>#N/A</v>
      </c>
      <c r="AL114" s="17" t="e">
        <f t="shared" ca="1" si="29"/>
        <v>#N/A</v>
      </c>
      <c r="AM114" s="17" t="e">
        <f t="shared" ca="1" si="29"/>
        <v>#N/A</v>
      </c>
      <c r="AN114" s="17" t="e">
        <f t="shared" ca="1" si="29"/>
        <v>#N/A</v>
      </c>
      <c r="AO114" s="17" t="e">
        <f t="shared" ca="1" si="29"/>
        <v>#N/A</v>
      </c>
      <c r="AP114" s="17" t="e">
        <f t="shared" ca="1" si="29"/>
        <v>#N/A</v>
      </c>
      <c r="AQ114" s="17" t="e">
        <f t="shared" ca="1" si="29"/>
        <v>#N/A</v>
      </c>
      <c r="AR114" s="17" t="e">
        <f t="shared" ca="1" si="29"/>
        <v>#N/A</v>
      </c>
      <c r="AS114" s="17" t="e">
        <f t="shared" ca="1" si="29"/>
        <v>#N/A</v>
      </c>
      <c r="AT114" s="17" t="e">
        <f t="shared" ca="1" si="29"/>
        <v>#N/A</v>
      </c>
      <c r="AU114" s="17" t="e">
        <f t="shared" ca="1" si="29"/>
        <v>#N/A</v>
      </c>
      <c r="AV114" s="17" t="e">
        <f t="shared" ca="1" si="29"/>
        <v>#N/A</v>
      </c>
      <c r="AW114" s="17" t="e">
        <f t="shared" ca="1" si="29"/>
        <v>#N/A</v>
      </c>
      <c r="AX114" s="17" t="e">
        <f t="shared" ca="1" si="29"/>
        <v>#N/A</v>
      </c>
      <c r="AY114" s="17" t="e">
        <f t="shared" ca="1" si="29"/>
        <v>#N/A</v>
      </c>
      <c r="AZ114" s="17" t="e">
        <f t="shared" ca="1" si="29"/>
        <v>#N/A</v>
      </c>
      <c r="BA114" s="17" t="e">
        <f t="shared" ca="1" si="29"/>
        <v>#N/A</v>
      </c>
      <c r="BB114" s="17" t="e">
        <f t="shared" ca="1" si="29"/>
        <v>#N/A</v>
      </c>
      <c r="BC114" s="17" t="e">
        <f t="shared" ca="1" si="29"/>
        <v>#N/A</v>
      </c>
      <c r="BD114" s="17" t="e">
        <f t="shared" ca="1" si="29"/>
        <v>#N/A</v>
      </c>
      <c r="BE114" s="17" t="e">
        <f t="shared" ca="1" si="29"/>
        <v>#N/A</v>
      </c>
      <c r="BF114" s="17" t="e">
        <f t="shared" ca="1" si="29"/>
        <v>#N/A</v>
      </c>
      <c r="BG114" s="17" t="e">
        <f t="shared" ca="1" si="29"/>
        <v>#N/A</v>
      </c>
      <c r="BH114" s="17" t="e">
        <f t="shared" ca="1" si="29"/>
        <v>#N/A</v>
      </c>
      <c r="BI114" s="17" t="e">
        <f t="shared" ca="1" si="29"/>
        <v>#N/A</v>
      </c>
      <c r="BJ114" s="17" t="e">
        <f t="shared" ca="1" si="29"/>
        <v>#N/A</v>
      </c>
      <c r="BK114" s="17" t="e">
        <f t="shared" ca="1" si="29"/>
        <v>#N/A</v>
      </c>
      <c r="BL114" s="17" t="e">
        <f t="shared" ca="1" si="29"/>
        <v>#N/A</v>
      </c>
      <c r="BM114" s="17" t="e">
        <f t="shared" ca="1" si="29"/>
        <v>#N/A</v>
      </c>
      <c r="BN114" s="17" t="e">
        <f t="shared" ca="1" si="29"/>
        <v>#N/A</v>
      </c>
      <c r="BO114" s="17" t="e">
        <f t="shared" ca="1" si="29"/>
        <v>#N/A</v>
      </c>
      <c r="BP114" s="17" t="e">
        <f t="shared" ca="1" si="29"/>
        <v>#N/A</v>
      </c>
      <c r="BQ114" s="17" t="e">
        <f t="shared" ref="BQ114:BV114" ca="1" si="30">BQ54/$D114*100000</f>
        <v>#N/A</v>
      </c>
      <c r="BR114" s="17" t="e">
        <f t="shared" ca="1" si="30"/>
        <v>#N/A</v>
      </c>
      <c r="BS114" s="17" t="e">
        <f t="shared" ca="1" si="30"/>
        <v>#N/A</v>
      </c>
      <c r="BT114" s="17" t="e">
        <f t="shared" ca="1" si="30"/>
        <v>#N/A</v>
      </c>
      <c r="BU114" s="17" t="e">
        <f t="shared" ca="1" si="30"/>
        <v>#N/A</v>
      </c>
      <c r="BV114" s="17" t="e">
        <f t="shared" ca="1" si="30"/>
        <v>#N/A</v>
      </c>
    </row>
    <row r="115" spans="2:74" x14ac:dyDescent="0.25">
      <c r="B115">
        <f t="shared" si="7"/>
        <v>16</v>
      </c>
      <c r="C115" t="str">
        <f t="shared" ca="1" si="8"/>
        <v>Switzerland Lucerne</v>
      </c>
      <c r="D115" s="1">
        <f t="shared" ca="1" si="8"/>
        <v>409557</v>
      </c>
      <c r="E115" s="17">
        <f t="shared" ref="E115:BP115" ca="1" si="31">E55/$D115*100000</f>
        <v>15.870806749732029</v>
      </c>
      <c r="F115" s="17">
        <f t="shared" ca="1" si="31"/>
        <v>15.870806749732029</v>
      </c>
      <c r="G115" s="17">
        <f t="shared" ca="1" si="31"/>
        <v>22.463295707313026</v>
      </c>
      <c r="H115" s="17">
        <f t="shared" ca="1" si="31"/>
        <v>26.61412208801217</v>
      </c>
      <c r="I115" s="17">
        <f t="shared" ca="1" si="31"/>
        <v>31.98577975715224</v>
      </c>
      <c r="J115" s="17">
        <f t="shared" ca="1" si="31"/>
        <v>38.089936199356863</v>
      </c>
      <c r="K115" s="17" t="e">
        <f t="shared" ca="1" si="31"/>
        <v>#N/A</v>
      </c>
      <c r="L115" s="17" t="e">
        <f t="shared" ca="1" si="31"/>
        <v>#N/A</v>
      </c>
      <c r="M115" s="17" t="e">
        <f t="shared" ca="1" si="31"/>
        <v>#N/A</v>
      </c>
      <c r="N115" s="17" t="e">
        <f t="shared" ca="1" si="31"/>
        <v>#N/A</v>
      </c>
      <c r="O115" s="17" t="e">
        <f t="shared" ca="1" si="31"/>
        <v>#N/A</v>
      </c>
      <c r="P115" s="17" t="e">
        <f t="shared" ca="1" si="31"/>
        <v>#N/A</v>
      </c>
      <c r="Q115" s="17" t="e">
        <f t="shared" ca="1" si="31"/>
        <v>#N/A</v>
      </c>
      <c r="R115" s="17" t="e">
        <f t="shared" ca="1" si="31"/>
        <v>#N/A</v>
      </c>
      <c r="S115" s="17" t="e">
        <f t="shared" ca="1" si="31"/>
        <v>#N/A</v>
      </c>
      <c r="T115" s="17" t="e">
        <f t="shared" ca="1" si="31"/>
        <v>#N/A</v>
      </c>
      <c r="U115" s="17" t="e">
        <f t="shared" ca="1" si="31"/>
        <v>#N/A</v>
      </c>
      <c r="V115" s="17" t="e">
        <f t="shared" ca="1" si="31"/>
        <v>#N/A</v>
      </c>
      <c r="W115" s="17" t="e">
        <f t="shared" ca="1" si="31"/>
        <v>#N/A</v>
      </c>
      <c r="X115" s="17" t="e">
        <f t="shared" ca="1" si="31"/>
        <v>#N/A</v>
      </c>
      <c r="Y115" s="17" t="e">
        <f t="shared" ca="1" si="31"/>
        <v>#N/A</v>
      </c>
      <c r="Z115" s="17" t="e">
        <f t="shared" ca="1" si="31"/>
        <v>#N/A</v>
      </c>
      <c r="AA115" s="17" t="e">
        <f t="shared" ca="1" si="31"/>
        <v>#N/A</v>
      </c>
      <c r="AB115" s="17" t="e">
        <f t="shared" ca="1" si="31"/>
        <v>#N/A</v>
      </c>
      <c r="AC115" s="17" t="e">
        <f t="shared" ca="1" si="31"/>
        <v>#N/A</v>
      </c>
      <c r="AD115" s="17" t="e">
        <f t="shared" ca="1" si="31"/>
        <v>#N/A</v>
      </c>
      <c r="AE115" s="17" t="e">
        <f t="shared" ca="1" si="31"/>
        <v>#N/A</v>
      </c>
      <c r="AF115" s="17" t="e">
        <f t="shared" ca="1" si="31"/>
        <v>#N/A</v>
      </c>
      <c r="AG115" s="17" t="e">
        <f t="shared" ca="1" si="31"/>
        <v>#N/A</v>
      </c>
      <c r="AH115" s="17" t="e">
        <f t="shared" ca="1" si="31"/>
        <v>#N/A</v>
      </c>
      <c r="AI115" s="17" t="e">
        <f t="shared" ca="1" si="31"/>
        <v>#N/A</v>
      </c>
      <c r="AJ115" s="17" t="e">
        <f t="shared" ca="1" si="31"/>
        <v>#N/A</v>
      </c>
      <c r="AK115" s="17" t="e">
        <f t="shared" ca="1" si="31"/>
        <v>#N/A</v>
      </c>
      <c r="AL115" s="17" t="e">
        <f t="shared" ca="1" si="31"/>
        <v>#N/A</v>
      </c>
      <c r="AM115" s="17" t="e">
        <f t="shared" ca="1" si="31"/>
        <v>#N/A</v>
      </c>
      <c r="AN115" s="17" t="e">
        <f t="shared" ca="1" si="31"/>
        <v>#N/A</v>
      </c>
      <c r="AO115" s="17" t="e">
        <f t="shared" ca="1" si="31"/>
        <v>#N/A</v>
      </c>
      <c r="AP115" s="17" t="e">
        <f t="shared" ca="1" si="31"/>
        <v>#N/A</v>
      </c>
      <c r="AQ115" s="17" t="e">
        <f t="shared" ca="1" si="31"/>
        <v>#N/A</v>
      </c>
      <c r="AR115" s="17" t="e">
        <f t="shared" ca="1" si="31"/>
        <v>#N/A</v>
      </c>
      <c r="AS115" s="17" t="e">
        <f t="shared" ca="1" si="31"/>
        <v>#N/A</v>
      </c>
      <c r="AT115" s="17" t="e">
        <f t="shared" ca="1" si="31"/>
        <v>#N/A</v>
      </c>
      <c r="AU115" s="17" t="e">
        <f t="shared" ca="1" si="31"/>
        <v>#N/A</v>
      </c>
      <c r="AV115" s="17" t="e">
        <f t="shared" ca="1" si="31"/>
        <v>#N/A</v>
      </c>
      <c r="AW115" s="17" t="e">
        <f t="shared" ca="1" si="31"/>
        <v>#N/A</v>
      </c>
      <c r="AX115" s="17" t="e">
        <f t="shared" ca="1" si="31"/>
        <v>#N/A</v>
      </c>
      <c r="AY115" s="17" t="e">
        <f t="shared" ca="1" si="31"/>
        <v>#N/A</v>
      </c>
      <c r="AZ115" s="17" t="e">
        <f t="shared" ca="1" si="31"/>
        <v>#N/A</v>
      </c>
      <c r="BA115" s="17" t="e">
        <f t="shared" ca="1" si="31"/>
        <v>#N/A</v>
      </c>
      <c r="BB115" s="17" t="e">
        <f t="shared" ca="1" si="31"/>
        <v>#N/A</v>
      </c>
      <c r="BC115" s="17" t="e">
        <f t="shared" ca="1" si="31"/>
        <v>#N/A</v>
      </c>
      <c r="BD115" s="17" t="e">
        <f t="shared" ca="1" si="31"/>
        <v>#N/A</v>
      </c>
      <c r="BE115" s="17" t="e">
        <f t="shared" ca="1" si="31"/>
        <v>#N/A</v>
      </c>
      <c r="BF115" s="17" t="e">
        <f t="shared" ca="1" si="31"/>
        <v>#N/A</v>
      </c>
      <c r="BG115" s="17" t="e">
        <f t="shared" ca="1" si="31"/>
        <v>#N/A</v>
      </c>
      <c r="BH115" s="17" t="e">
        <f t="shared" ca="1" si="31"/>
        <v>#N/A</v>
      </c>
      <c r="BI115" s="17" t="e">
        <f t="shared" ca="1" si="31"/>
        <v>#N/A</v>
      </c>
      <c r="BJ115" s="17" t="e">
        <f t="shared" ca="1" si="31"/>
        <v>#N/A</v>
      </c>
      <c r="BK115" s="17" t="e">
        <f t="shared" ca="1" si="31"/>
        <v>#N/A</v>
      </c>
      <c r="BL115" s="17" t="e">
        <f t="shared" ca="1" si="31"/>
        <v>#N/A</v>
      </c>
      <c r="BM115" s="17" t="e">
        <f t="shared" ca="1" si="31"/>
        <v>#N/A</v>
      </c>
      <c r="BN115" s="17" t="e">
        <f t="shared" ca="1" si="31"/>
        <v>#N/A</v>
      </c>
      <c r="BO115" s="17" t="e">
        <f t="shared" ca="1" si="31"/>
        <v>#N/A</v>
      </c>
      <c r="BP115" s="17" t="e">
        <f t="shared" ca="1" si="31"/>
        <v>#N/A</v>
      </c>
      <c r="BQ115" s="17" t="e">
        <f t="shared" ref="BQ115:BV115" ca="1" si="32">BQ55/$D115*100000</f>
        <v>#N/A</v>
      </c>
      <c r="BR115" s="17" t="e">
        <f t="shared" ca="1" si="32"/>
        <v>#N/A</v>
      </c>
      <c r="BS115" s="17" t="e">
        <f t="shared" ca="1" si="32"/>
        <v>#N/A</v>
      </c>
      <c r="BT115" s="17" t="e">
        <f t="shared" ca="1" si="32"/>
        <v>#N/A</v>
      </c>
      <c r="BU115" s="17" t="e">
        <f t="shared" ca="1" si="32"/>
        <v>#N/A</v>
      </c>
      <c r="BV115" s="17" t="e">
        <f t="shared" ca="1" si="32"/>
        <v>#N/A</v>
      </c>
    </row>
    <row r="116" spans="2:74" x14ac:dyDescent="0.25">
      <c r="B116">
        <f t="shared" si="7"/>
        <v>17</v>
      </c>
      <c r="C116" t="str">
        <f t="shared" ca="1" si="8"/>
        <v>Switzerland Neuchâtel</v>
      </c>
      <c r="D116" s="1">
        <f t="shared" ca="1" si="8"/>
        <v>176850</v>
      </c>
      <c r="E116" s="17">
        <f t="shared" ref="E116:BP116" ca="1" si="33">E56/$D116*100000</f>
        <v>89.906700593723485</v>
      </c>
      <c r="F116" s="17">
        <f t="shared" ca="1" si="33"/>
        <v>100.08481764206955</v>
      </c>
      <c r="G116" s="17">
        <f t="shared" ca="1" si="33"/>
        <v>106.30477806050325</v>
      </c>
      <c r="H116" s="17">
        <f t="shared" ca="1" si="33"/>
        <v>115.35199321458863</v>
      </c>
      <c r="I116" s="17" t="e">
        <f t="shared" ca="1" si="33"/>
        <v>#N/A</v>
      </c>
      <c r="J116" s="17" t="e">
        <f t="shared" ca="1" si="33"/>
        <v>#N/A</v>
      </c>
      <c r="K116" s="17" t="e">
        <f t="shared" ca="1" si="33"/>
        <v>#N/A</v>
      </c>
      <c r="L116" s="17" t="e">
        <f t="shared" ca="1" si="33"/>
        <v>#N/A</v>
      </c>
      <c r="M116" s="17" t="e">
        <f t="shared" ca="1" si="33"/>
        <v>#N/A</v>
      </c>
      <c r="N116" s="17" t="e">
        <f t="shared" ca="1" si="33"/>
        <v>#N/A</v>
      </c>
      <c r="O116" s="17" t="e">
        <f t="shared" ca="1" si="33"/>
        <v>#N/A</v>
      </c>
      <c r="P116" s="17" t="e">
        <f t="shared" ca="1" si="33"/>
        <v>#N/A</v>
      </c>
      <c r="Q116" s="17" t="e">
        <f t="shared" ca="1" si="33"/>
        <v>#N/A</v>
      </c>
      <c r="R116" s="17" t="e">
        <f t="shared" ca="1" si="33"/>
        <v>#N/A</v>
      </c>
      <c r="S116" s="17" t="e">
        <f t="shared" ca="1" si="33"/>
        <v>#N/A</v>
      </c>
      <c r="T116" s="17" t="e">
        <f t="shared" ca="1" si="33"/>
        <v>#N/A</v>
      </c>
      <c r="U116" s="17" t="e">
        <f t="shared" ca="1" si="33"/>
        <v>#N/A</v>
      </c>
      <c r="V116" s="17" t="e">
        <f t="shared" ca="1" si="33"/>
        <v>#N/A</v>
      </c>
      <c r="W116" s="17" t="e">
        <f t="shared" ca="1" si="33"/>
        <v>#N/A</v>
      </c>
      <c r="X116" s="17" t="e">
        <f t="shared" ca="1" si="33"/>
        <v>#N/A</v>
      </c>
      <c r="Y116" s="17" t="e">
        <f t="shared" ca="1" si="33"/>
        <v>#N/A</v>
      </c>
      <c r="Z116" s="17" t="e">
        <f t="shared" ca="1" si="33"/>
        <v>#N/A</v>
      </c>
      <c r="AA116" s="17" t="e">
        <f t="shared" ca="1" si="33"/>
        <v>#N/A</v>
      </c>
      <c r="AB116" s="17" t="e">
        <f t="shared" ca="1" si="33"/>
        <v>#N/A</v>
      </c>
      <c r="AC116" s="17" t="e">
        <f t="shared" ca="1" si="33"/>
        <v>#N/A</v>
      </c>
      <c r="AD116" s="17" t="e">
        <f t="shared" ca="1" si="33"/>
        <v>#N/A</v>
      </c>
      <c r="AE116" s="17" t="e">
        <f t="shared" ca="1" si="33"/>
        <v>#N/A</v>
      </c>
      <c r="AF116" s="17" t="e">
        <f t="shared" ca="1" si="33"/>
        <v>#N/A</v>
      </c>
      <c r="AG116" s="17" t="e">
        <f t="shared" ca="1" si="33"/>
        <v>#N/A</v>
      </c>
      <c r="AH116" s="17" t="e">
        <f t="shared" ca="1" si="33"/>
        <v>#N/A</v>
      </c>
      <c r="AI116" s="17" t="e">
        <f t="shared" ca="1" si="33"/>
        <v>#N/A</v>
      </c>
      <c r="AJ116" s="17" t="e">
        <f t="shared" ca="1" si="33"/>
        <v>#N/A</v>
      </c>
      <c r="AK116" s="17" t="e">
        <f t="shared" ca="1" si="33"/>
        <v>#N/A</v>
      </c>
      <c r="AL116" s="17" t="e">
        <f t="shared" ca="1" si="33"/>
        <v>#N/A</v>
      </c>
      <c r="AM116" s="17" t="e">
        <f t="shared" ca="1" si="33"/>
        <v>#N/A</v>
      </c>
      <c r="AN116" s="17" t="e">
        <f t="shared" ca="1" si="33"/>
        <v>#N/A</v>
      </c>
      <c r="AO116" s="17" t="e">
        <f t="shared" ca="1" si="33"/>
        <v>#N/A</v>
      </c>
      <c r="AP116" s="17" t="e">
        <f t="shared" ca="1" si="33"/>
        <v>#N/A</v>
      </c>
      <c r="AQ116" s="17" t="e">
        <f t="shared" ca="1" si="33"/>
        <v>#N/A</v>
      </c>
      <c r="AR116" s="17" t="e">
        <f t="shared" ca="1" si="33"/>
        <v>#N/A</v>
      </c>
      <c r="AS116" s="17" t="e">
        <f t="shared" ca="1" si="33"/>
        <v>#N/A</v>
      </c>
      <c r="AT116" s="17" t="e">
        <f t="shared" ca="1" si="33"/>
        <v>#N/A</v>
      </c>
      <c r="AU116" s="17" t="e">
        <f t="shared" ca="1" si="33"/>
        <v>#N/A</v>
      </c>
      <c r="AV116" s="17" t="e">
        <f t="shared" ca="1" si="33"/>
        <v>#N/A</v>
      </c>
      <c r="AW116" s="17" t="e">
        <f t="shared" ca="1" si="33"/>
        <v>#N/A</v>
      </c>
      <c r="AX116" s="17" t="e">
        <f t="shared" ca="1" si="33"/>
        <v>#N/A</v>
      </c>
      <c r="AY116" s="17" t="e">
        <f t="shared" ca="1" si="33"/>
        <v>#N/A</v>
      </c>
      <c r="AZ116" s="17" t="e">
        <f t="shared" ca="1" si="33"/>
        <v>#N/A</v>
      </c>
      <c r="BA116" s="17" t="e">
        <f t="shared" ca="1" si="33"/>
        <v>#N/A</v>
      </c>
      <c r="BB116" s="17" t="e">
        <f t="shared" ca="1" si="33"/>
        <v>#N/A</v>
      </c>
      <c r="BC116" s="17" t="e">
        <f t="shared" ca="1" si="33"/>
        <v>#N/A</v>
      </c>
      <c r="BD116" s="17" t="e">
        <f t="shared" ca="1" si="33"/>
        <v>#N/A</v>
      </c>
      <c r="BE116" s="17" t="e">
        <f t="shared" ca="1" si="33"/>
        <v>#N/A</v>
      </c>
      <c r="BF116" s="17" t="e">
        <f t="shared" ca="1" si="33"/>
        <v>#N/A</v>
      </c>
      <c r="BG116" s="17" t="e">
        <f t="shared" ca="1" si="33"/>
        <v>#N/A</v>
      </c>
      <c r="BH116" s="17" t="e">
        <f t="shared" ca="1" si="33"/>
        <v>#N/A</v>
      </c>
      <c r="BI116" s="17" t="e">
        <f t="shared" ca="1" si="33"/>
        <v>#N/A</v>
      </c>
      <c r="BJ116" s="17" t="e">
        <f t="shared" ca="1" si="33"/>
        <v>#N/A</v>
      </c>
      <c r="BK116" s="17" t="e">
        <f t="shared" ca="1" si="33"/>
        <v>#N/A</v>
      </c>
      <c r="BL116" s="17" t="e">
        <f t="shared" ca="1" si="33"/>
        <v>#N/A</v>
      </c>
      <c r="BM116" s="17" t="e">
        <f t="shared" ca="1" si="33"/>
        <v>#N/A</v>
      </c>
      <c r="BN116" s="17" t="e">
        <f t="shared" ca="1" si="33"/>
        <v>#N/A</v>
      </c>
      <c r="BO116" s="17" t="e">
        <f t="shared" ca="1" si="33"/>
        <v>#N/A</v>
      </c>
      <c r="BP116" s="17" t="e">
        <f t="shared" ca="1" si="33"/>
        <v>#N/A</v>
      </c>
      <c r="BQ116" s="17" t="e">
        <f t="shared" ref="BQ116:BV116" ca="1" si="34">BQ56/$D116*100000</f>
        <v>#N/A</v>
      </c>
      <c r="BR116" s="17" t="e">
        <f t="shared" ca="1" si="34"/>
        <v>#N/A</v>
      </c>
      <c r="BS116" s="17" t="e">
        <f t="shared" ca="1" si="34"/>
        <v>#N/A</v>
      </c>
      <c r="BT116" s="17" t="e">
        <f t="shared" ca="1" si="34"/>
        <v>#N/A</v>
      </c>
      <c r="BU116" s="17" t="e">
        <f t="shared" ca="1" si="34"/>
        <v>#N/A</v>
      </c>
      <c r="BV116" s="17" t="e">
        <f t="shared" ca="1" si="34"/>
        <v>#N/A</v>
      </c>
    </row>
    <row r="117" spans="2:74" x14ac:dyDescent="0.25">
      <c r="B117">
        <f t="shared" si="7"/>
        <v>18</v>
      </c>
      <c r="C117" t="str">
        <f t="shared" ca="1" si="8"/>
        <v>Switzerland Nidwalden</v>
      </c>
      <c r="D117" s="1">
        <f t="shared" ca="1" si="8"/>
        <v>43223</v>
      </c>
      <c r="E117" s="17" t="e">
        <f t="shared" ref="E117:BP117" ca="1" si="35">E57/$D117*100000</f>
        <v>#N/A</v>
      </c>
      <c r="F117" s="17" t="e">
        <f t="shared" ca="1" si="35"/>
        <v>#N/A</v>
      </c>
      <c r="G117" s="17" t="e">
        <f t="shared" ca="1" si="35"/>
        <v>#N/A</v>
      </c>
      <c r="H117" s="17" t="e">
        <f t="shared" ca="1" si="35"/>
        <v>#N/A</v>
      </c>
      <c r="I117" s="17" t="e">
        <f t="shared" ca="1" si="35"/>
        <v>#N/A</v>
      </c>
      <c r="J117" s="17" t="e">
        <f t="shared" ca="1" si="35"/>
        <v>#N/A</v>
      </c>
      <c r="K117" s="17" t="e">
        <f t="shared" ca="1" si="35"/>
        <v>#N/A</v>
      </c>
      <c r="L117" s="17" t="e">
        <f t="shared" ca="1" si="35"/>
        <v>#N/A</v>
      </c>
      <c r="M117" s="17" t="e">
        <f t="shared" ca="1" si="35"/>
        <v>#N/A</v>
      </c>
      <c r="N117" s="17" t="e">
        <f t="shared" ca="1" si="35"/>
        <v>#N/A</v>
      </c>
      <c r="O117" s="17" t="e">
        <f t="shared" ca="1" si="35"/>
        <v>#N/A</v>
      </c>
      <c r="P117" s="17" t="e">
        <f t="shared" ca="1" si="35"/>
        <v>#N/A</v>
      </c>
      <c r="Q117" s="17" t="e">
        <f t="shared" ca="1" si="35"/>
        <v>#N/A</v>
      </c>
      <c r="R117" s="17" t="e">
        <f t="shared" ca="1" si="35"/>
        <v>#N/A</v>
      </c>
      <c r="S117" s="17" t="e">
        <f t="shared" ca="1" si="35"/>
        <v>#N/A</v>
      </c>
      <c r="T117" s="17" t="e">
        <f t="shared" ca="1" si="35"/>
        <v>#N/A</v>
      </c>
      <c r="U117" s="17" t="e">
        <f t="shared" ca="1" si="35"/>
        <v>#N/A</v>
      </c>
      <c r="V117" s="17" t="e">
        <f t="shared" ca="1" si="35"/>
        <v>#N/A</v>
      </c>
      <c r="W117" s="17" t="e">
        <f t="shared" ca="1" si="35"/>
        <v>#N/A</v>
      </c>
      <c r="X117" s="17" t="e">
        <f t="shared" ca="1" si="35"/>
        <v>#N/A</v>
      </c>
      <c r="Y117" s="17" t="e">
        <f t="shared" ca="1" si="35"/>
        <v>#N/A</v>
      </c>
      <c r="Z117" s="17" t="e">
        <f t="shared" ca="1" si="35"/>
        <v>#N/A</v>
      </c>
      <c r="AA117" s="17" t="e">
        <f t="shared" ca="1" si="35"/>
        <v>#N/A</v>
      </c>
      <c r="AB117" s="17" t="e">
        <f t="shared" ca="1" si="35"/>
        <v>#N/A</v>
      </c>
      <c r="AC117" s="17" t="e">
        <f t="shared" ca="1" si="35"/>
        <v>#N/A</v>
      </c>
      <c r="AD117" s="17" t="e">
        <f t="shared" ca="1" si="35"/>
        <v>#N/A</v>
      </c>
      <c r="AE117" s="17" t="e">
        <f t="shared" ca="1" si="35"/>
        <v>#N/A</v>
      </c>
      <c r="AF117" s="17" t="e">
        <f t="shared" ca="1" si="35"/>
        <v>#N/A</v>
      </c>
      <c r="AG117" s="17" t="e">
        <f t="shared" ca="1" si="35"/>
        <v>#N/A</v>
      </c>
      <c r="AH117" s="17" t="e">
        <f t="shared" ca="1" si="35"/>
        <v>#N/A</v>
      </c>
      <c r="AI117" s="17" t="e">
        <f t="shared" ca="1" si="35"/>
        <v>#N/A</v>
      </c>
      <c r="AJ117" s="17" t="e">
        <f t="shared" ca="1" si="35"/>
        <v>#N/A</v>
      </c>
      <c r="AK117" s="17" t="e">
        <f t="shared" ca="1" si="35"/>
        <v>#N/A</v>
      </c>
      <c r="AL117" s="17" t="e">
        <f t="shared" ca="1" si="35"/>
        <v>#N/A</v>
      </c>
      <c r="AM117" s="17" t="e">
        <f t="shared" ca="1" si="35"/>
        <v>#N/A</v>
      </c>
      <c r="AN117" s="17" t="e">
        <f t="shared" ca="1" si="35"/>
        <v>#N/A</v>
      </c>
      <c r="AO117" s="17" t="e">
        <f t="shared" ca="1" si="35"/>
        <v>#N/A</v>
      </c>
      <c r="AP117" s="17" t="e">
        <f t="shared" ca="1" si="35"/>
        <v>#N/A</v>
      </c>
      <c r="AQ117" s="17" t="e">
        <f t="shared" ca="1" si="35"/>
        <v>#N/A</v>
      </c>
      <c r="AR117" s="17" t="e">
        <f t="shared" ca="1" si="35"/>
        <v>#N/A</v>
      </c>
      <c r="AS117" s="17" t="e">
        <f t="shared" ca="1" si="35"/>
        <v>#N/A</v>
      </c>
      <c r="AT117" s="17" t="e">
        <f t="shared" ca="1" si="35"/>
        <v>#N/A</v>
      </c>
      <c r="AU117" s="17" t="e">
        <f t="shared" ca="1" si="35"/>
        <v>#N/A</v>
      </c>
      <c r="AV117" s="17" t="e">
        <f t="shared" ca="1" si="35"/>
        <v>#N/A</v>
      </c>
      <c r="AW117" s="17" t="e">
        <f t="shared" ca="1" si="35"/>
        <v>#N/A</v>
      </c>
      <c r="AX117" s="17" t="e">
        <f t="shared" ca="1" si="35"/>
        <v>#N/A</v>
      </c>
      <c r="AY117" s="17" t="e">
        <f t="shared" ca="1" si="35"/>
        <v>#N/A</v>
      </c>
      <c r="AZ117" s="17" t="e">
        <f t="shared" ca="1" si="35"/>
        <v>#N/A</v>
      </c>
      <c r="BA117" s="17" t="e">
        <f t="shared" ca="1" si="35"/>
        <v>#N/A</v>
      </c>
      <c r="BB117" s="17" t="e">
        <f t="shared" ca="1" si="35"/>
        <v>#N/A</v>
      </c>
      <c r="BC117" s="17" t="e">
        <f t="shared" ca="1" si="35"/>
        <v>#N/A</v>
      </c>
      <c r="BD117" s="17" t="e">
        <f t="shared" ca="1" si="35"/>
        <v>#N/A</v>
      </c>
      <c r="BE117" s="17" t="e">
        <f t="shared" ca="1" si="35"/>
        <v>#N/A</v>
      </c>
      <c r="BF117" s="17" t="e">
        <f t="shared" ca="1" si="35"/>
        <v>#N/A</v>
      </c>
      <c r="BG117" s="17" t="e">
        <f t="shared" ca="1" si="35"/>
        <v>#N/A</v>
      </c>
      <c r="BH117" s="17" t="e">
        <f t="shared" ca="1" si="35"/>
        <v>#N/A</v>
      </c>
      <c r="BI117" s="17" t="e">
        <f t="shared" ca="1" si="35"/>
        <v>#N/A</v>
      </c>
      <c r="BJ117" s="17" t="e">
        <f t="shared" ca="1" si="35"/>
        <v>#N/A</v>
      </c>
      <c r="BK117" s="17" t="e">
        <f t="shared" ca="1" si="35"/>
        <v>#N/A</v>
      </c>
      <c r="BL117" s="17" t="e">
        <f t="shared" ca="1" si="35"/>
        <v>#N/A</v>
      </c>
      <c r="BM117" s="17" t="e">
        <f t="shared" ca="1" si="35"/>
        <v>#N/A</v>
      </c>
      <c r="BN117" s="17" t="e">
        <f t="shared" ca="1" si="35"/>
        <v>#N/A</v>
      </c>
      <c r="BO117" s="17" t="e">
        <f t="shared" ca="1" si="35"/>
        <v>#N/A</v>
      </c>
      <c r="BP117" s="17" t="e">
        <f t="shared" ca="1" si="35"/>
        <v>#N/A</v>
      </c>
      <c r="BQ117" s="17" t="e">
        <f t="shared" ref="BQ117:BV117" ca="1" si="36">BQ57/$D117*100000</f>
        <v>#N/A</v>
      </c>
      <c r="BR117" s="17" t="e">
        <f t="shared" ca="1" si="36"/>
        <v>#N/A</v>
      </c>
      <c r="BS117" s="17" t="e">
        <f t="shared" ca="1" si="36"/>
        <v>#N/A</v>
      </c>
      <c r="BT117" s="17" t="e">
        <f t="shared" ca="1" si="36"/>
        <v>#N/A</v>
      </c>
      <c r="BU117" s="17" t="e">
        <f t="shared" ca="1" si="36"/>
        <v>#N/A</v>
      </c>
      <c r="BV117" s="17" t="e">
        <f t="shared" ca="1" si="36"/>
        <v>#N/A</v>
      </c>
    </row>
    <row r="118" spans="2:74" x14ac:dyDescent="0.25">
      <c r="B118">
        <f t="shared" si="7"/>
        <v>19</v>
      </c>
      <c r="C118" t="str">
        <f t="shared" ca="1" si="8"/>
        <v>Switzerland Obwalden</v>
      </c>
      <c r="D118" s="1">
        <f t="shared" ca="1" si="8"/>
        <v>37841</v>
      </c>
      <c r="E118" s="17" t="e">
        <f t="shared" ref="E118:BP118" ca="1" si="37">E58/$D118*100000</f>
        <v>#N/A</v>
      </c>
      <c r="F118" s="17" t="e">
        <f t="shared" ca="1" si="37"/>
        <v>#N/A</v>
      </c>
      <c r="G118" s="17" t="e">
        <f t="shared" ca="1" si="37"/>
        <v>#N/A</v>
      </c>
      <c r="H118" s="17" t="e">
        <f t="shared" ca="1" si="37"/>
        <v>#N/A</v>
      </c>
      <c r="I118" s="17" t="e">
        <f t="shared" ca="1" si="37"/>
        <v>#N/A</v>
      </c>
      <c r="J118" s="17" t="e">
        <f t="shared" ca="1" si="37"/>
        <v>#N/A</v>
      </c>
      <c r="K118" s="17" t="e">
        <f t="shared" ca="1" si="37"/>
        <v>#N/A</v>
      </c>
      <c r="L118" s="17" t="e">
        <f t="shared" ca="1" si="37"/>
        <v>#N/A</v>
      </c>
      <c r="M118" s="17" t="e">
        <f t="shared" ca="1" si="37"/>
        <v>#N/A</v>
      </c>
      <c r="N118" s="17" t="e">
        <f t="shared" ca="1" si="37"/>
        <v>#N/A</v>
      </c>
      <c r="O118" s="17" t="e">
        <f t="shared" ca="1" si="37"/>
        <v>#N/A</v>
      </c>
      <c r="P118" s="17" t="e">
        <f t="shared" ca="1" si="37"/>
        <v>#N/A</v>
      </c>
      <c r="Q118" s="17" t="e">
        <f t="shared" ca="1" si="37"/>
        <v>#N/A</v>
      </c>
      <c r="R118" s="17" t="e">
        <f t="shared" ca="1" si="37"/>
        <v>#N/A</v>
      </c>
      <c r="S118" s="17" t="e">
        <f t="shared" ca="1" si="37"/>
        <v>#N/A</v>
      </c>
      <c r="T118" s="17" t="e">
        <f t="shared" ca="1" si="37"/>
        <v>#N/A</v>
      </c>
      <c r="U118" s="17" t="e">
        <f t="shared" ca="1" si="37"/>
        <v>#N/A</v>
      </c>
      <c r="V118" s="17" t="e">
        <f t="shared" ca="1" si="37"/>
        <v>#N/A</v>
      </c>
      <c r="W118" s="17" t="e">
        <f t="shared" ca="1" si="37"/>
        <v>#N/A</v>
      </c>
      <c r="X118" s="17" t="e">
        <f t="shared" ca="1" si="37"/>
        <v>#N/A</v>
      </c>
      <c r="Y118" s="17" t="e">
        <f t="shared" ca="1" si="37"/>
        <v>#N/A</v>
      </c>
      <c r="Z118" s="17" t="e">
        <f t="shared" ca="1" si="37"/>
        <v>#N/A</v>
      </c>
      <c r="AA118" s="17" t="e">
        <f t="shared" ca="1" si="37"/>
        <v>#N/A</v>
      </c>
      <c r="AB118" s="17" t="e">
        <f t="shared" ca="1" si="37"/>
        <v>#N/A</v>
      </c>
      <c r="AC118" s="17" t="e">
        <f t="shared" ca="1" si="37"/>
        <v>#N/A</v>
      </c>
      <c r="AD118" s="17" t="e">
        <f t="shared" ca="1" si="37"/>
        <v>#N/A</v>
      </c>
      <c r="AE118" s="17" t="e">
        <f t="shared" ca="1" si="37"/>
        <v>#N/A</v>
      </c>
      <c r="AF118" s="17" t="e">
        <f t="shared" ca="1" si="37"/>
        <v>#N/A</v>
      </c>
      <c r="AG118" s="17" t="e">
        <f t="shared" ca="1" si="37"/>
        <v>#N/A</v>
      </c>
      <c r="AH118" s="17" t="e">
        <f t="shared" ca="1" si="37"/>
        <v>#N/A</v>
      </c>
      <c r="AI118" s="17" t="e">
        <f t="shared" ca="1" si="37"/>
        <v>#N/A</v>
      </c>
      <c r="AJ118" s="17" t="e">
        <f t="shared" ca="1" si="37"/>
        <v>#N/A</v>
      </c>
      <c r="AK118" s="17" t="e">
        <f t="shared" ca="1" si="37"/>
        <v>#N/A</v>
      </c>
      <c r="AL118" s="17" t="e">
        <f t="shared" ca="1" si="37"/>
        <v>#N/A</v>
      </c>
      <c r="AM118" s="17" t="e">
        <f t="shared" ca="1" si="37"/>
        <v>#N/A</v>
      </c>
      <c r="AN118" s="17" t="e">
        <f t="shared" ca="1" si="37"/>
        <v>#N/A</v>
      </c>
      <c r="AO118" s="17" t="e">
        <f t="shared" ca="1" si="37"/>
        <v>#N/A</v>
      </c>
      <c r="AP118" s="17" t="e">
        <f t="shared" ca="1" si="37"/>
        <v>#N/A</v>
      </c>
      <c r="AQ118" s="17" t="e">
        <f t="shared" ca="1" si="37"/>
        <v>#N/A</v>
      </c>
      <c r="AR118" s="17" t="e">
        <f t="shared" ca="1" si="37"/>
        <v>#N/A</v>
      </c>
      <c r="AS118" s="17" t="e">
        <f t="shared" ca="1" si="37"/>
        <v>#N/A</v>
      </c>
      <c r="AT118" s="17" t="e">
        <f t="shared" ca="1" si="37"/>
        <v>#N/A</v>
      </c>
      <c r="AU118" s="17" t="e">
        <f t="shared" ca="1" si="37"/>
        <v>#N/A</v>
      </c>
      <c r="AV118" s="17" t="e">
        <f t="shared" ca="1" si="37"/>
        <v>#N/A</v>
      </c>
      <c r="AW118" s="17" t="e">
        <f t="shared" ca="1" si="37"/>
        <v>#N/A</v>
      </c>
      <c r="AX118" s="17" t="e">
        <f t="shared" ca="1" si="37"/>
        <v>#N/A</v>
      </c>
      <c r="AY118" s="17" t="e">
        <f t="shared" ca="1" si="37"/>
        <v>#N/A</v>
      </c>
      <c r="AZ118" s="17" t="e">
        <f t="shared" ca="1" si="37"/>
        <v>#N/A</v>
      </c>
      <c r="BA118" s="17" t="e">
        <f t="shared" ca="1" si="37"/>
        <v>#N/A</v>
      </c>
      <c r="BB118" s="17" t="e">
        <f t="shared" ca="1" si="37"/>
        <v>#N/A</v>
      </c>
      <c r="BC118" s="17" t="e">
        <f t="shared" ca="1" si="37"/>
        <v>#N/A</v>
      </c>
      <c r="BD118" s="17" t="e">
        <f t="shared" ca="1" si="37"/>
        <v>#N/A</v>
      </c>
      <c r="BE118" s="17" t="e">
        <f t="shared" ca="1" si="37"/>
        <v>#N/A</v>
      </c>
      <c r="BF118" s="17" t="e">
        <f t="shared" ca="1" si="37"/>
        <v>#N/A</v>
      </c>
      <c r="BG118" s="17" t="e">
        <f t="shared" ca="1" si="37"/>
        <v>#N/A</v>
      </c>
      <c r="BH118" s="17" t="e">
        <f t="shared" ca="1" si="37"/>
        <v>#N/A</v>
      </c>
      <c r="BI118" s="17" t="e">
        <f t="shared" ca="1" si="37"/>
        <v>#N/A</v>
      </c>
      <c r="BJ118" s="17" t="e">
        <f t="shared" ca="1" si="37"/>
        <v>#N/A</v>
      </c>
      <c r="BK118" s="17" t="e">
        <f t="shared" ca="1" si="37"/>
        <v>#N/A</v>
      </c>
      <c r="BL118" s="17" t="e">
        <f t="shared" ca="1" si="37"/>
        <v>#N/A</v>
      </c>
      <c r="BM118" s="17" t="e">
        <f t="shared" ca="1" si="37"/>
        <v>#N/A</v>
      </c>
      <c r="BN118" s="17" t="e">
        <f t="shared" ca="1" si="37"/>
        <v>#N/A</v>
      </c>
      <c r="BO118" s="17" t="e">
        <f t="shared" ca="1" si="37"/>
        <v>#N/A</v>
      </c>
      <c r="BP118" s="17" t="e">
        <f t="shared" ca="1" si="37"/>
        <v>#N/A</v>
      </c>
      <c r="BQ118" s="17" t="e">
        <f t="shared" ref="BQ118:BV118" ca="1" si="38">BQ58/$D118*100000</f>
        <v>#N/A</v>
      </c>
      <c r="BR118" s="17" t="e">
        <f t="shared" ca="1" si="38"/>
        <v>#N/A</v>
      </c>
      <c r="BS118" s="17" t="e">
        <f t="shared" ca="1" si="38"/>
        <v>#N/A</v>
      </c>
      <c r="BT118" s="17" t="e">
        <f t="shared" ca="1" si="38"/>
        <v>#N/A</v>
      </c>
      <c r="BU118" s="17" t="e">
        <f t="shared" ca="1" si="38"/>
        <v>#N/A</v>
      </c>
      <c r="BV118" s="17" t="e">
        <f t="shared" ca="1" si="38"/>
        <v>#N/A</v>
      </c>
    </row>
    <row r="119" spans="2:74" x14ac:dyDescent="0.25">
      <c r="B119">
        <f t="shared" si="7"/>
        <v>20</v>
      </c>
      <c r="C119" t="str">
        <f t="shared" ca="1" si="8"/>
        <v>Switzerland Schaffhausen</v>
      </c>
      <c r="D119" s="1">
        <f t="shared" ca="1" si="8"/>
        <v>81991</v>
      </c>
      <c r="E119" s="17" t="e">
        <f t="shared" ref="E119:BP119" ca="1" si="39">E59/$D119*100000</f>
        <v>#N/A</v>
      </c>
      <c r="F119" s="17" t="e">
        <f t="shared" ca="1" si="39"/>
        <v>#N/A</v>
      </c>
      <c r="G119" s="17" t="e">
        <f t="shared" ca="1" si="39"/>
        <v>#N/A</v>
      </c>
      <c r="H119" s="17" t="e">
        <f t="shared" ca="1" si="39"/>
        <v>#N/A</v>
      </c>
      <c r="I119" s="17" t="e">
        <f t="shared" ca="1" si="39"/>
        <v>#N/A</v>
      </c>
      <c r="J119" s="17" t="e">
        <f t="shared" ca="1" si="39"/>
        <v>#N/A</v>
      </c>
      <c r="K119" s="17" t="e">
        <f t="shared" ca="1" si="39"/>
        <v>#N/A</v>
      </c>
      <c r="L119" s="17" t="e">
        <f t="shared" ca="1" si="39"/>
        <v>#N/A</v>
      </c>
      <c r="M119" s="17" t="e">
        <f t="shared" ca="1" si="39"/>
        <v>#N/A</v>
      </c>
      <c r="N119" s="17" t="e">
        <f t="shared" ca="1" si="39"/>
        <v>#N/A</v>
      </c>
      <c r="O119" s="17" t="e">
        <f t="shared" ca="1" si="39"/>
        <v>#N/A</v>
      </c>
      <c r="P119" s="17" t="e">
        <f t="shared" ca="1" si="39"/>
        <v>#N/A</v>
      </c>
      <c r="Q119" s="17" t="e">
        <f t="shared" ca="1" si="39"/>
        <v>#N/A</v>
      </c>
      <c r="R119" s="17" t="e">
        <f t="shared" ca="1" si="39"/>
        <v>#N/A</v>
      </c>
      <c r="S119" s="17" t="e">
        <f t="shared" ca="1" si="39"/>
        <v>#N/A</v>
      </c>
      <c r="T119" s="17" t="e">
        <f t="shared" ca="1" si="39"/>
        <v>#N/A</v>
      </c>
      <c r="U119" s="17" t="e">
        <f t="shared" ca="1" si="39"/>
        <v>#N/A</v>
      </c>
      <c r="V119" s="17" t="e">
        <f t="shared" ca="1" si="39"/>
        <v>#N/A</v>
      </c>
      <c r="W119" s="17" t="e">
        <f t="shared" ca="1" si="39"/>
        <v>#N/A</v>
      </c>
      <c r="X119" s="17" t="e">
        <f t="shared" ca="1" si="39"/>
        <v>#N/A</v>
      </c>
      <c r="Y119" s="17" t="e">
        <f t="shared" ca="1" si="39"/>
        <v>#N/A</v>
      </c>
      <c r="Z119" s="17" t="e">
        <f t="shared" ca="1" si="39"/>
        <v>#N/A</v>
      </c>
      <c r="AA119" s="17" t="e">
        <f t="shared" ca="1" si="39"/>
        <v>#N/A</v>
      </c>
      <c r="AB119" s="17" t="e">
        <f t="shared" ca="1" si="39"/>
        <v>#N/A</v>
      </c>
      <c r="AC119" s="17" t="e">
        <f t="shared" ca="1" si="39"/>
        <v>#N/A</v>
      </c>
      <c r="AD119" s="17" t="e">
        <f t="shared" ca="1" si="39"/>
        <v>#N/A</v>
      </c>
      <c r="AE119" s="17" t="e">
        <f t="shared" ca="1" si="39"/>
        <v>#N/A</v>
      </c>
      <c r="AF119" s="17" t="e">
        <f t="shared" ca="1" si="39"/>
        <v>#N/A</v>
      </c>
      <c r="AG119" s="17" t="e">
        <f t="shared" ca="1" si="39"/>
        <v>#N/A</v>
      </c>
      <c r="AH119" s="17" t="e">
        <f t="shared" ca="1" si="39"/>
        <v>#N/A</v>
      </c>
      <c r="AI119" s="17" t="e">
        <f t="shared" ca="1" si="39"/>
        <v>#N/A</v>
      </c>
      <c r="AJ119" s="17" t="e">
        <f t="shared" ca="1" si="39"/>
        <v>#N/A</v>
      </c>
      <c r="AK119" s="17" t="e">
        <f t="shared" ca="1" si="39"/>
        <v>#N/A</v>
      </c>
      <c r="AL119" s="17" t="e">
        <f t="shared" ca="1" si="39"/>
        <v>#N/A</v>
      </c>
      <c r="AM119" s="17" t="e">
        <f t="shared" ca="1" si="39"/>
        <v>#N/A</v>
      </c>
      <c r="AN119" s="17" t="e">
        <f t="shared" ca="1" si="39"/>
        <v>#N/A</v>
      </c>
      <c r="AO119" s="17" t="e">
        <f t="shared" ca="1" si="39"/>
        <v>#N/A</v>
      </c>
      <c r="AP119" s="17" t="e">
        <f t="shared" ca="1" si="39"/>
        <v>#N/A</v>
      </c>
      <c r="AQ119" s="17" t="e">
        <f t="shared" ca="1" si="39"/>
        <v>#N/A</v>
      </c>
      <c r="AR119" s="17" t="e">
        <f t="shared" ca="1" si="39"/>
        <v>#N/A</v>
      </c>
      <c r="AS119" s="17" t="e">
        <f t="shared" ca="1" si="39"/>
        <v>#N/A</v>
      </c>
      <c r="AT119" s="17" t="e">
        <f t="shared" ca="1" si="39"/>
        <v>#N/A</v>
      </c>
      <c r="AU119" s="17" t="e">
        <f t="shared" ca="1" si="39"/>
        <v>#N/A</v>
      </c>
      <c r="AV119" s="17" t="e">
        <f t="shared" ca="1" si="39"/>
        <v>#N/A</v>
      </c>
      <c r="AW119" s="17" t="e">
        <f t="shared" ca="1" si="39"/>
        <v>#N/A</v>
      </c>
      <c r="AX119" s="17" t="e">
        <f t="shared" ca="1" si="39"/>
        <v>#N/A</v>
      </c>
      <c r="AY119" s="17" t="e">
        <f t="shared" ca="1" si="39"/>
        <v>#N/A</v>
      </c>
      <c r="AZ119" s="17" t="e">
        <f t="shared" ca="1" si="39"/>
        <v>#N/A</v>
      </c>
      <c r="BA119" s="17" t="e">
        <f t="shared" ca="1" si="39"/>
        <v>#N/A</v>
      </c>
      <c r="BB119" s="17" t="e">
        <f t="shared" ca="1" si="39"/>
        <v>#N/A</v>
      </c>
      <c r="BC119" s="17" t="e">
        <f t="shared" ca="1" si="39"/>
        <v>#N/A</v>
      </c>
      <c r="BD119" s="17" t="e">
        <f t="shared" ca="1" si="39"/>
        <v>#N/A</v>
      </c>
      <c r="BE119" s="17" t="e">
        <f t="shared" ca="1" si="39"/>
        <v>#N/A</v>
      </c>
      <c r="BF119" s="17" t="e">
        <f t="shared" ca="1" si="39"/>
        <v>#N/A</v>
      </c>
      <c r="BG119" s="17" t="e">
        <f t="shared" ca="1" si="39"/>
        <v>#N/A</v>
      </c>
      <c r="BH119" s="17" t="e">
        <f t="shared" ca="1" si="39"/>
        <v>#N/A</v>
      </c>
      <c r="BI119" s="17" t="e">
        <f t="shared" ca="1" si="39"/>
        <v>#N/A</v>
      </c>
      <c r="BJ119" s="17" t="e">
        <f t="shared" ca="1" si="39"/>
        <v>#N/A</v>
      </c>
      <c r="BK119" s="17" t="e">
        <f t="shared" ca="1" si="39"/>
        <v>#N/A</v>
      </c>
      <c r="BL119" s="17" t="e">
        <f t="shared" ca="1" si="39"/>
        <v>#N/A</v>
      </c>
      <c r="BM119" s="17" t="e">
        <f t="shared" ca="1" si="39"/>
        <v>#N/A</v>
      </c>
      <c r="BN119" s="17" t="e">
        <f t="shared" ca="1" si="39"/>
        <v>#N/A</v>
      </c>
      <c r="BO119" s="17" t="e">
        <f t="shared" ca="1" si="39"/>
        <v>#N/A</v>
      </c>
      <c r="BP119" s="17" t="e">
        <f t="shared" ca="1" si="39"/>
        <v>#N/A</v>
      </c>
      <c r="BQ119" s="17" t="e">
        <f t="shared" ref="BQ119:BV119" ca="1" si="40">BQ59/$D119*100000</f>
        <v>#N/A</v>
      </c>
      <c r="BR119" s="17" t="e">
        <f t="shared" ca="1" si="40"/>
        <v>#N/A</v>
      </c>
      <c r="BS119" s="17" t="e">
        <f t="shared" ca="1" si="40"/>
        <v>#N/A</v>
      </c>
      <c r="BT119" s="17" t="e">
        <f t="shared" ca="1" si="40"/>
        <v>#N/A</v>
      </c>
      <c r="BU119" s="17" t="e">
        <f t="shared" ca="1" si="40"/>
        <v>#N/A</v>
      </c>
      <c r="BV119" s="17" t="e">
        <f t="shared" ca="1" si="40"/>
        <v>#N/A</v>
      </c>
    </row>
    <row r="120" spans="2:74" x14ac:dyDescent="0.25">
      <c r="B120">
        <f t="shared" si="7"/>
        <v>21</v>
      </c>
      <c r="C120" t="str">
        <f t="shared" ca="1" si="8"/>
        <v>Switzerland Schwyz</v>
      </c>
      <c r="D120" s="1">
        <f t="shared" ca="1" si="8"/>
        <v>159165</v>
      </c>
      <c r="E120" s="17" t="e">
        <f t="shared" ref="E120:BP120" ca="1" si="41">E60/$D120*100000</f>
        <v>#N/A</v>
      </c>
      <c r="F120" s="17" t="e">
        <f t="shared" ca="1" si="41"/>
        <v>#N/A</v>
      </c>
      <c r="G120" s="17" t="e">
        <f t="shared" ca="1" si="41"/>
        <v>#N/A</v>
      </c>
      <c r="H120" s="17" t="e">
        <f t="shared" ca="1" si="41"/>
        <v>#N/A</v>
      </c>
      <c r="I120" s="17" t="e">
        <f t="shared" ca="1" si="41"/>
        <v>#N/A</v>
      </c>
      <c r="J120" s="17" t="e">
        <f t="shared" ca="1" si="41"/>
        <v>#N/A</v>
      </c>
      <c r="K120" s="17" t="e">
        <f t="shared" ca="1" si="41"/>
        <v>#N/A</v>
      </c>
      <c r="L120" s="17" t="e">
        <f t="shared" ca="1" si="41"/>
        <v>#N/A</v>
      </c>
      <c r="M120" s="17" t="e">
        <f t="shared" ca="1" si="41"/>
        <v>#N/A</v>
      </c>
      <c r="N120" s="17" t="e">
        <f t="shared" ca="1" si="41"/>
        <v>#N/A</v>
      </c>
      <c r="O120" s="17" t="e">
        <f t="shared" ca="1" si="41"/>
        <v>#N/A</v>
      </c>
      <c r="P120" s="17" t="e">
        <f t="shared" ca="1" si="41"/>
        <v>#N/A</v>
      </c>
      <c r="Q120" s="17" t="e">
        <f t="shared" ca="1" si="41"/>
        <v>#N/A</v>
      </c>
      <c r="R120" s="17" t="e">
        <f t="shared" ca="1" si="41"/>
        <v>#N/A</v>
      </c>
      <c r="S120" s="17" t="e">
        <f t="shared" ca="1" si="41"/>
        <v>#N/A</v>
      </c>
      <c r="T120" s="17" t="e">
        <f t="shared" ca="1" si="41"/>
        <v>#N/A</v>
      </c>
      <c r="U120" s="17" t="e">
        <f t="shared" ca="1" si="41"/>
        <v>#N/A</v>
      </c>
      <c r="V120" s="17" t="e">
        <f t="shared" ca="1" si="41"/>
        <v>#N/A</v>
      </c>
      <c r="W120" s="17" t="e">
        <f t="shared" ca="1" si="41"/>
        <v>#N/A</v>
      </c>
      <c r="X120" s="17" t="e">
        <f t="shared" ca="1" si="41"/>
        <v>#N/A</v>
      </c>
      <c r="Y120" s="17" t="e">
        <f t="shared" ca="1" si="41"/>
        <v>#N/A</v>
      </c>
      <c r="Z120" s="17" t="e">
        <f t="shared" ca="1" si="41"/>
        <v>#N/A</v>
      </c>
      <c r="AA120" s="17" t="e">
        <f t="shared" ca="1" si="41"/>
        <v>#N/A</v>
      </c>
      <c r="AB120" s="17" t="e">
        <f t="shared" ca="1" si="41"/>
        <v>#N/A</v>
      </c>
      <c r="AC120" s="17" t="e">
        <f t="shared" ca="1" si="41"/>
        <v>#N/A</v>
      </c>
      <c r="AD120" s="17" t="e">
        <f t="shared" ca="1" si="41"/>
        <v>#N/A</v>
      </c>
      <c r="AE120" s="17" t="e">
        <f t="shared" ca="1" si="41"/>
        <v>#N/A</v>
      </c>
      <c r="AF120" s="17" t="e">
        <f t="shared" ca="1" si="41"/>
        <v>#N/A</v>
      </c>
      <c r="AG120" s="17" t="e">
        <f t="shared" ca="1" si="41"/>
        <v>#N/A</v>
      </c>
      <c r="AH120" s="17" t="e">
        <f t="shared" ca="1" si="41"/>
        <v>#N/A</v>
      </c>
      <c r="AI120" s="17" t="e">
        <f t="shared" ca="1" si="41"/>
        <v>#N/A</v>
      </c>
      <c r="AJ120" s="17" t="e">
        <f t="shared" ca="1" si="41"/>
        <v>#N/A</v>
      </c>
      <c r="AK120" s="17" t="e">
        <f t="shared" ca="1" si="41"/>
        <v>#N/A</v>
      </c>
      <c r="AL120" s="17" t="e">
        <f t="shared" ca="1" si="41"/>
        <v>#N/A</v>
      </c>
      <c r="AM120" s="17" t="e">
        <f t="shared" ca="1" si="41"/>
        <v>#N/A</v>
      </c>
      <c r="AN120" s="17" t="e">
        <f t="shared" ca="1" si="41"/>
        <v>#N/A</v>
      </c>
      <c r="AO120" s="17" t="e">
        <f t="shared" ca="1" si="41"/>
        <v>#N/A</v>
      </c>
      <c r="AP120" s="17" t="e">
        <f t="shared" ca="1" si="41"/>
        <v>#N/A</v>
      </c>
      <c r="AQ120" s="17" t="e">
        <f t="shared" ca="1" si="41"/>
        <v>#N/A</v>
      </c>
      <c r="AR120" s="17" t="e">
        <f t="shared" ca="1" si="41"/>
        <v>#N/A</v>
      </c>
      <c r="AS120" s="17" t="e">
        <f t="shared" ca="1" si="41"/>
        <v>#N/A</v>
      </c>
      <c r="AT120" s="17" t="e">
        <f t="shared" ca="1" si="41"/>
        <v>#N/A</v>
      </c>
      <c r="AU120" s="17" t="e">
        <f t="shared" ca="1" si="41"/>
        <v>#N/A</v>
      </c>
      <c r="AV120" s="17" t="e">
        <f t="shared" ca="1" si="41"/>
        <v>#N/A</v>
      </c>
      <c r="AW120" s="17" t="e">
        <f t="shared" ca="1" si="41"/>
        <v>#N/A</v>
      </c>
      <c r="AX120" s="17" t="e">
        <f t="shared" ca="1" si="41"/>
        <v>#N/A</v>
      </c>
      <c r="AY120" s="17" t="e">
        <f t="shared" ca="1" si="41"/>
        <v>#N/A</v>
      </c>
      <c r="AZ120" s="17" t="e">
        <f t="shared" ca="1" si="41"/>
        <v>#N/A</v>
      </c>
      <c r="BA120" s="17" t="e">
        <f t="shared" ca="1" si="41"/>
        <v>#N/A</v>
      </c>
      <c r="BB120" s="17" t="e">
        <f t="shared" ca="1" si="41"/>
        <v>#N/A</v>
      </c>
      <c r="BC120" s="17" t="e">
        <f t="shared" ca="1" si="41"/>
        <v>#N/A</v>
      </c>
      <c r="BD120" s="17" t="e">
        <f t="shared" ca="1" si="41"/>
        <v>#N/A</v>
      </c>
      <c r="BE120" s="17" t="e">
        <f t="shared" ca="1" si="41"/>
        <v>#N/A</v>
      </c>
      <c r="BF120" s="17" t="e">
        <f t="shared" ca="1" si="41"/>
        <v>#N/A</v>
      </c>
      <c r="BG120" s="17" t="e">
        <f t="shared" ca="1" si="41"/>
        <v>#N/A</v>
      </c>
      <c r="BH120" s="17" t="e">
        <f t="shared" ca="1" si="41"/>
        <v>#N/A</v>
      </c>
      <c r="BI120" s="17" t="e">
        <f t="shared" ca="1" si="41"/>
        <v>#N/A</v>
      </c>
      <c r="BJ120" s="17" t="e">
        <f t="shared" ca="1" si="41"/>
        <v>#N/A</v>
      </c>
      <c r="BK120" s="17" t="e">
        <f t="shared" ca="1" si="41"/>
        <v>#N/A</v>
      </c>
      <c r="BL120" s="17" t="e">
        <f t="shared" ca="1" si="41"/>
        <v>#N/A</v>
      </c>
      <c r="BM120" s="17" t="e">
        <f t="shared" ca="1" si="41"/>
        <v>#N/A</v>
      </c>
      <c r="BN120" s="17" t="e">
        <f t="shared" ca="1" si="41"/>
        <v>#N/A</v>
      </c>
      <c r="BO120" s="17" t="e">
        <f t="shared" ca="1" si="41"/>
        <v>#N/A</v>
      </c>
      <c r="BP120" s="17" t="e">
        <f t="shared" ca="1" si="41"/>
        <v>#N/A</v>
      </c>
      <c r="BQ120" s="17" t="e">
        <f t="shared" ref="BQ120:BV120" ca="1" si="42">BQ60/$D120*100000</f>
        <v>#N/A</v>
      </c>
      <c r="BR120" s="17" t="e">
        <f t="shared" ca="1" si="42"/>
        <v>#N/A</v>
      </c>
      <c r="BS120" s="17" t="e">
        <f t="shared" ca="1" si="42"/>
        <v>#N/A</v>
      </c>
      <c r="BT120" s="17" t="e">
        <f t="shared" ca="1" si="42"/>
        <v>#N/A</v>
      </c>
      <c r="BU120" s="17" t="e">
        <f t="shared" ca="1" si="42"/>
        <v>#N/A</v>
      </c>
      <c r="BV120" s="17" t="e">
        <f t="shared" ca="1" si="42"/>
        <v>#N/A</v>
      </c>
    </row>
    <row r="121" spans="2:74" x14ac:dyDescent="0.25">
      <c r="B121">
        <f t="shared" si="7"/>
        <v>22</v>
      </c>
      <c r="C121" t="str">
        <f t="shared" ca="1" si="8"/>
        <v>Switzerland Solothurn</v>
      </c>
      <c r="D121" s="1">
        <f t="shared" ca="1" si="8"/>
        <v>273194</v>
      </c>
      <c r="E121" s="17">
        <f t="shared" ref="E121:BP121" ca="1" si="43">E61/$D121*100000</f>
        <v>24.158656485867187</v>
      </c>
      <c r="F121" s="17">
        <f t="shared" ca="1" si="43"/>
        <v>24.158656485867187</v>
      </c>
      <c r="G121" s="17">
        <f t="shared" ca="1" si="43"/>
        <v>24.158656485867187</v>
      </c>
      <c r="H121" s="17">
        <f t="shared" ca="1" si="43"/>
        <v>34.773823729657309</v>
      </c>
      <c r="I121" s="17" t="e">
        <f t="shared" ca="1" si="43"/>
        <v>#N/A</v>
      </c>
      <c r="J121" s="17" t="e">
        <f t="shared" ca="1" si="43"/>
        <v>#N/A</v>
      </c>
      <c r="K121" s="17" t="e">
        <f t="shared" ca="1" si="43"/>
        <v>#N/A</v>
      </c>
      <c r="L121" s="17" t="e">
        <f t="shared" ca="1" si="43"/>
        <v>#N/A</v>
      </c>
      <c r="M121" s="17" t="e">
        <f t="shared" ca="1" si="43"/>
        <v>#N/A</v>
      </c>
      <c r="N121" s="17" t="e">
        <f t="shared" ca="1" si="43"/>
        <v>#N/A</v>
      </c>
      <c r="O121" s="17" t="e">
        <f t="shared" ca="1" si="43"/>
        <v>#N/A</v>
      </c>
      <c r="P121" s="17" t="e">
        <f t="shared" ca="1" si="43"/>
        <v>#N/A</v>
      </c>
      <c r="Q121" s="17" t="e">
        <f t="shared" ca="1" si="43"/>
        <v>#N/A</v>
      </c>
      <c r="R121" s="17" t="e">
        <f t="shared" ca="1" si="43"/>
        <v>#N/A</v>
      </c>
      <c r="S121" s="17" t="e">
        <f t="shared" ca="1" si="43"/>
        <v>#N/A</v>
      </c>
      <c r="T121" s="17" t="e">
        <f t="shared" ca="1" si="43"/>
        <v>#N/A</v>
      </c>
      <c r="U121" s="17" t="e">
        <f t="shared" ca="1" si="43"/>
        <v>#N/A</v>
      </c>
      <c r="V121" s="17" t="e">
        <f t="shared" ca="1" si="43"/>
        <v>#N/A</v>
      </c>
      <c r="W121" s="17" t="e">
        <f t="shared" ca="1" si="43"/>
        <v>#N/A</v>
      </c>
      <c r="X121" s="17" t="e">
        <f t="shared" ca="1" si="43"/>
        <v>#N/A</v>
      </c>
      <c r="Y121" s="17" t="e">
        <f t="shared" ca="1" si="43"/>
        <v>#N/A</v>
      </c>
      <c r="Z121" s="17" t="e">
        <f t="shared" ca="1" si="43"/>
        <v>#N/A</v>
      </c>
      <c r="AA121" s="17" t="e">
        <f t="shared" ca="1" si="43"/>
        <v>#N/A</v>
      </c>
      <c r="AB121" s="17" t="e">
        <f t="shared" ca="1" si="43"/>
        <v>#N/A</v>
      </c>
      <c r="AC121" s="17" t="e">
        <f t="shared" ca="1" si="43"/>
        <v>#N/A</v>
      </c>
      <c r="AD121" s="17" t="e">
        <f t="shared" ca="1" si="43"/>
        <v>#N/A</v>
      </c>
      <c r="AE121" s="17" t="e">
        <f t="shared" ca="1" si="43"/>
        <v>#N/A</v>
      </c>
      <c r="AF121" s="17" t="e">
        <f t="shared" ca="1" si="43"/>
        <v>#N/A</v>
      </c>
      <c r="AG121" s="17" t="e">
        <f t="shared" ca="1" si="43"/>
        <v>#N/A</v>
      </c>
      <c r="AH121" s="17" t="e">
        <f t="shared" ca="1" si="43"/>
        <v>#N/A</v>
      </c>
      <c r="AI121" s="17" t="e">
        <f t="shared" ca="1" si="43"/>
        <v>#N/A</v>
      </c>
      <c r="AJ121" s="17" t="e">
        <f t="shared" ca="1" si="43"/>
        <v>#N/A</v>
      </c>
      <c r="AK121" s="17" t="e">
        <f t="shared" ca="1" si="43"/>
        <v>#N/A</v>
      </c>
      <c r="AL121" s="17" t="e">
        <f t="shared" ca="1" si="43"/>
        <v>#N/A</v>
      </c>
      <c r="AM121" s="17" t="e">
        <f t="shared" ca="1" si="43"/>
        <v>#N/A</v>
      </c>
      <c r="AN121" s="17" t="e">
        <f t="shared" ca="1" si="43"/>
        <v>#N/A</v>
      </c>
      <c r="AO121" s="17" t="e">
        <f t="shared" ca="1" si="43"/>
        <v>#N/A</v>
      </c>
      <c r="AP121" s="17" t="e">
        <f t="shared" ca="1" si="43"/>
        <v>#N/A</v>
      </c>
      <c r="AQ121" s="17" t="e">
        <f t="shared" ca="1" si="43"/>
        <v>#N/A</v>
      </c>
      <c r="AR121" s="17" t="e">
        <f t="shared" ca="1" si="43"/>
        <v>#N/A</v>
      </c>
      <c r="AS121" s="17" t="e">
        <f t="shared" ca="1" si="43"/>
        <v>#N/A</v>
      </c>
      <c r="AT121" s="17" t="e">
        <f t="shared" ca="1" si="43"/>
        <v>#N/A</v>
      </c>
      <c r="AU121" s="17" t="e">
        <f t="shared" ca="1" si="43"/>
        <v>#N/A</v>
      </c>
      <c r="AV121" s="17" t="e">
        <f t="shared" ca="1" si="43"/>
        <v>#N/A</v>
      </c>
      <c r="AW121" s="17" t="e">
        <f t="shared" ca="1" si="43"/>
        <v>#N/A</v>
      </c>
      <c r="AX121" s="17" t="e">
        <f t="shared" ca="1" si="43"/>
        <v>#N/A</v>
      </c>
      <c r="AY121" s="17" t="e">
        <f t="shared" ca="1" si="43"/>
        <v>#N/A</v>
      </c>
      <c r="AZ121" s="17" t="e">
        <f t="shared" ca="1" si="43"/>
        <v>#N/A</v>
      </c>
      <c r="BA121" s="17" t="e">
        <f t="shared" ca="1" si="43"/>
        <v>#N/A</v>
      </c>
      <c r="BB121" s="17" t="e">
        <f t="shared" ca="1" si="43"/>
        <v>#N/A</v>
      </c>
      <c r="BC121" s="17" t="e">
        <f t="shared" ca="1" si="43"/>
        <v>#N/A</v>
      </c>
      <c r="BD121" s="17" t="e">
        <f t="shared" ca="1" si="43"/>
        <v>#N/A</v>
      </c>
      <c r="BE121" s="17" t="e">
        <f t="shared" ca="1" si="43"/>
        <v>#N/A</v>
      </c>
      <c r="BF121" s="17" t="e">
        <f t="shared" ca="1" si="43"/>
        <v>#N/A</v>
      </c>
      <c r="BG121" s="17" t="e">
        <f t="shared" ca="1" si="43"/>
        <v>#N/A</v>
      </c>
      <c r="BH121" s="17" t="e">
        <f t="shared" ca="1" si="43"/>
        <v>#N/A</v>
      </c>
      <c r="BI121" s="17" t="e">
        <f t="shared" ca="1" si="43"/>
        <v>#N/A</v>
      </c>
      <c r="BJ121" s="17" t="e">
        <f t="shared" ca="1" si="43"/>
        <v>#N/A</v>
      </c>
      <c r="BK121" s="17" t="e">
        <f t="shared" ca="1" si="43"/>
        <v>#N/A</v>
      </c>
      <c r="BL121" s="17" t="e">
        <f t="shared" ca="1" si="43"/>
        <v>#N/A</v>
      </c>
      <c r="BM121" s="17" t="e">
        <f t="shared" ca="1" si="43"/>
        <v>#N/A</v>
      </c>
      <c r="BN121" s="17" t="e">
        <f t="shared" ca="1" si="43"/>
        <v>#N/A</v>
      </c>
      <c r="BO121" s="17" t="e">
        <f t="shared" ca="1" si="43"/>
        <v>#N/A</v>
      </c>
      <c r="BP121" s="17" t="e">
        <f t="shared" ca="1" si="43"/>
        <v>#N/A</v>
      </c>
      <c r="BQ121" s="17" t="e">
        <f t="shared" ref="BQ121:BV121" ca="1" si="44">BQ61/$D121*100000</f>
        <v>#N/A</v>
      </c>
      <c r="BR121" s="17" t="e">
        <f t="shared" ca="1" si="44"/>
        <v>#N/A</v>
      </c>
      <c r="BS121" s="17" t="e">
        <f t="shared" ca="1" si="44"/>
        <v>#N/A</v>
      </c>
      <c r="BT121" s="17" t="e">
        <f t="shared" ca="1" si="44"/>
        <v>#N/A</v>
      </c>
      <c r="BU121" s="17" t="e">
        <f t="shared" ca="1" si="44"/>
        <v>#N/A</v>
      </c>
      <c r="BV121" s="17" t="e">
        <f t="shared" ca="1" si="44"/>
        <v>#N/A</v>
      </c>
    </row>
    <row r="122" spans="2:74" x14ac:dyDescent="0.25">
      <c r="B122">
        <f t="shared" si="7"/>
        <v>23</v>
      </c>
      <c r="C122" t="str">
        <f t="shared" ca="1" si="8"/>
        <v>Switzerland St. Gallen</v>
      </c>
      <c r="D122" s="1">
        <f t="shared" ca="1" si="8"/>
        <v>507697</v>
      </c>
      <c r="E122" s="17">
        <f t="shared" ref="E122:BP122" ca="1" si="45">E62/$D122*100000</f>
        <v>12.015040467050229</v>
      </c>
      <c r="F122" s="17">
        <f t="shared" ca="1" si="45"/>
        <v>16.742269503266712</v>
      </c>
      <c r="G122" s="17">
        <f t="shared" ca="1" si="45"/>
        <v>19.302851897883972</v>
      </c>
      <c r="H122" s="17">
        <f t="shared" ca="1" si="45"/>
        <v>19.302851897883972</v>
      </c>
      <c r="I122" s="17">
        <f t="shared" ca="1" si="45"/>
        <v>19.302851897883972</v>
      </c>
      <c r="J122" s="17">
        <f t="shared" ca="1" si="45"/>
        <v>39.393575301804027</v>
      </c>
      <c r="K122" s="17" t="e">
        <f t="shared" ca="1" si="45"/>
        <v>#N/A</v>
      </c>
      <c r="L122" s="17" t="e">
        <f t="shared" ca="1" si="45"/>
        <v>#N/A</v>
      </c>
      <c r="M122" s="17" t="e">
        <f t="shared" ca="1" si="45"/>
        <v>#N/A</v>
      </c>
      <c r="N122" s="17" t="e">
        <f t="shared" ca="1" si="45"/>
        <v>#N/A</v>
      </c>
      <c r="O122" s="17" t="e">
        <f t="shared" ca="1" si="45"/>
        <v>#N/A</v>
      </c>
      <c r="P122" s="17" t="e">
        <f t="shared" ca="1" si="45"/>
        <v>#N/A</v>
      </c>
      <c r="Q122" s="17" t="e">
        <f t="shared" ca="1" si="45"/>
        <v>#N/A</v>
      </c>
      <c r="R122" s="17" t="e">
        <f t="shared" ca="1" si="45"/>
        <v>#N/A</v>
      </c>
      <c r="S122" s="17" t="e">
        <f t="shared" ca="1" si="45"/>
        <v>#N/A</v>
      </c>
      <c r="T122" s="17" t="e">
        <f t="shared" ca="1" si="45"/>
        <v>#N/A</v>
      </c>
      <c r="U122" s="17" t="e">
        <f t="shared" ca="1" si="45"/>
        <v>#N/A</v>
      </c>
      <c r="V122" s="17" t="e">
        <f t="shared" ca="1" si="45"/>
        <v>#N/A</v>
      </c>
      <c r="W122" s="17" t="e">
        <f t="shared" ca="1" si="45"/>
        <v>#N/A</v>
      </c>
      <c r="X122" s="17" t="e">
        <f t="shared" ca="1" si="45"/>
        <v>#N/A</v>
      </c>
      <c r="Y122" s="17" t="e">
        <f t="shared" ca="1" si="45"/>
        <v>#N/A</v>
      </c>
      <c r="Z122" s="17" t="e">
        <f t="shared" ca="1" si="45"/>
        <v>#N/A</v>
      </c>
      <c r="AA122" s="17" t="e">
        <f t="shared" ca="1" si="45"/>
        <v>#N/A</v>
      </c>
      <c r="AB122" s="17" t="e">
        <f t="shared" ca="1" si="45"/>
        <v>#N/A</v>
      </c>
      <c r="AC122" s="17" t="e">
        <f t="shared" ca="1" si="45"/>
        <v>#N/A</v>
      </c>
      <c r="AD122" s="17" t="e">
        <f t="shared" ca="1" si="45"/>
        <v>#N/A</v>
      </c>
      <c r="AE122" s="17" t="e">
        <f t="shared" ca="1" si="45"/>
        <v>#N/A</v>
      </c>
      <c r="AF122" s="17" t="e">
        <f t="shared" ca="1" si="45"/>
        <v>#N/A</v>
      </c>
      <c r="AG122" s="17" t="e">
        <f t="shared" ca="1" si="45"/>
        <v>#N/A</v>
      </c>
      <c r="AH122" s="17" t="e">
        <f t="shared" ca="1" si="45"/>
        <v>#N/A</v>
      </c>
      <c r="AI122" s="17" t="e">
        <f t="shared" ca="1" si="45"/>
        <v>#N/A</v>
      </c>
      <c r="AJ122" s="17" t="e">
        <f t="shared" ca="1" si="45"/>
        <v>#N/A</v>
      </c>
      <c r="AK122" s="17" t="e">
        <f t="shared" ca="1" si="45"/>
        <v>#N/A</v>
      </c>
      <c r="AL122" s="17" t="e">
        <f t="shared" ca="1" si="45"/>
        <v>#N/A</v>
      </c>
      <c r="AM122" s="17" t="e">
        <f t="shared" ca="1" si="45"/>
        <v>#N/A</v>
      </c>
      <c r="AN122" s="17" t="e">
        <f t="shared" ca="1" si="45"/>
        <v>#N/A</v>
      </c>
      <c r="AO122" s="17" t="e">
        <f t="shared" ca="1" si="45"/>
        <v>#N/A</v>
      </c>
      <c r="AP122" s="17" t="e">
        <f t="shared" ca="1" si="45"/>
        <v>#N/A</v>
      </c>
      <c r="AQ122" s="17" t="e">
        <f t="shared" ca="1" si="45"/>
        <v>#N/A</v>
      </c>
      <c r="AR122" s="17" t="e">
        <f t="shared" ca="1" si="45"/>
        <v>#N/A</v>
      </c>
      <c r="AS122" s="17" t="e">
        <f t="shared" ca="1" si="45"/>
        <v>#N/A</v>
      </c>
      <c r="AT122" s="17" t="e">
        <f t="shared" ca="1" si="45"/>
        <v>#N/A</v>
      </c>
      <c r="AU122" s="17" t="e">
        <f t="shared" ca="1" si="45"/>
        <v>#N/A</v>
      </c>
      <c r="AV122" s="17" t="e">
        <f t="shared" ca="1" si="45"/>
        <v>#N/A</v>
      </c>
      <c r="AW122" s="17" t="e">
        <f t="shared" ca="1" si="45"/>
        <v>#N/A</v>
      </c>
      <c r="AX122" s="17" t="e">
        <f t="shared" ca="1" si="45"/>
        <v>#N/A</v>
      </c>
      <c r="AY122" s="17" t="e">
        <f t="shared" ca="1" si="45"/>
        <v>#N/A</v>
      </c>
      <c r="AZ122" s="17" t="e">
        <f t="shared" ca="1" si="45"/>
        <v>#N/A</v>
      </c>
      <c r="BA122" s="17" t="e">
        <f t="shared" ca="1" si="45"/>
        <v>#N/A</v>
      </c>
      <c r="BB122" s="17" t="e">
        <f t="shared" ca="1" si="45"/>
        <v>#N/A</v>
      </c>
      <c r="BC122" s="17" t="e">
        <f t="shared" ca="1" si="45"/>
        <v>#N/A</v>
      </c>
      <c r="BD122" s="17" t="e">
        <f t="shared" ca="1" si="45"/>
        <v>#N/A</v>
      </c>
      <c r="BE122" s="17" t="e">
        <f t="shared" ca="1" si="45"/>
        <v>#N/A</v>
      </c>
      <c r="BF122" s="17" t="e">
        <f t="shared" ca="1" si="45"/>
        <v>#N/A</v>
      </c>
      <c r="BG122" s="17" t="e">
        <f t="shared" ca="1" si="45"/>
        <v>#N/A</v>
      </c>
      <c r="BH122" s="17" t="e">
        <f t="shared" ca="1" si="45"/>
        <v>#N/A</v>
      </c>
      <c r="BI122" s="17" t="e">
        <f t="shared" ca="1" si="45"/>
        <v>#N/A</v>
      </c>
      <c r="BJ122" s="17" t="e">
        <f t="shared" ca="1" si="45"/>
        <v>#N/A</v>
      </c>
      <c r="BK122" s="17" t="e">
        <f t="shared" ca="1" si="45"/>
        <v>#N/A</v>
      </c>
      <c r="BL122" s="17" t="e">
        <f t="shared" ca="1" si="45"/>
        <v>#N/A</v>
      </c>
      <c r="BM122" s="17" t="e">
        <f t="shared" ca="1" si="45"/>
        <v>#N/A</v>
      </c>
      <c r="BN122" s="17" t="e">
        <f t="shared" ca="1" si="45"/>
        <v>#N/A</v>
      </c>
      <c r="BO122" s="17" t="e">
        <f t="shared" ca="1" si="45"/>
        <v>#N/A</v>
      </c>
      <c r="BP122" s="17" t="e">
        <f t="shared" ca="1" si="45"/>
        <v>#N/A</v>
      </c>
      <c r="BQ122" s="17" t="e">
        <f t="shared" ref="BQ122:BV122" ca="1" si="46">BQ62/$D122*100000</f>
        <v>#N/A</v>
      </c>
      <c r="BR122" s="17" t="e">
        <f t="shared" ca="1" si="46"/>
        <v>#N/A</v>
      </c>
      <c r="BS122" s="17" t="e">
        <f t="shared" ca="1" si="46"/>
        <v>#N/A</v>
      </c>
      <c r="BT122" s="17" t="e">
        <f t="shared" ca="1" si="46"/>
        <v>#N/A</v>
      </c>
      <c r="BU122" s="17" t="e">
        <f t="shared" ca="1" si="46"/>
        <v>#N/A</v>
      </c>
      <c r="BV122" s="17" t="e">
        <f t="shared" ca="1" si="46"/>
        <v>#N/A</v>
      </c>
    </row>
    <row r="123" spans="2:74" x14ac:dyDescent="0.25">
      <c r="B123">
        <f t="shared" si="7"/>
        <v>24</v>
      </c>
      <c r="C123" t="str">
        <f t="shared" ca="1" si="8"/>
        <v>Switzerland Thurgovia</v>
      </c>
      <c r="D123" s="1">
        <f t="shared" ca="1" si="8"/>
        <v>276472</v>
      </c>
      <c r="E123" s="17">
        <f t="shared" ref="E123:BP123" ca="1" si="47">E63/$D123*100000</f>
        <v>20.255215718047399</v>
      </c>
      <c r="F123" s="17">
        <f t="shared" ca="1" si="47"/>
        <v>27.127521050956336</v>
      </c>
      <c r="G123" s="17">
        <f t="shared" ca="1" si="47"/>
        <v>29.297722735032842</v>
      </c>
      <c r="H123" s="17" t="e">
        <f t="shared" ca="1" si="47"/>
        <v>#N/A</v>
      </c>
      <c r="I123" s="17" t="e">
        <f t="shared" ca="1" si="47"/>
        <v>#N/A</v>
      </c>
      <c r="J123" s="17" t="e">
        <f t="shared" ca="1" si="47"/>
        <v>#N/A</v>
      </c>
      <c r="K123" s="17" t="e">
        <f t="shared" ca="1" si="47"/>
        <v>#N/A</v>
      </c>
      <c r="L123" s="17" t="e">
        <f t="shared" ca="1" si="47"/>
        <v>#N/A</v>
      </c>
      <c r="M123" s="17" t="e">
        <f t="shared" ca="1" si="47"/>
        <v>#N/A</v>
      </c>
      <c r="N123" s="17" t="e">
        <f t="shared" ca="1" si="47"/>
        <v>#N/A</v>
      </c>
      <c r="O123" s="17" t="e">
        <f t="shared" ca="1" si="47"/>
        <v>#N/A</v>
      </c>
      <c r="P123" s="17" t="e">
        <f t="shared" ca="1" si="47"/>
        <v>#N/A</v>
      </c>
      <c r="Q123" s="17" t="e">
        <f t="shared" ca="1" si="47"/>
        <v>#N/A</v>
      </c>
      <c r="R123" s="17" t="e">
        <f t="shared" ca="1" si="47"/>
        <v>#N/A</v>
      </c>
      <c r="S123" s="17" t="e">
        <f t="shared" ca="1" si="47"/>
        <v>#N/A</v>
      </c>
      <c r="T123" s="17" t="e">
        <f t="shared" ca="1" si="47"/>
        <v>#N/A</v>
      </c>
      <c r="U123" s="17" t="e">
        <f t="shared" ca="1" si="47"/>
        <v>#N/A</v>
      </c>
      <c r="V123" s="17" t="e">
        <f t="shared" ca="1" si="47"/>
        <v>#N/A</v>
      </c>
      <c r="W123" s="17" t="e">
        <f t="shared" ca="1" si="47"/>
        <v>#N/A</v>
      </c>
      <c r="X123" s="17" t="e">
        <f t="shared" ca="1" si="47"/>
        <v>#N/A</v>
      </c>
      <c r="Y123" s="17" t="e">
        <f t="shared" ca="1" si="47"/>
        <v>#N/A</v>
      </c>
      <c r="Z123" s="17" t="e">
        <f t="shared" ca="1" si="47"/>
        <v>#N/A</v>
      </c>
      <c r="AA123" s="17" t="e">
        <f t="shared" ca="1" si="47"/>
        <v>#N/A</v>
      </c>
      <c r="AB123" s="17" t="e">
        <f t="shared" ca="1" si="47"/>
        <v>#N/A</v>
      </c>
      <c r="AC123" s="17" t="e">
        <f t="shared" ca="1" si="47"/>
        <v>#N/A</v>
      </c>
      <c r="AD123" s="17" t="e">
        <f t="shared" ca="1" si="47"/>
        <v>#N/A</v>
      </c>
      <c r="AE123" s="17" t="e">
        <f t="shared" ca="1" si="47"/>
        <v>#N/A</v>
      </c>
      <c r="AF123" s="17" t="e">
        <f t="shared" ca="1" si="47"/>
        <v>#N/A</v>
      </c>
      <c r="AG123" s="17" t="e">
        <f t="shared" ca="1" si="47"/>
        <v>#N/A</v>
      </c>
      <c r="AH123" s="17" t="e">
        <f t="shared" ca="1" si="47"/>
        <v>#N/A</v>
      </c>
      <c r="AI123" s="17" t="e">
        <f t="shared" ca="1" si="47"/>
        <v>#N/A</v>
      </c>
      <c r="AJ123" s="17" t="e">
        <f t="shared" ca="1" si="47"/>
        <v>#N/A</v>
      </c>
      <c r="AK123" s="17" t="e">
        <f t="shared" ca="1" si="47"/>
        <v>#N/A</v>
      </c>
      <c r="AL123" s="17" t="e">
        <f t="shared" ca="1" si="47"/>
        <v>#N/A</v>
      </c>
      <c r="AM123" s="17" t="e">
        <f t="shared" ca="1" si="47"/>
        <v>#N/A</v>
      </c>
      <c r="AN123" s="17" t="e">
        <f t="shared" ca="1" si="47"/>
        <v>#N/A</v>
      </c>
      <c r="AO123" s="17" t="e">
        <f t="shared" ca="1" si="47"/>
        <v>#N/A</v>
      </c>
      <c r="AP123" s="17" t="e">
        <f t="shared" ca="1" si="47"/>
        <v>#N/A</v>
      </c>
      <c r="AQ123" s="17" t="e">
        <f t="shared" ca="1" si="47"/>
        <v>#N/A</v>
      </c>
      <c r="AR123" s="17" t="e">
        <f t="shared" ca="1" si="47"/>
        <v>#N/A</v>
      </c>
      <c r="AS123" s="17" t="e">
        <f t="shared" ca="1" si="47"/>
        <v>#N/A</v>
      </c>
      <c r="AT123" s="17" t="e">
        <f t="shared" ca="1" si="47"/>
        <v>#N/A</v>
      </c>
      <c r="AU123" s="17" t="e">
        <f t="shared" ca="1" si="47"/>
        <v>#N/A</v>
      </c>
      <c r="AV123" s="17" t="e">
        <f t="shared" ca="1" si="47"/>
        <v>#N/A</v>
      </c>
      <c r="AW123" s="17" t="e">
        <f t="shared" ca="1" si="47"/>
        <v>#N/A</v>
      </c>
      <c r="AX123" s="17" t="e">
        <f t="shared" ca="1" si="47"/>
        <v>#N/A</v>
      </c>
      <c r="AY123" s="17" t="e">
        <f t="shared" ca="1" si="47"/>
        <v>#N/A</v>
      </c>
      <c r="AZ123" s="17" t="e">
        <f t="shared" ca="1" si="47"/>
        <v>#N/A</v>
      </c>
      <c r="BA123" s="17" t="e">
        <f t="shared" ca="1" si="47"/>
        <v>#N/A</v>
      </c>
      <c r="BB123" s="17" t="e">
        <f t="shared" ca="1" si="47"/>
        <v>#N/A</v>
      </c>
      <c r="BC123" s="17" t="e">
        <f t="shared" ca="1" si="47"/>
        <v>#N/A</v>
      </c>
      <c r="BD123" s="17" t="e">
        <f t="shared" ca="1" si="47"/>
        <v>#N/A</v>
      </c>
      <c r="BE123" s="17" t="e">
        <f t="shared" ca="1" si="47"/>
        <v>#N/A</v>
      </c>
      <c r="BF123" s="17" t="e">
        <f t="shared" ca="1" si="47"/>
        <v>#N/A</v>
      </c>
      <c r="BG123" s="17" t="e">
        <f t="shared" ca="1" si="47"/>
        <v>#N/A</v>
      </c>
      <c r="BH123" s="17" t="e">
        <f t="shared" ca="1" si="47"/>
        <v>#N/A</v>
      </c>
      <c r="BI123" s="17" t="e">
        <f t="shared" ca="1" si="47"/>
        <v>#N/A</v>
      </c>
      <c r="BJ123" s="17" t="e">
        <f t="shared" ca="1" si="47"/>
        <v>#N/A</v>
      </c>
      <c r="BK123" s="17" t="e">
        <f t="shared" ca="1" si="47"/>
        <v>#N/A</v>
      </c>
      <c r="BL123" s="17" t="e">
        <f t="shared" ca="1" si="47"/>
        <v>#N/A</v>
      </c>
      <c r="BM123" s="17" t="e">
        <f t="shared" ca="1" si="47"/>
        <v>#N/A</v>
      </c>
      <c r="BN123" s="17" t="e">
        <f t="shared" ca="1" si="47"/>
        <v>#N/A</v>
      </c>
      <c r="BO123" s="17" t="e">
        <f t="shared" ca="1" si="47"/>
        <v>#N/A</v>
      </c>
      <c r="BP123" s="17" t="e">
        <f t="shared" ca="1" si="47"/>
        <v>#N/A</v>
      </c>
      <c r="BQ123" s="17" t="e">
        <f t="shared" ref="BQ123:BV123" ca="1" si="48">BQ63/$D123*100000</f>
        <v>#N/A</v>
      </c>
      <c r="BR123" s="17" t="e">
        <f t="shared" ca="1" si="48"/>
        <v>#N/A</v>
      </c>
      <c r="BS123" s="17" t="e">
        <f t="shared" ca="1" si="48"/>
        <v>#N/A</v>
      </c>
      <c r="BT123" s="17" t="e">
        <f t="shared" ca="1" si="48"/>
        <v>#N/A</v>
      </c>
      <c r="BU123" s="17" t="e">
        <f t="shared" ca="1" si="48"/>
        <v>#N/A</v>
      </c>
      <c r="BV123" s="17" t="e">
        <f t="shared" ca="1" si="48"/>
        <v>#N/A</v>
      </c>
    </row>
    <row r="124" spans="2:74" x14ac:dyDescent="0.25">
      <c r="B124">
        <f t="shared" si="7"/>
        <v>25</v>
      </c>
      <c r="C124" t="str">
        <f t="shared" ca="1" si="8"/>
        <v>Switzerland Ticino</v>
      </c>
      <c r="D124" s="1">
        <f t="shared" ca="1" si="8"/>
        <v>353343</v>
      </c>
      <c r="E124" s="17">
        <f t="shared" ref="E124:BP124" ca="1" si="49">E64/$D124*100000</f>
        <v>50.942002530119467</v>
      </c>
      <c r="F124" s="17">
        <f t="shared" ca="1" si="49"/>
        <v>73.016870293171223</v>
      </c>
      <c r="G124" s="17">
        <f t="shared" ca="1" si="49"/>
        <v>74.997948169342536</v>
      </c>
      <c r="H124" s="17">
        <f t="shared" ca="1" si="49"/>
        <v>82.35623742369313</v>
      </c>
      <c r="I124" s="17">
        <f t="shared" ca="1" si="49"/>
        <v>93.393671305219016</v>
      </c>
      <c r="J124" s="17">
        <f t="shared" ca="1" si="49"/>
        <v>119.43069482061341</v>
      </c>
      <c r="K124" s="17">
        <f t="shared" ca="1" si="49"/>
        <v>144.61868496050579</v>
      </c>
      <c r="L124" s="17">
        <f t="shared" ca="1" si="49"/>
        <v>180.56109785675676</v>
      </c>
      <c r="M124" s="17">
        <f t="shared" ca="1" si="49"/>
        <v>236.03127838955351</v>
      </c>
      <c r="N124" s="17">
        <f t="shared" ca="1" si="49"/>
        <v>259.8042129036092</v>
      </c>
      <c r="O124" s="17">
        <f t="shared" ca="1" si="49"/>
        <v>265.74744653212315</v>
      </c>
      <c r="P124" s="17">
        <f t="shared" ca="1" si="49"/>
        <v>329.70796081993984</v>
      </c>
      <c r="Q124" s="17" t="e">
        <f t="shared" ca="1" si="49"/>
        <v>#N/A</v>
      </c>
      <c r="R124" s="17" t="e">
        <f t="shared" ca="1" si="49"/>
        <v>#N/A</v>
      </c>
      <c r="S124" s="17" t="e">
        <f t="shared" ca="1" si="49"/>
        <v>#N/A</v>
      </c>
      <c r="T124" s="17" t="e">
        <f t="shared" ca="1" si="49"/>
        <v>#N/A</v>
      </c>
      <c r="U124" s="17" t="e">
        <f t="shared" ca="1" si="49"/>
        <v>#N/A</v>
      </c>
      <c r="V124" s="17" t="e">
        <f t="shared" ca="1" si="49"/>
        <v>#N/A</v>
      </c>
      <c r="W124" s="17" t="e">
        <f t="shared" ca="1" si="49"/>
        <v>#N/A</v>
      </c>
      <c r="X124" s="17" t="e">
        <f t="shared" ca="1" si="49"/>
        <v>#N/A</v>
      </c>
      <c r="Y124" s="17" t="e">
        <f t="shared" ca="1" si="49"/>
        <v>#N/A</v>
      </c>
      <c r="Z124" s="17" t="e">
        <f t="shared" ca="1" si="49"/>
        <v>#N/A</v>
      </c>
      <c r="AA124" s="17" t="e">
        <f t="shared" ca="1" si="49"/>
        <v>#N/A</v>
      </c>
      <c r="AB124" s="17" t="e">
        <f t="shared" ca="1" si="49"/>
        <v>#N/A</v>
      </c>
      <c r="AC124" s="17" t="e">
        <f t="shared" ca="1" si="49"/>
        <v>#N/A</v>
      </c>
      <c r="AD124" s="17" t="e">
        <f t="shared" ca="1" si="49"/>
        <v>#N/A</v>
      </c>
      <c r="AE124" s="17" t="e">
        <f t="shared" ca="1" si="49"/>
        <v>#N/A</v>
      </c>
      <c r="AF124" s="17" t="e">
        <f t="shared" ca="1" si="49"/>
        <v>#N/A</v>
      </c>
      <c r="AG124" s="17" t="e">
        <f t="shared" ca="1" si="49"/>
        <v>#N/A</v>
      </c>
      <c r="AH124" s="17" t="e">
        <f t="shared" ca="1" si="49"/>
        <v>#N/A</v>
      </c>
      <c r="AI124" s="17" t="e">
        <f t="shared" ca="1" si="49"/>
        <v>#N/A</v>
      </c>
      <c r="AJ124" s="17" t="e">
        <f t="shared" ca="1" si="49"/>
        <v>#N/A</v>
      </c>
      <c r="AK124" s="17" t="e">
        <f t="shared" ca="1" si="49"/>
        <v>#N/A</v>
      </c>
      <c r="AL124" s="17" t="e">
        <f t="shared" ca="1" si="49"/>
        <v>#N/A</v>
      </c>
      <c r="AM124" s="17" t="e">
        <f t="shared" ca="1" si="49"/>
        <v>#N/A</v>
      </c>
      <c r="AN124" s="17" t="e">
        <f t="shared" ca="1" si="49"/>
        <v>#N/A</v>
      </c>
      <c r="AO124" s="17" t="e">
        <f t="shared" ca="1" si="49"/>
        <v>#N/A</v>
      </c>
      <c r="AP124" s="17" t="e">
        <f t="shared" ca="1" si="49"/>
        <v>#N/A</v>
      </c>
      <c r="AQ124" s="17" t="e">
        <f t="shared" ca="1" si="49"/>
        <v>#N/A</v>
      </c>
      <c r="AR124" s="17" t="e">
        <f t="shared" ca="1" si="49"/>
        <v>#N/A</v>
      </c>
      <c r="AS124" s="17" t="e">
        <f t="shared" ca="1" si="49"/>
        <v>#N/A</v>
      </c>
      <c r="AT124" s="17" t="e">
        <f t="shared" ca="1" si="49"/>
        <v>#N/A</v>
      </c>
      <c r="AU124" s="17" t="e">
        <f t="shared" ca="1" si="49"/>
        <v>#N/A</v>
      </c>
      <c r="AV124" s="17" t="e">
        <f t="shared" ca="1" si="49"/>
        <v>#N/A</v>
      </c>
      <c r="AW124" s="17" t="e">
        <f t="shared" ca="1" si="49"/>
        <v>#N/A</v>
      </c>
      <c r="AX124" s="17" t="e">
        <f t="shared" ca="1" si="49"/>
        <v>#N/A</v>
      </c>
      <c r="AY124" s="17" t="e">
        <f t="shared" ca="1" si="49"/>
        <v>#N/A</v>
      </c>
      <c r="AZ124" s="17" t="e">
        <f t="shared" ca="1" si="49"/>
        <v>#N/A</v>
      </c>
      <c r="BA124" s="17" t="e">
        <f t="shared" ca="1" si="49"/>
        <v>#N/A</v>
      </c>
      <c r="BB124" s="17" t="e">
        <f t="shared" ca="1" si="49"/>
        <v>#N/A</v>
      </c>
      <c r="BC124" s="17" t="e">
        <f t="shared" ca="1" si="49"/>
        <v>#N/A</v>
      </c>
      <c r="BD124" s="17" t="e">
        <f t="shared" ca="1" si="49"/>
        <v>#N/A</v>
      </c>
      <c r="BE124" s="17" t="e">
        <f t="shared" ca="1" si="49"/>
        <v>#N/A</v>
      </c>
      <c r="BF124" s="17" t="e">
        <f t="shared" ca="1" si="49"/>
        <v>#N/A</v>
      </c>
      <c r="BG124" s="17" t="e">
        <f t="shared" ca="1" si="49"/>
        <v>#N/A</v>
      </c>
      <c r="BH124" s="17" t="e">
        <f t="shared" ca="1" si="49"/>
        <v>#N/A</v>
      </c>
      <c r="BI124" s="17" t="e">
        <f t="shared" ca="1" si="49"/>
        <v>#N/A</v>
      </c>
      <c r="BJ124" s="17" t="e">
        <f t="shared" ca="1" si="49"/>
        <v>#N/A</v>
      </c>
      <c r="BK124" s="17" t="e">
        <f t="shared" ca="1" si="49"/>
        <v>#N/A</v>
      </c>
      <c r="BL124" s="17" t="e">
        <f t="shared" ca="1" si="49"/>
        <v>#N/A</v>
      </c>
      <c r="BM124" s="17" t="e">
        <f t="shared" ca="1" si="49"/>
        <v>#N/A</v>
      </c>
      <c r="BN124" s="17" t="e">
        <f t="shared" ca="1" si="49"/>
        <v>#N/A</v>
      </c>
      <c r="BO124" s="17" t="e">
        <f t="shared" ca="1" si="49"/>
        <v>#N/A</v>
      </c>
      <c r="BP124" s="17" t="e">
        <f t="shared" ca="1" si="49"/>
        <v>#N/A</v>
      </c>
      <c r="BQ124" s="17" t="e">
        <f t="shared" ref="BQ124:BV124" ca="1" si="50">BQ64/$D124*100000</f>
        <v>#N/A</v>
      </c>
      <c r="BR124" s="17" t="e">
        <f t="shared" ca="1" si="50"/>
        <v>#N/A</v>
      </c>
      <c r="BS124" s="17" t="e">
        <f t="shared" ca="1" si="50"/>
        <v>#N/A</v>
      </c>
      <c r="BT124" s="17" t="e">
        <f t="shared" ca="1" si="50"/>
        <v>#N/A</v>
      </c>
      <c r="BU124" s="17" t="e">
        <f t="shared" ca="1" si="50"/>
        <v>#N/A</v>
      </c>
      <c r="BV124" s="17" t="e">
        <f t="shared" ca="1" si="50"/>
        <v>#N/A</v>
      </c>
    </row>
    <row r="125" spans="2:74" x14ac:dyDescent="0.25">
      <c r="B125">
        <f t="shared" si="7"/>
        <v>26</v>
      </c>
      <c r="C125" t="str">
        <f t="shared" ca="1" si="8"/>
        <v>Switzerland Uri</v>
      </c>
      <c r="D125" s="1">
        <f t="shared" ca="1" si="8"/>
        <v>36433</v>
      </c>
      <c r="E125" s="17" t="e">
        <f t="shared" ref="E125:BP125" ca="1" si="51">E65/$D125*100000</f>
        <v>#N/A</v>
      </c>
      <c r="F125" s="17" t="e">
        <f t="shared" ca="1" si="51"/>
        <v>#N/A</v>
      </c>
      <c r="G125" s="17" t="e">
        <f t="shared" ca="1" si="51"/>
        <v>#N/A</v>
      </c>
      <c r="H125" s="17" t="e">
        <f t="shared" ca="1" si="51"/>
        <v>#N/A</v>
      </c>
      <c r="I125" s="17" t="e">
        <f t="shared" ca="1" si="51"/>
        <v>#N/A</v>
      </c>
      <c r="J125" s="17" t="e">
        <f t="shared" ca="1" si="51"/>
        <v>#N/A</v>
      </c>
      <c r="K125" s="17" t="e">
        <f t="shared" ca="1" si="51"/>
        <v>#N/A</v>
      </c>
      <c r="L125" s="17" t="e">
        <f t="shared" ca="1" si="51"/>
        <v>#N/A</v>
      </c>
      <c r="M125" s="17" t="e">
        <f t="shared" ca="1" si="51"/>
        <v>#N/A</v>
      </c>
      <c r="N125" s="17" t="e">
        <f t="shared" ca="1" si="51"/>
        <v>#N/A</v>
      </c>
      <c r="O125" s="17" t="e">
        <f t="shared" ca="1" si="51"/>
        <v>#N/A</v>
      </c>
      <c r="P125" s="17" t="e">
        <f t="shared" ca="1" si="51"/>
        <v>#N/A</v>
      </c>
      <c r="Q125" s="17" t="e">
        <f t="shared" ca="1" si="51"/>
        <v>#N/A</v>
      </c>
      <c r="R125" s="17" t="e">
        <f t="shared" ca="1" si="51"/>
        <v>#N/A</v>
      </c>
      <c r="S125" s="17" t="e">
        <f t="shared" ca="1" si="51"/>
        <v>#N/A</v>
      </c>
      <c r="T125" s="17" t="e">
        <f t="shared" ca="1" si="51"/>
        <v>#N/A</v>
      </c>
      <c r="U125" s="17" t="e">
        <f t="shared" ca="1" si="51"/>
        <v>#N/A</v>
      </c>
      <c r="V125" s="17" t="e">
        <f t="shared" ca="1" si="51"/>
        <v>#N/A</v>
      </c>
      <c r="W125" s="17" t="e">
        <f t="shared" ca="1" si="51"/>
        <v>#N/A</v>
      </c>
      <c r="X125" s="17" t="e">
        <f t="shared" ca="1" si="51"/>
        <v>#N/A</v>
      </c>
      <c r="Y125" s="17" t="e">
        <f t="shared" ca="1" si="51"/>
        <v>#N/A</v>
      </c>
      <c r="Z125" s="17" t="e">
        <f t="shared" ca="1" si="51"/>
        <v>#N/A</v>
      </c>
      <c r="AA125" s="17" t="e">
        <f t="shared" ca="1" si="51"/>
        <v>#N/A</v>
      </c>
      <c r="AB125" s="17" t="e">
        <f t="shared" ca="1" si="51"/>
        <v>#N/A</v>
      </c>
      <c r="AC125" s="17" t="e">
        <f t="shared" ca="1" si="51"/>
        <v>#N/A</v>
      </c>
      <c r="AD125" s="17" t="e">
        <f t="shared" ca="1" si="51"/>
        <v>#N/A</v>
      </c>
      <c r="AE125" s="17" t="e">
        <f t="shared" ca="1" si="51"/>
        <v>#N/A</v>
      </c>
      <c r="AF125" s="17" t="e">
        <f t="shared" ca="1" si="51"/>
        <v>#N/A</v>
      </c>
      <c r="AG125" s="17" t="e">
        <f t="shared" ca="1" si="51"/>
        <v>#N/A</v>
      </c>
      <c r="AH125" s="17" t="e">
        <f t="shared" ca="1" si="51"/>
        <v>#N/A</v>
      </c>
      <c r="AI125" s="17" t="e">
        <f t="shared" ca="1" si="51"/>
        <v>#N/A</v>
      </c>
      <c r="AJ125" s="17" t="e">
        <f t="shared" ca="1" si="51"/>
        <v>#N/A</v>
      </c>
      <c r="AK125" s="17" t="e">
        <f t="shared" ca="1" si="51"/>
        <v>#N/A</v>
      </c>
      <c r="AL125" s="17" t="e">
        <f t="shared" ca="1" si="51"/>
        <v>#N/A</v>
      </c>
      <c r="AM125" s="17" t="e">
        <f t="shared" ca="1" si="51"/>
        <v>#N/A</v>
      </c>
      <c r="AN125" s="17" t="e">
        <f t="shared" ca="1" si="51"/>
        <v>#N/A</v>
      </c>
      <c r="AO125" s="17" t="e">
        <f t="shared" ca="1" si="51"/>
        <v>#N/A</v>
      </c>
      <c r="AP125" s="17" t="e">
        <f t="shared" ca="1" si="51"/>
        <v>#N/A</v>
      </c>
      <c r="AQ125" s="17" t="e">
        <f t="shared" ca="1" si="51"/>
        <v>#N/A</v>
      </c>
      <c r="AR125" s="17" t="e">
        <f t="shared" ca="1" si="51"/>
        <v>#N/A</v>
      </c>
      <c r="AS125" s="17" t="e">
        <f t="shared" ca="1" si="51"/>
        <v>#N/A</v>
      </c>
      <c r="AT125" s="17" t="e">
        <f t="shared" ca="1" si="51"/>
        <v>#N/A</v>
      </c>
      <c r="AU125" s="17" t="e">
        <f t="shared" ca="1" si="51"/>
        <v>#N/A</v>
      </c>
      <c r="AV125" s="17" t="e">
        <f t="shared" ca="1" si="51"/>
        <v>#N/A</v>
      </c>
      <c r="AW125" s="17" t="e">
        <f t="shared" ca="1" si="51"/>
        <v>#N/A</v>
      </c>
      <c r="AX125" s="17" t="e">
        <f t="shared" ca="1" si="51"/>
        <v>#N/A</v>
      </c>
      <c r="AY125" s="17" t="e">
        <f t="shared" ca="1" si="51"/>
        <v>#N/A</v>
      </c>
      <c r="AZ125" s="17" t="e">
        <f t="shared" ca="1" si="51"/>
        <v>#N/A</v>
      </c>
      <c r="BA125" s="17" t="e">
        <f t="shared" ca="1" si="51"/>
        <v>#N/A</v>
      </c>
      <c r="BB125" s="17" t="e">
        <f t="shared" ca="1" si="51"/>
        <v>#N/A</v>
      </c>
      <c r="BC125" s="17" t="e">
        <f t="shared" ca="1" si="51"/>
        <v>#N/A</v>
      </c>
      <c r="BD125" s="17" t="e">
        <f t="shared" ca="1" si="51"/>
        <v>#N/A</v>
      </c>
      <c r="BE125" s="17" t="e">
        <f t="shared" ca="1" si="51"/>
        <v>#N/A</v>
      </c>
      <c r="BF125" s="17" t="e">
        <f t="shared" ca="1" si="51"/>
        <v>#N/A</v>
      </c>
      <c r="BG125" s="17" t="e">
        <f t="shared" ca="1" si="51"/>
        <v>#N/A</v>
      </c>
      <c r="BH125" s="17" t="e">
        <f t="shared" ca="1" si="51"/>
        <v>#N/A</v>
      </c>
      <c r="BI125" s="17" t="e">
        <f t="shared" ca="1" si="51"/>
        <v>#N/A</v>
      </c>
      <c r="BJ125" s="17" t="e">
        <f t="shared" ca="1" si="51"/>
        <v>#N/A</v>
      </c>
      <c r="BK125" s="17" t="e">
        <f t="shared" ca="1" si="51"/>
        <v>#N/A</v>
      </c>
      <c r="BL125" s="17" t="e">
        <f t="shared" ca="1" si="51"/>
        <v>#N/A</v>
      </c>
      <c r="BM125" s="17" t="e">
        <f t="shared" ca="1" si="51"/>
        <v>#N/A</v>
      </c>
      <c r="BN125" s="17" t="e">
        <f t="shared" ca="1" si="51"/>
        <v>#N/A</v>
      </c>
      <c r="BO125" s="17" t="e">
        <f t="shared" ca="1" si="51"/>
        <v>#N/A</v>
      </c>
      <c r="BP125" s="17" t="e">
        <f t="shared" ca="1" si="51"/>
        <v>#N/A</v>
      </c>
      <c r="BQ125" s="17" t="e">
        <f t="shared" ref="BQ125:BV125" ca="1" si="52">BQ65/$D125*100000</f>
        <v>#N/A</v>
      </c>
      <c r="BR125" s="17" t="e">
        <f t="shared" ca="1" si="52"/>
        <v>#N/A</v>
      </c>
      <c r="BS125" s="17" t="e">
        <f t="shared" ca="1" si="52"/>
        <v>#N/A</v>
      </c>
      <c r="BT125" s="17" t="e">
        <f t="shared" ca="1" si="52"/>
        <v>#N/A</v>
      </c>
      <c r="BU125" s="17" t="e">
        <f t="shared" ca="1" si="52"/>
        <v>#N/A</v>
      </c>
      <c r="BV125" s="17" t="e">
        <f t="shared" ca="1" si="52"/>
        <v>#N/A</v>
      </c>
    </row>
    <row r="126" spans="2:74" x14ac:dyDescent="0.25">
      <c r="B126">
        <f t="shared" si="7"/>
        <v>27</v>
      </c>
      <c r="C126" t="str">
        <f t="shared" ca="1" si="8"/>
        <v>Switzerland Valais</v>
      </c>
      <c r="D126" s="1">
        <f t="shared" ca="1" si="8"/>
        <v>343955</v>
      </c>
      <c r="E126" s="17">
        <f t="shared" ref="E126:BP126" ca="1" si="53">E66/$D126*100000</f>
        <v>27.619892137052812</v>
      </c>
      <c r="F126" s="17">
        <f t="shared" ca="1" si="53"/>
        <v>27.619892137052812</v>
      </c>
      <c r="G126" s="17">
        <f t="shared" ca="1" si="53"/>
        <v>67.450683955750023</v>
      </c>
      <c r="H126" s="17">
        <f t="shared" ca="1" si="53"/>
        <v>81.987469291040981</v>
      </c>
      <c r="I126" s="17">
        <f t="shared" ca="1" si="53"/>
        <v>104.37411870738904</v>
      </c>
      <c r="J126" s="17">
        <f t="shared" ca="1" si="53"/>
        <v>125.59782529691383</v>
      </c>
      <c r="K126" s="17">
        <f t="shared" ca="1" si="53"/>
        <v>143.04196769926298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BQ66/$D126*100000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7"/>
        <v>28</v>
      </c>
      <c r="C127" t="str">
        <f t="shared" ca="1" si="8"/>
        <v>Switzerland Vaud</v>
      </c>
      <c r="D127" s="1">
        <f t="shared" ca="1" si="8"/>
        <v>799145</v>
      </c>
      <c r="E127" s="17">
        <f t="shared" ref="E127:BP127" ca="1" si="55">E67/$D127*100000</f>
        <v>6.3818205707349733</v>
      </c>
      <c r="F127" s="17">
        <f t="shared" ca="1" si="55"/>
        <v>9.6352977244429976</v>
      </c>
      <c r="G127" s="17">
        <f t="shared" ca="1" si="55"/>
        <v>13.514443561556416</v>
      </c>
      <c r="H127" s="17">
        <f t="shared" ca="1" si="55"/>
        <v>19.520862922248153</v>
      </c>
      <c r="I127" s="17">
        <f t="shared" ca="1" si="55"/>
        <v>25.527282282939893</v>
      </c>
      <c r="J127" s="17">
        <f t="shared" ca="1" si="55"/>
        <v>43.796807838377269</v>
      </c>
      <c r="K127" s="17">
        <f t="shared" ca="1" si="55"/>
        <v>50.804297092517629</v>
      </c>
      <c r="L127" s="17">
        <f t="shared" ca="1" si="55"/>
        <v>63.567938233987576</v>
      </c>
      <c r="M127" s="17">
        <f t="shared" ca="1" si="55"/>
        <v>76.081311902095365</v>
      </c>
      <c r="N127" s="17">
        <f t="shared" ca="1" si="55"/>
        <v>99.606454398138013</v>
      </c>
      <c r="O127" s="17">
        <f t="shared" ca="1" si="55"/>
        <v>151.66208885746641</v>
      </c>
      <c r="P127" s="17">
        <f t="shared" ca="1" si="55"/>
        <v>179.19151092730357</v>
      </c>
      <c r="Q127" s="17">
        <f t="shared" ca="1" si="55"/>
        <v>209.72414267748655</v>
      </c>
      <c r="R127" s="17">
        <f t="shared" ca="1" si="55"/>
        <v>222.98831876568082</v>
      </c>
      <c r="S127" s="17">
        <f t="shared" ca="1" si="55"/>
        <v>270.53913870449043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BQ67/$D127*100000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7"/>
        <v>29</v>
      </c>
      <c r="C128" t="str">
        <f t="shared" ca="1" si="8"/>
        <v>Switzerland Zug</v>
      </c>
      <c r="D128" s="1">
        <f t="shared" ca="1" si="8"/>
        <v>126837</v>
      </c>
      <c r="E128" s="17">
        <f t="shared" ref="E128:BP128" ca="1" si="57">E68/$D128*100000</f>
        <v>48.881635484913701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BQ68/$D128*100000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7"/>
        <v>30</v>
      </c>
      <c r="C129" t="str">
        <f t="shared" ca="1" si="8"/>
        <v>Switzerland Zurich</v>
      </c>
      <c r="D129" s="1">
        <f t="shared" ca="1" si="8"/>
        <v>1520968</v>
      </c>
      <c r="E129" s="17">
        <f t="shared" ref="E129:BP129" ca="1" si="59">E69/$D129*100000</f>
        <v>3.8791085677016217</v>
      </c>
      <c r="F129" s="17">
        <f t="shared" ca="1" si="59"/>
        <v>6.0487794615008337</v>
      </c>
      <c r="G129" s="17">
        <f t="shared" ca="1" si="59"/>
        <v>9.2046643979360514</v>
      </c>
      <c r="H129" s="17">
        <f t="shared" ca="1" si="59"/>
        <v>9.2046643979360514</v>
      </c>
      <c r="I129" s="17">
        <f t="shared" ca="1" si="59"/>
        <v>9.2046643979360514</v>
      </c>
      <c r="J129" s="17">
        <f t="shared" ca="1" si="59"/>
        <v>17.751852767448099</v>
      </c>
      <c r="K129" s="17">
        <f t="shared" ca="1" si="59"/>
        <v>19.329795235665706</v>
      </c>
      <c r="L129" s="17">
        <f t="shared" ca="1" si="59"/>
        <v>27.876983605177756</v>
      </c>
      <c r="M129" s="17">
        <f t="shared" ca="1" si="59"/>
        <v>34.583239095102591</v>
      </c>
      <c r="N129" s="17">
        <f t="shared" ca="1" si="59"/>
        <v>50.822896997175484</v>
      </c>
      <c r="O129" s="17">
        <f t="shared" ca="1" si="59"/>
        <v>50.822896997175484</v>
      </c>
      <c r="P129" s="17">
        <f t="shared" ca="1" si="59"/>
        <v>50.822896997175484</v>
      </c>
      <c r="Q129" s="17">
        <f t="shared" ca="1" si="59"/>
        <v>70.218439835683597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BQ69/$D129*100000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7"/>
        <v>31</v>
      </c>
      <c r="C130">
        <f t="shared" ca="1" si="8"/>
        <v>0</v>
      </c>
      <c r="D130" s="1" t="e">
        <f t="shared" ca="1" si="8"/>
        <v>#N/A</v>
      </c>
      <c r="E130" s="17" t="e">
        <f t="shared" ref="E130:BP130" ca="1" si="61">E70/$D130*100000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BQ70/$D130*100000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7"/>
        <v>32</v>
      </c>
      <c r="C131">
        <f t="shared" ca="1" si="8"/>
        <v>0</v>
      </c>
      <c r="D131" s="1" t="e">
        <f t="shared" ca="1" si="8"/>
        <v>#N/A</v>
      </c>
      <c r="E131" s="17" t="e">
        <f t="shared" ref="E131:BP131" ca="1" si="63">E71/$D131*100000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BQ71/$D131*100000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7"/>
        <v>33</v>
      </c>
      <c r="C132">
        <f t="shared" ca="1" si="8"/>
        <v>0</v>
      </c>
      <c r="D132" s="1" t="e">
        <f t="shared" ca="1" si="8"/>
        <v>#N/A</v>
      </c>
      <c r="E132" s="17" t="e">
        <f t="shared" ref="E132:BP132" ca="1" si="65">E72/$D132*100000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BQ72/$D132*100000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7"/>
        <v>34</v>
      </c>
      <c r="C133">
        <f t="shared" ca="1" si="8"/>
        <v>0</v>
      </c>
      <c r="D133" s="1" t="e">
        <f t="shared" ca="1" si="8"/>
        <v>#N/A</v>
      </c>
      <c r="E133" s="17" t="e">
        <f t="shared" ref="E133:BP133" ca="1" si="67">E73/$D133*100000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BQ73/$D133*100000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7"/>
        <v>35</v>
      </c>
      <c r="C134">
        <f t="shared" ca="1" si="8"/>
        <v>0</v>
      </c>
      <c r="D134" s="1" t="e">
        <f t="shared" ca="1" si="8"/>
        <v>#N/A</v>
      </c>
      <c r="E134" s="17" t="e">
        <f t="shared" ref="E134:BP134" ca="1" si="69">E74/$D134*100000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BQ74/$D134*100000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7"/>
        <v>36</v>
      </c>
      <c r="C135">
        <f t="shared" ca="1" si="8"/>
        <v>0</v>
      </c>
      <c r="D135" s="1" t="e">
        <f t="shared" ca="1" si="8"/>
        <v>#N/A</v>
      </c>
      <c r="E135" s="17" t="e">
        <f t="shared" ref="E135:BP135" ca="1" si="71">E75/$D135*100000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BQ75/$D135*100000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7"/>
        <v>37</v>
      </c>
      <c r="C136">
        <f t="shared" ca="1" si="8"/>
        <v>0</v>
      </c>
      <c r="D136" s="1" t="e">
        <f t="shared" ca="1" si="8"/>
        <v>#N/A</v>
      </c>
      <c r="E136" s="17" t="e">
        <f t="shared" ref="E136:BP136" ca="1" si="73">E76/$D136*100000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BQ76/$D136*100000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7"/>
        <v>38</v>
      </c>
      <c r="C137">
        <f t="shared" ca="1" si="8"/>
        <v>0</v>
      </c>
      <c r="D137" s="1" t="e">
        <f t="shared" ca="1" si="8"/>
        <v>#N/A</v>
      </c>
      <c r="E137" s="17" t="e">
        <f t="shared" ref="E137:BP137" ca="1" si="75">E77/$D137*100000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BQ77/$D137*100000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7"/>
        <v>39</v>
      </c>
      <c r="C138">
        <f t="shared" ca="1" si="8"/>
        <v>0</v>
      </c>
      <c r="D138" s="1" t="e">
        <f t="shared" ca="1" si="8"/>
        <v>#N/A</v>
      </c>
      <c r="E138" s="17" t="e">
        <f t="shared" ref="E138:BP138" ca="1" si="77">E78/$D138*100000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BQ78/$D138*100000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7"/>
        <v>40</v>
      </c>
      <c r="C139">
        <f t="shared" ca="1" si="8"/>
        <v>0</v>
      </c>
      <c r="D139" s="1" t="e">
        <f t="shared" ca="1" si="8"/>
        <v>#N/A</v>
      </c>
      <c r="E139" s="17" t="e">
        <f t="shared" ref="E139:BP139" ca="1" si="79">E79/$D139*100000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BQ79/$D139*100000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7"/>
        <v>41</v>
      </c>
      <c r="C140">
        <f t="shared" ca="1" si="8"/>
        <v>0</v>
      </c>
      <c r="D140" s="1" t="e">
        <f t="shared" ca="1" si="8"/>
        <v>#N/A</v>
      </c>
      <c r="E140" s="17" t="e">
        <f t="shared" ref="E140:BP140" ca="1" si="81">E80/$D140*100000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BQ80/$D140*100000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7"/>
        <v>42</v>
      </c>
      <c r="C141">
        <f t="shared" ca="1" si="8"/>
        <v>0</v>
      </c>
      <c r="D141" s="1" t="e">
        <f t="shared" ca="1" si="8"/>
        <v>#N/A</v>
      </c>
      <c r="E141" s="17" t="e">
        <f t="shared" ref="E141:BP141" ca="1" si="83">E81/$D141*100000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BQ81/$D141*100000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7"/>
        <v>43</v>
      </c>
      <c r="C142">
        <f t="shared" ca="1" si="8"/>
        <v>0</v>
      </c>
      <c r="D142" s="1" t="e">
        <f t="shared" ca="1" si="8"/>
        <v>#N/A</v>
      </c>
      <c r="E142" s="17" t="e">
        <f t="shared" ref="E142:BP142" ca="1" si="85">E82/$D142*100000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BQ82/$D142*100000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7"/>
        <v>44</v>
      </c>
      <c r="C143">
        <f t="shared" ca="1" si="8"/>
        <v>0</v>
      </c>
      <c r="D143" s="1" t="e">
        <f t="shared" ca="1" si="8"/>
        <v>#N/A</v>
      </c>
      <c r="E143" s="17" t="e">
        <f t="shared" ref="E143:BP143" ca="1" si="87">E83/$D143*100000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BQ83/$D143*100000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7"/>
        <v>45</v>
      </c>
      <c r="C144">
        <f t="shared" ca="1" si="8"/>
        <v>0</v>
      </c>
      <c r="D144" s="1" t="e">
        <f t="shared" ca="1" si="8"/>
        <v>#N/A</v>
      </c>
      <c r="E144" s="17" t="e">
        <f t="shared" ref="E144:BP144" ca="1" si="89">E84/$D144*100000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BQ84/$D144*100000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7"/>
        <v>46</v>
      </c>
      <c r="C145">
        <f t="shared" ca="1" si="8"/>
        <v>0</v>
      </c>
      <c r="D145" s="1" t="e">
        <f t="shared" ca="1" si="8"/>
        <v>#N/A</v>
      </c>
      <c r="E145" s="17" t="e">
        <f t="shared" ref="E145:BP145" ca="1" si="91">E85/$D145*100000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BQ85/$D145*100000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si="7"/>
        <v>47</v>
      </c>
      <c r="C146">
        <f t="shared" ca="1" si="8"/>
        <v>0</v>
      </c>
      <c r="D146" s="1" t="e">
        <f t="shared" ca="1" si="8"/>
        <v>#N/A</v>
      </c>
      <c r="E146" s="17" t="e">
        <f t="shared" ref="E146:BP146" ca="1" si="93">E86/$D146*100000</f>
        <v>#N/A</v>
      </c>
      <c r="F146" s="17" t="e">
        <f t="shared" ca="1" si="93"/>
        <v>#N/A</v>
      </c>
      <c r="G146" s="17" t="e">
        <f t="shared" ca="1" si="93"/>
        <v>#N/A</v>
      </c>
      <c r="H146" s="17" t="e">
        <f t="shared" ca="1" si="93"/>
        <v>#N/A</v>
      </c>
      <c r="I146" s="17" t="e">
        <f t="shared" ca="1" si="93"/>
        <v>#N/A</v>
      </c>
      <c r="J146" s="17" t="e">
        <f t="shared" ca="1" si="93"/>
        <v>#N/A</v>
      </c>
      <c r="K146" s="17" t="e">
        <f t="shared" ca="1" si="93"/>
        <v>#N/A</v>
      </c>
      <c r="L146" s="17" t="e">
        <f t="shared" ca="1" si="93"/>
        <v>#N/A</v>
      </c>
      <c r="M146" s="17" t="e">
        <f t="shared" ca="1" si="93"/>
        <v>#N/A</v>
      </c>
      <c r="N146" s="17" t="e">
        <f t="shared" ca="1" si="93"/>
        <v>#N/A</v>
      </c>
      <c r="O146" s="17" t="e">
        <f t="shared" ca="1" si="93"/>
        <v>#N/A</v>
      </c>
      <c r="P146" s="17" t="e">
        <f t="shared" ca="1" si="93"/>
        <v>#N/A</v>
      </c>
      <c r="Q146" s="17" t="e">
        <f t="shared" ca="1" si="93"/>
        <v>#N/A</v>
      </c>
      <c r="R146" s="17" t="e">
        <f t="shared" ca="1" si="93"/>
        <v>#N/A</v>
      </c>
      <c r="S146" s="17" t="e">
        <f t="shared" ca="1" si="93"/>
        <v>#N/A</v>
      </c>
      <c r="T146" s="17" t="e">
        <f t="shared" ca="1" si="93"/>
        <v>#N/A</v>
      </c>
      <c r="U146" s="17" t="e">
        <f t="shared" ca="1" si="93"/>
        <v>#N/A</v>
      </c>
      <c r="V146" s="17" t="e">
        <f t="shared" ca="1" si="93"/>
        <v>#N/A</v>
      </c>
      <c r="W146" s="17" t="e">
        <f t="shared" ca="1" si="93"/>
        <v>#N/A</v>
      </c>
      <c r="X146" s="17" t="e">
        <f t="shared" ca="1" si="93"/>
        <v>#N/A</v>
      </c>
      <c r="Y146" s="17" t="e">
        <f t="shared" ca="1" si="93"/>
        <v>#N/A</v>
      </c>
      <c r="Z146" s="17" t="e">
        <f t="shared" ca="1" si="93"/>
        <v>#N/A</v>
      </c>
      <c r="AA146" s="17" t="e">
        <f t="shared" ca="1" si="93"/>
        <v>#N/A</v>
      </c>
      <c r="AB146" s="17" t="e">
        <f t="shared" ca="1" si="93"/>
        <v>#N/A</v>
      </c>
      <c r="AC146" s="17" t="e">
        <f t="shared" ca="1" si="93"/>
        <v>#N/A</v>
      </c>
      <c r="AD146" s="17" t="e">
        <f t="shared" ca="1" si="93"/>
        <v>#N/A</v>
      </c>
      <c r="AE146" s="17" t="e">
        <f t="shared" ca="1" si="93"/>
        <v>#N/A</v>
      </c>
      <c r="AF146" s="17" t="e">
        <f t="shared" ca="1" si="93"/>
        <v>#N/A</v>
      </c>
      <c r="AG146" s="17" t="e">
        <f t="shared" ca="1" si="93"/>
        <v>#N/A</v>
      </c>
      <c r="AH146" s="17" t="e">
        <f t="shared" ca="1" si="93"/>
        <v>#N/A</v>
      </c>
      <c r="AI146" s="17" t="e">
        <f t="shared" ca="1" si="93"/>
        <v>#N/A</v>
      </c>
      <c r="AJ146" s="17" t="e">
        <f t="shared" ca="1" si="93"/>
        <v>#N/A</v>
      </c>
      <c r="AK146" s="17" t="e">
        <f t="shared" ca="1" si="93"/>
        <v>#N/A</v>
      </c>
      <c r="AL146" s="17" t="e">
        <f t="shared" ca="1" si="93"/>
        <v>#N/A</v>
      </c>
      <c r="AM146" s="17" t="e">
        <f t="shared" ca="1" si="93"/>
        <v>#N/A</v>
      </c>
      <c r="AN146" s="17" t="e">
        <f t="shared" ca="1" si="93"/>
        <v>#N/A</v>
      </c>
      <c r="AO146" s="17" t="e">
        <f t="shared" ca="1" si="93"/>
        <v>#N/A</v>
      </c>
      <c r="AP146" s="17" t="e">
        <f t="shared" ca="1" si="93"/>
        <v>#N/A</v>
      </c>
      <c r="AQ146" s="17" t="e">
        <f t="shared" ca="1" si="93"/>
        <v>#N/A</v>
      </c>
      <c r="AR146" s="17" t="e">
        <f t="shared" ca="1" si="93"/>
        <v>#N/A</v>
      </c>
      <c r="AS146" s="17" t="e">
        <f t="shared" ca="1" si="93"/>
        <v>#N/A</v>
      </c>
      <c r="AT146" s="17" t="e">
        <f t="shared" ca="1" si="93"/>
        <v>#N/A</v>
      </c>
      <c r="AU146" s="17" t="e">
        <f t="shared" ca="1" si="93"/>
        <v>#N/A</v>
      </c>
      <c r="AV146" s="17" t="e">
        <f t="shared" ca="1" si="93"/>
        <v>#N/A</v>
      </c>
      <c r="AW146" s="17" t="e">
        <f t="shared" ca="1" si="93"/>
        <v>#N/A</v>
      </c>
      <c r="AX146" s="17" t="e">
        <f t="shared" ca="1" si="93"/>
        <v>#N/A</v>
      </c>
      <c r="AY146" s="17" t="e">
        <f t="shared" ca="1" si="93"/>
        <v>#N/A</v>
      </c>
      <c r="AZ146" s="17" t="e">
        <f t="shared" ca="1" si="93"/>
        <v>#N/A</v>
      </c>
      <c r="BA146" s="17" t="e">
        <f t="shared" ca="1" si="93"/>
        <v>#N/A</v>
      </c>
      <c r="BB146" s="17" t="e">
        <f t="shared" ca="1" si="93"/>
        <v>#N/A</v>
      </c>
      <c r="BC146" s="17" t="e">
        <f t="shared" ca="1" si="93"/>
        <v>#N/A</v>
      </c>
      <c r="BD146" s="17" t="e">
        <f t="shared" ca="1" si="93"/>
        <v>#N/A</v>
      </c>
      <c r="BE146" s="17" t="e">
        <f t="shared" ca="1" si="93"/>
        <v>#N/A</v>
      </c>
      <c r="BF146" s="17" t="e">
        <f t="shared" ca="1" si="93"/>
        <v>#N/A</v>
      </c>
      <c r="BG146" s="17" t="e">
        <f t="shared" ca="1" si="93"/>
        <v>#N/A</v>
      </c>
      <c r="BH146" s="17" t="e">
        <f t="shared" ca="1" si="93"/>
        <v>#N/A</v>
      </c>
      <c r="BI146" s="17" t="e">
        <f t="shared" ca="1" si="93"/>
        <v>#N/A</v>
      </c>
      <c r="BJ146" s="17" t="e">
        <f t="shared" ca="1" si="93"/>
        <v>#N/A</v>
      </c>
      <c r="BK146" s="17" t="e">
        <f t="shared" ca="1" si="93"/>
        <v>#N/A</v>
      </c>
      <c r="BL146" s="17" t="e">
        <f t="shared" ca="1" si="93"/>
        <v>#N/A</v>
      </c>
      <c r="BM146" s="17" t="e">
        <f t="shared" ca="1" si="93"/>
        <v>#N/A</v>
      </c>
      <c r="BN146" s="17" t="e">
        <f t="shared" ca="1" si="93"/>
        <v>#N/A</v>
      </c>
      <c r="BO146" s="17" t="e">
        <f t="shared" ca="1" si="93"/>
        <v>#N/A</v>
      </c>
      <c r="BP146" s="17" t="e">
        <f t="shared" ca="1" si="93"/>
        <v>#N/A</v>
      </c>
      <c r="BQ146" s="17" t="e">
        <f t="shared" ref="BQ146:BV146" ca="1" si="94">BQ86/$D146*100000</f>
        <v>#N/A</v>
      </c>
      <c r="BR146" s="17" t="e">
        <f t="shared" ca="1" si="94"/>
        <v>#N/A</v>
      </c>
      <c r="BS146" s="17" t="e">
        <f t="shared" ca="1" si="94"/>
        <v>#N/A</v>
      </c>
      <c r="BT146" s="17" t="e">
        <f t="shared" ca="1" si="94"/>
        <v>#N/A</v>
      </c>
      <c r="BU146" s="17" t="e">
        <f t="shared" ca="1" si="94"/>
        <v>#N/A</v>
      </c>
      <c r="BV146" s="17" t="e">
        <f t="shared" ca="1" si="94"/>
        <v>#N/A</v>
      </c>
    </row>
    <row r="147" spans="2:74" x14ac:dyDescent="0.25">
      <c r="B147">
        <f t="shared" si="7"/>
        <v>48</v>
      </c>
      <c r="C147">
        <f t="shared" ca="1" si="8"/>
        <v>0</v>
      </c>
      <c r="D147" s="1" t="e">
        <f t="shared" ca="1" si="8"/>
        <v>#N/A</v>
      </c>
      <c r="E147" s="17" t="e">
        <f t="shared" ref="E147:BP147" ca="1" si="95">E87/$D147*100000</f>
        <v>#N/A</v>
      </c>
      <c r="F147" s="17" t="e">
        <f t="shared" ca="1" si="95"/>
        <v>#N/A</v>
      </c>
      <c r="G147" s="17" t="e">
        <f t="shared" ca="1" si="95"/>
        <v>#N/A</v>
      </c>
      <c r="H147" s="17" t="e">
        <f t="shared" ca="1" si="95"/>
        <v>#N/A</v>
      </c>
      <c r="I147" s="17" t="e">
        <f t="shared" ca="1" si="95"/>
        <v>#N/A</v>
      </c>
      <c r="J147" s="17" t="e">
        <f t="shared" ca="1" si="95"/>
        <v>#N/A</v>
      </c>
      <c r="K147" s="17" t="e">
        <f t="shared" ca="1" si="95"/>
        <v>#N/A</v>
      </c>
      <c r="L147" s="17" t="e">
        <f t="shared" ca="1" si="95"/>
        <v>#N/A</v>
      </c>
      <c r="M147" s="17" t="e">
        <f t="shared" ca="1" si="95"/>
        <v>#N/A</v>
      </c>
      <c r="N147" s="17" t="e">
        <f t="shared" ca="1" si="95"/>
        <v>#N/A</v>
      </c>
      <c r="O147" s="17" t="e">
        <f t="shared" ca="1" si="95"/>
        <v>#N/A</v>
      </c>
      <c r="P147" s="17" t="e">
        <f t="shared" ca="1" si="95"/>
        <v>#N/A</v>
      </c>
      <c r="Q147" s="17" t="e">
        <f t="shared" ca="1" si="95"/>
        <v>#N/A</v>
      </c>
      <c r="R147" s="17" t="e">
        <f t="shared" ca="1" si="95"/>
        <v>#N/A</v>
      </c>
      <c r="S147" s="17" t="e">
        <f t="shared" ca="1" si="95"/>
        <v>#N/A</v>
      </c>
      <c r="T147" s="17" t="e">
        <f t="shared" ca="1" si="95"/>
        <v>#N/A</v>
      </c>
      <c r="U147" s="17" t="e">
        <f t="shared" ca="1" si="95"/>
        <v>#N/A</v>
      </c>
      <c r="V147" s="17" t="e">
        <f t="shared" ca="1" si="95"/>
        <v>#N/A</v>
      </c>
      <c r="W147" s="17" t="e">
        <f t="shared" ca="1" si="95"/>
        <v>#N/A</v>
      </c>
      <c r="X147" s="17" t="e">
        <f t="shared" ca="1" si="95"/>
        <v>#N/A</v>
      </c>
      <c r="Y147" s="17" t="e">
        <f t="shared" ca="1" si="95"/>
        <v>#N/A</v>
      </c>
      <c r="Z147" s="17" t="e">
        <f t="shared" ca="1" si="95"/>
        <v>#N/A</v>
      </c>
      <c r="AA147" s="17" t="e">
        <f t="shared" ca="1" si="95"/>
        <v>#N/A</v>
      </c>
      <c r="AB147" s="17" t="e">
        <f t="shared" ca="1" si="95"/>
        <v>#N/A</v>
      </c>
      <c r="AC147" s="17" t="e">
        <f t="shared" ca="1" si="95"/>
        <v>#N/A</v>
      </c>
      <c r="AD147" s="17" t="e">
        <f t="shared" ca="1" si="95"/>
        <v>#N/A</v>
      </c>
      <c r="AE147" s="17" t="e">
        <f t="shared" ca="1" si="95"/>
        <v>#N/A</v>
      </c>
      <c r="AF147" s="17" t="e">
        <f t="shared" ca="1" si="95"/>
        <v>#N/A</v>
      </c>
      <c r="AG147" s="17" t="e">
        <f t="shared" ca="1" si="95"/>
        <v>#N/A</v>
      </c>
      <c r="AH147" s="17" t="e">
        <f t="shared" ca="1" si="95"/>
        <v>#N/A</v>
      </c>
      <c r="AI147" s="17" t="e">
        <f t="shared" ca="1" si="95"/>
        <v>#N/A</v>
      </c>
      <c r="AJ147" s="17" t="e">
        <f t="shared" ca="1" si="95"/>
        <v>#N/A</v>
      </c>
      <c r="AK147" s="17" t="e">
        <f t="shared" ca="1" si="95"/>
        <v>#N/A</v>
      </c>
      <c r="AL147" s="17" t="e">
        <f t="shared" ca="1" si="95"/>
        <v>#N/A</v>
      </c>
      <c r="AM147" s="17" t="e">
        <f t="shared" ca="1" si="95"/>
        <v>#N/A</v>
      </c>
      <c r="AN147" s="17" t="e">
        <f t="shared" ca="1" si="95"/>
        <v>#N/A</v>
      </c>
      <c r="AO147" s="17" t="e">
        <f t="shared" ca="1" si="95"/>
        <v>#N/A</v>
      </c>
      <c r="AP147" s="17" t="e">
        <f t="shared" ca="1" si="95"/>
        <v>#N/A</v>
      </c>
      <c r="AQ147" s="17" t="e">
        <f t="shared" ca="1" si="95"/>
        <v>#N/A</v>
      </c>
      <c r="AR147" s="17" t="e">
        <f t="shared" ca="1" si="95"/>
        <v>#N/A</v>
      </c>
      <c r="AS147" s="17" t="e">
        <f t="shared" ca="1" si="95"/>
        <v>#N/A</v>
      </c>
      <c r="AT147" s="17" t="e">
        <f t="shared" ca="1" si="95"/>
        <v>#N/A</v>
      </c>
      <c r="AU147" s="17" t="e">
        <f t="shared" ca="1" si="95"/>
        <v>#N/A</v>
      </c>
      <c r="AV147" s="17" t="e">
        <f t="shared" ca="1" si="95"/>
        <v>#N/A</v>
      </c>
      <c r="AW147" s="17" t="e">
        <f t="shared" ca="1" si="95"/>
        <v>#N/A</v>
      </c>
      <c r="AX147" s="17" t="e">
        <f t="shared" ca="1" si="95"/>
        <v>#N/A</v>
      </c>
      <c r="AY147" s="17" t="e">
        <f t="shared" ca="1" si="95"/>
        <v>#N/A</v>
      </c>
      <c r="AZ147" s="17" t="e">
        <f t="shared" ca="1" si="95"/>
        <v>#N/A</v>
      </c>
      <c r="BA147" s="17" t="e">
        <f t="shared" ca="1" si="95"/>
        <v>#N/A</v>
      </c>
      <c r="BB147" s="17" t="e">
        <f t="shared" ca="1" si="95"/>
        <v>#N/A</v>
      </c>
      <c r="BC147" s="17" t="e">
        <f t="shared" ca="1" si="95"/>
        <v>#N/A</v>
      </c>
      <c r="BD147" s="17" t="e">
        <f t="shared" ca="1" si="95"/>
        <v>#N/A</v>
      </c>
      <c r="BE147" s="17" t="e">
        <f t="shared" ca="1" si="95"/>
        <v>#N/A</v>
      </c>
      <c r="BF147" s="17" t="e">
        <f t="shared" ca="1" si="95"/>
        <v>#N/A</v>
      </c>
      <c r="BG147" s="17" t="e">
        <f t="shared" ca="1" si="95"/>
        <v>#N/A</v>
      </c>
      <c r="BH147" s="17" t="e">
        <f t="shared" ca="1" si="95"/>
        <v>#N/A</v>
      </c>
      <c r="BI147" s="17" t="e">
        <f t="shared" ca="1" si="95"/>
        <v>#N/A</v>
      </c>
      <c r="BJ147" s="17" t="e">
        <f t="shared" ca="1" si="95"/>
        <v>#N/A</v>
      </c>
      <c r="BK147" s="17" t="e">
        <f t="shared" ca="1" si="95"/>
        <v>#N/A</v>
      </c>
      <c r="BL147" s="17" t="e">
        <f t="shared" ca="1" si="95"/>
        <v>#N/A</v>
      </c>
      <c r="BM147" s="17" t="e">
        <f t="shared" ca="1" si="95"/>
        <v>#N/A</v>
      </c>
      <c r="BN147" s="17" t="e">
        <f t="shared" ca="1" si="95"/>
        <v>#N/A</v>
      </c>
      <c r="BO147" s="17" t="e">
        <f t="shared" ca="1" si="95"/>
        <v>#N/A</v>
      </c>
      <c r="BP147" s="17" t="e">
        <f t="shared" ca="1" si="95"/>
        <v>#N/A</v>
      </c>
      <c r="BQ147" s="17" t="e">
        <f t="shared" ref="BQ147:BV147" ca="1" si="96">BQ87/$D147*100000</f>
        <v>#N/A</v>
      </c>
      <c r="BR147" s="17" t="e">
        <f t="shared" ca="1" si="96"/>
        <v>#N/A</v>
      </c>
      <c r="BS147" s="17" t="e">
        <f t="shared" ca="1" si="96"/>
        <v>#N/A</v>
      </c>
      <c r="BT147" s="17" t="e">
        <f t="shared" ca="1" si="96"/>
        <v>#N/A</v>
      </c>
      <c r="BU147" s="17" t="e">
        <f t="shared" ca="1" si="96"/>
        <v>#N/A</v>
      </c>
      <c r="BV147" s="17" t="e">
        <f t="shared" ca="1" si="96"/>
        <v>#N/A</v>
      </c>
    </row>
    <row r="148" spans="2:74" x14ac:dyDescent="0.25">
      <c r="B148">
        <f t="shared" si="7"/>
        <v>49</v>
      </c>
      <c r="C148">
        <f t="shared" ca="1" si="8"/>
        <v>0</v>
      </c>
      <c r="D148" s="1" t="e">
        <f t="shared" ca="1" si="8"/>
        <v>#N/A</v>
      </c>
      <c r="E148" s="17" t="e">
        <f t="shared" ref="E148:BP148" ca="1" si="97">E88/$D148*100000</f>
        <v>#N/A</v>
      </c>
      <c r="F148" s="17" t="e">
        <f t="shared" ca="1" si="97"/>
        <v>#N/A</v>
      </c>
      <c r="G148" s="17" t="e">
        <f t="shared" ca="1" si="97"/>
        <v>#N/A</v>
      </c>
      <c r="H148" s="17" t="e">
        <f t="shared" ca="1" si="97"/>
        <v>#N/A</v>
      </c>
      <c r="I148" s="17" t="e">
        <f t="shared" ca="1" si="97"/>
        <v>#N/A</v>
      </c>
      <c r="J148" s="17" t="e">
        <f t="shared" ca="1" si="97"/>
        <v>#N/A</v>
      </c>
      <c r="K148" s="17" t="e">
        <f t="shared" ca="1" si="97"/>
        <v>#N/A</v>
      </c>
      <c r="L148" s="17" t="e">
        <f t="shared" ca="1" si="97"/>
        <v>#N/A</v>
      </c>
      <c r="M148" s="17" t="e">
        <f t="shared" ca="1" si="97"/>
        <v>#N/A</v>
      </c>
      <c r="N148" s="17" t="e">
        <f t="shared" ca="1" si="97"/>
        <v>#N/A</v>
      </c>
      <c r="O148" s="17" t="e">
        <f t="shared" ca="1" si="97"/>
        <v>#N/A</v>
      </c>
      <c r="P148" s="17" t="e">
        <f t="shared" ca="1" si="97"/>
        <v>#N/A</v>
      </c>
      <c r="Q148" s="17" t="e">
        <f t="shared" ca="1" si="97"/>
        <v>#N/A</v>
      </c>
      <c r="R148" s="17" t="e">
        <f t="shared" ca="1" si="97"/>
        <v>#N/A</v>
      </c>
      <c r="S148" s="17" t="e">
        <f t="shared" ca="1" si="97"/>
        <v>#N/A</v>
      </c>
      <c r="T148" s="17" t="e">
        <f t="shared" ca="1" si="97"/>
        <v>#N/A</v>
      </c>
      <c r="U148" s="17" t="e">
        <f t="shared" ca="1" si="97"/>
        <v>#N/A</v>
      </c>
      <c r="V148" s="17" t="e">
        <f t="shared" ca="1" si="97"/>
        <v>#N/A</v>
      </c>
      <c r="W148" s="17" t="e">
        <f t="shared" ca="1" si="97"/>
        <v>#N/A</v>
      </c>
      <c r="X148" s="17" t="e">
        <f t="shared" ca="1" si="97"/>
        <v>#N/A</v>
      </c>
      <c r="Y148" s="17" t="e">
        <f t="shared" ca="1" si="97"/>
        <v>#N/A</v>
      </c>
      <c r="Z148" s="17" t="e">
        <f t="shared" ca="1" si="97"/>
        <v>#N/A</v>
      </c>
      <c r="AA148" s="17" t="e">
        <f t="shared" ca="1" si="97"/>
        <v>#N/A</v>
      </c>
      <c r="AB148" s="17" t="e">
        <f t="shared" ca="1" si="97"/>
        <v>#N/A</v>
      </c>
      <c r="AC148" s="17" t="e">
        <f t="shared" ca="1" si="97"/>
        <v>#N/A</v>
      </c>
      <c r="AD148" s="17" t="e">
        <f t="shared" ca="1" si="97"/>
        <v>#N/A</v>
      </c>
      <c r="AE148" s="17" t="e">
        <f t="shared" ca="1" si="97"/>
        <v>#N/A</v>
      </c>
      <c r="AF148" s="17" t="e">
        <f t="shared" ca="1" si="97"/>
        <v>#N/A</v>
      </c>
      <c r="AG148" s="17" t="e">
        <f t="shared" ca="1" si="97"/>
        <v>#N/A</v>
      </c>
      <c r="AH148" s="17" t="e">
        <f t="shared" ca="1" si="97"/>
        <v>#N/A</v>
      </c>
      <c r="AI148" s="17" t="e">
        <f t="shared" ca="1" si="97"/>
        <v>#N/A</v>
      </c>
      <c r="AJ148" s="17" t="e">
        <f t="shared" ca="1" si="97"/>
        <v>#N/A</v>
      </c>
      <c r="AK148" s="17" t="e">
        <f t="shared" ca="1" si="97"/>
        <v>#N/A</v>
      </c>
      <c r="AL148" s="17" t="e">
        <f t="shared" ca="1" si="97"/>
        <v>#N/A</v>
      </c>
      <c r="AM148" s="17" t="e">
        <f t="shared" ca="1" si="97"/>
        <v>#N/A</v>
      </c>
      <c r="AN148" s="17" t="e">
        <f t="shared" ca="1" si="97"/>
        <v>#N/A</v>
      </c>
      <c r="AO148" s="17" t="e">
        <f t="shared" ca="1" si="97"/>
        <v>#N/A</v>
      </c>
      <c r="AP148" s="17" t="e">
        <f t="shared" ca="1" si="97"/>
        <v>#N/A</v>
      </c>
      <c r="AQ148" s="17" t="e">
        <f t="shared" ca="1" si="97"/>
        <v>#N/A</v>
      </c>
      <c r="AR148" s="17" t="e">
        <f t="shared" ca="1" si="97"/>
        <v>#N/A</v>
      </c>
      <c r="AS148" s="17" t="e">
        <f t="shared" ca="1" si="97"/>
        <v>#N/A</v>
      </c>
      <c r="AT148" s="17" t="e">
        <f t="shared" ca="1" si="97"/>
        <v>#N/A</v>
      </c>
      <c r="AU148" s="17" t="e">
        <f t="shared" ca="1" si="97"/>
        <v>#N/A</v>
      </c>
      <c r="AV148" s="17" t="e">
        <f t="shared" ca="1" si="97"/>
        <v>#N/A</v>
      </c>
      <c r="AW148" s="17" t="e">
        <f t="shared" ca="1" si="97"/>
        <v>#N/A</v>
      </c>
      <c r="AX148" s="17" t="e">
        <f t="shared" ca="1" si="97"/>
        <v>#N/A</v>
      </c>
      <c r="AY148" s="17" t="e">
        <f t="shared" ca="1" si="97"/>
        <v>#N/A</v>
      </c>
      <c r="AZ148" s="17" t="e">
        <f t="shared" ca="1" si="97"/>
        <v>#N/A</v>
      </c>
      <c r="BA148" s="17" t="e">
        <f t="shared" ca="1" si="97"/>
        <v>#N/A</v>
      </c>
      <c r="BB148" s="17" t="e">
        <f t="shared" ca="1" si="97"/>
        <v>#N/A</v>
      </c>
      <c r="BC148" s="17" t="e">
        <f t="shared" ca="1" si="97"/>
        <v>#N/A</v>
      </c>
      <c r="BD148" s="17" t="e">
        <f t="shared" ca="1" si="97"/>
        <v>#N/A</v>
      </c>
      <c r="BE148" s="17" t="e">
        <f t="shared" ca="1" si="97"/>
        <v>#N/A</v>
      </c>
      <c r="BF148" s="17" t="e">
        <f t="shared" ca="1" si="97"/>
        <v>#N/A</v>
      </c>
      <c r="BG148" s="17" t="e">
        <f t="shared" ca="1" si="97"/>
        <v>#N/A</v>
      </c>
      <c r="BH148" s="17" t="e">
        <f t="shared" ca="1" si="97"/>
        <v>#N/A</v>
      </c>
      <c r="BI148" s="17" t="e">
        <f t="shared" ca="1" si="97"/>
        <v>#N/A</v>
      </c>
      <c r="BJ148" s="17" t="e">
        <f t="shared" ca="1" si="97"/>
        <v>#N/A</v>
      </c>
      <c r="BK148" s="17" t="e">
        <f t="shared" ca="1" si="97"/>
        <v>#N/A</v>
      </c>
      <c r="BL148" s="17" t="e">
        <f t="shared" ca="1" si="97"/>
        <v>#N/A</v>
      </c>
      <c r="BM148" s="17" t="e">
        <f t="shared" ca="1" si="97"/>
        <v>#N/A</v>
      </c>
      <c r="BN148" s="17" t="e">
        <f t="shared" ca="1" si="97"/>
        <v>#N/A</v>
      </c>
      <c r="BO148" s="17" t="e">
        <f t="shared" ca="1" si="97"/>
        <v>#N/A</v>
      </c>
      <c r="BP148" s="17" t="e">
        <f t="shared" ca="1" si="97"/>
        <v>#N/A</v>
      </c>
      <c r="BQ148" s="17" t="e">
        <f t="shared" ref="BQ148:BV148" ca="1" si="98">BQ88/$D148*100000</f>
        <v>#N/A</v>
      </c>
      <c r="BR148" s="17" t="e">
        <f t="shared" ca="1" si="98"/>
        <v>#N/A</v>
      </c>
      <c r="BS148" s="17" t="e">
        <f t="shared" ca="1" si="98"/>
        <v>#N/A</v>
      </c>
      <c r="BT148" s="17" t="e">
        <f t="shared" ca="1" si="98"/>
        <v>#N/A</v>
      </c>
      <c r="BU148" s="17" t="e">
        <f t="shared" ca="1" si="98"/>
        <v>#N/A</v>
      </c>
      <c r="BV148" s="17" t="e">
        <f t="shared" ca="1" si="98"/>
        <v>#N/A</v>
      </c>
    </row>
    <row r="149" spans="2:74" x14ac:dyDescent="0.25">
      <c r="B149">
        <f t="shared" si="7"/>
        <v>50</v>
      </c>
      <c r="C149">
        <f t="shared" ca="1" si="8"/>
        <v>0</v>
      </c>
      <c r="D149" s="1" t="e">
        <f t="shared" ca="1" si="8"/>
        <v>#N/A</v>
      </c>
      <c r="E149" s="17" t="e">
        <f t="shared" ref="E149:BP149" ca="1" si="99">E89/$D149*100000</f>
        <v>#N/A</v>
      </c>
      <c r="F149" s="17" t="e">
        <f t="shared" ca="1" si="99"/>
        <v>#N/A</v>
      </c>
      <c r="G149" s="17" t="e">
        <f t="shared" ca="1" si="99"/>
        <v>#N/A</v>
      </c>
      <c r="H149" s="17" t="e">
        <f t="shared" ca="1" si="99"/>
        <v>#N/A</v>
      </c>
      <c r="I149" s="17" t="e">
        <f t="shared" ca="1" si="99"/>
        <v>#N/A</v>
      </c>
      <c r="J149" s="17" t="e">
        <f t="shared" ca="1" si="99"/>
        <v>#N/A</v>
      </c>
      <c r="K149" s="17" t="e">
        <f t="shared" ca="1" si="99"/>
        <v>#N/A</v>
      </c>
      <c r="L149" s="17" t="e">
        <f t="shared" ca="1" si="99"/>
        <v>#N/A</v>
      </c>
      <c r="M149" s="17" t="e">
        <f t="shared" ca="1" si="99"/>
        <v>#N/A</v>
      </c>
      <c r="N149" s="17" t="e">
        <f t="shared" ca="1" si="99"/>
        <v>#N/A</v>
      </c>
      <c r="O149" s="17" t="e">
        <f t="shared" ca="1" si="99"/>
        <v>#N/A</v>
      </c>
      <c r="P149" s="17" t="e">
        <f t="shared" ca="1" si="99"/>
        <v>#N/A</v>
      </c>
      <c r="Q149" s="17" t="e">
        <f t="shared" ca="1" si="99"/>
        <v>#N/A</v>
      </c>
      <c r="R149" s="17" t="e">
        <f t="shared" ca="1" si="99"/>
        <v>#N/A</v>
      </c>
      <c r="S149" s="17" t="e">
        <f t="shared" ca="1" si="99"/>
        <v>#N/A</v>
      </c>
      <c r="T149" s="17" t="e">
        <f t="shared" ca="1" si="99"/>
        <v>#N/A</v>
      </c>
      <c r="U149" s="17" t="e">
        <f t="shared" ca="1" si="99"/>
        <v>#N/A</v>
      </c>
      <c r="V149" s="17" t="e">
        <f t="shared" ca="1" si="99"/>
        <v>#N/A</v>
      </c>
      <c r="W149" s="17" t="e">
        <f t="shared" ca="1" si="99"/>
        <v>#N/A</v>
      </c>
      <c r="X149" s="17" t="e">
        <f t="shared" ca="1" si="99"/>
        <v>#N/A</v>
      </c>
      <c r="Y149" s="17" t="e">
        <f t="shared" ca="1" si="99"/>
        <v>#N/A</v>
      </c>
      <c r="Z149" s="17" t="e">
        <f t="shared" ca="1" si="99"/>
        <v>#N/A</v>
      </c>
      <c r="AA149" s="17" t="e">
        <f t="shared" ca="1" si="99"/>
        <v>#N/A</v>
      </c>
      <c r="AB149" s="17" t="e">
        <f t="shared" ca="1" si="99"/>
        <v>#N/A</v>
      </c>
      <c r="AC149" s="17" t="e">
        <f t="shared" ca="1" si="99"/>
        <v>#N/A</v>
      </c>
      <c r="AD149" s="17" t="e">
        <f t="shared" ca="1" si="99"/>
        <v>#N/A</v>
      </c>
      <c r="AE149" s="17" t="e">
        <f t="shared" ca="1" si="99"/>
        <v>#N/A</v>
      </c>
      <c r="AF149" s="17" t="e">
        <f t="shared" ca="1" si="99"/>
        <v>#N/A</v>
      </c>
      <c r="AG149" s="17" t="e">
        <f t="shared" ca="1" si="99"/>
        <v>#N/A</v>
      </c>
      <c r="AH149" s="17" t="e">
        <f t="shared" ca="1" si="99"/>
        <v>#N/A</v>
      </c>
      <c r="AI149" s="17" t="e">
        <f t="shared" ca="1" si="99"/>
        <v>#N/A</v>
      </c>
      <c r="AJ149" s="17" t="e">
        <f t="shared" ca="1" si="99"/>
        <v>#N/A</v>
      </c>
      <c r="AK149" s="17" t="e">
        <f t="shared" ca="1" si="99"/>
        <v>#N/A</v>
      </c>
      <c r="AL149" s="17" t="e">
        <f t="shared" ca="1" si="99"/>
        <v>#N/A</v>
      </c>
      <c r="AM149" s="17" t="e">
        <f t="shared" ca="1" si="99"/>
        <v>#N/A</v>
      </c>
      <c r="AN149" s="17" t="e">
        <f t="shared" ca="1" si="99"/>
        <v>#N/A</v>
      </c>
      <c r="AO149" s="17" t="e">
        <f t="shared" ca="1" si="99"/>
        <v>#N/A</v>
      </c>
      <c r="AP149" s="17" t="e">
        <f t="shared" ca="1" si="99"/>
        <v>#N/A</v>
      </c>
      <c r="AQ149" s="17" t="e">
        <f t="shared" ca="1" si="99"/>
        <v>#N/A</v>
      </c>
      <c r="AR149" s="17" t="e">
        <f t="shared" ca="1" si="99"/>
        <v>#N/A</v>
      </c>
      <c r="AS149" s="17" t="e">
        <f t="shared" ca="1" si="99"/>
        <v>#N/A</v>
      </c>
      <c r="AT149" s="17" t="e">
        <f t="shared" ca="1" si="99"/>
        <v>#N/A</v>
      </c>
      <c r="AU149" s="17" t="e">
        <f t="shared" ca="1" si="99"/>
        <v>#N/A</v>
      </c>
      <c r="AV149" s="17" t="e">
        <f t="shared" ca="1" si="99"/>
        <v>#N/A</v>
      </c>
      <c r="AW149" s="17" t="e">
        <f t="shared" ca="1" si="99"/>
        <v>#N/A</v>
      </c>
      <c r="AX149" s="17" t="e">
        <f t="shared" ca="1" si="99"/>
        <v>#N/A</v>
      </c>
      <c r="AY149" s="17" t="e">
        <f t="shared" ca="1" si="99"/>
        <v>#N/A</v>
      </c>
      <c r="AZ149" s="17" t="e">
        <f t="shared" ca="1" si="99"/>
        <v>#N/A</v>
      </c>
      <c r="BA149" s="17" t="e">
        <f t="shared" ca="1" si="99"/>
        <v>#N/A</v>
      </c>
      <c r="BB149" s="17" t="e">
        <f t="shared" ca="1" si="99"/>
        <v>#N/A</v>
      </c>
      <c r="BC149" s="17" t="e">
        <f t="shared" ca="1" si="99"/>
        <v>#N/A</v>
      </c>
      <c r="BD149" s="17" t="e">
        <f t="shared" ca="1" si="99"/>
        <v>#N/A</v>
      </c>
      <c r="BE149" s="17" t="e">
        <f t="shared" ca="1" si="99"/>
        <v>#N/A</v>
      </c>
      <c r="BF149" s="17" t="e">
        <f t="shared" ca="1" si="99"/>
        <v>#N/A</v>
      </c>
      <c r="BG149" s="17" t="e">
        <f t="shared" ca="1" si="99"/>
        <v>#N/A</v>
      </c>
      <c r="BH149" s="17" t="e">
        <f t="shared" ca="1" si="99"/>
        <v>#N/A</v>
      </c>
      <c r="BI149" s="17" t="e">
        <f t="shared" ca="1" si="99"/>
        <v>#N/A</v>
      </c>
      <c r="BJ149" s="17" t="e">
        <f t="shared" ca="1" si="99"/>
        <v>#N/A</v>
      </c>
      <c r="BK149" s="17" t="e">
        <f t="shared" ca="1" si="99"/>
        <v>#N/A</v>
      </c>
      <c r="BL149" s="17" t="e">
        <f t="shared" ca="1" si="99"/>
        <v>#N/A</v>
      </c>
      <c r="BM149" s="17" t="e">
        <f t="shared" ca="1" si="99"/>
        <v>#N/A</v>
      </c>
      <c r="BN149" s="17" t="e">
        <f t="shared" ca="1" si="99"/>
        <v>#N/A</v>
      </c>
      <c r="BO149" s="17" t="e">
        <f t="shared" ca="1" si="99"/>
        <v>#N/A</v>
      </c>
      <c r="BP149" s="17" t="e">
        <f t="shared" ca="1" si="99"/>
        <v>#N/A</v>
      </c>
      <c r="BQ149" s="17" t="e">
        <f t="shared" ref="BQ149:BV149" ca="1" si="100">BQ89/$D149*100000</f>
        <v>#N/A</v>
      </c>
      <c r="BR149" s="17" t="e">
        <f t="shared" ca="1" si="100"/>
        <v>#N/A</v>
      </c>
      <c r="BS149" s="17" t="e">
        <f t="shared" ca="1" si="100"/>
        <v>#N/A</v>
      </c>
      <c r="BT149" s="17" t="e">
        <f t="shared" ca="1" si="100"/>
        <v>#N/A</v>
      </c>
      <c r="BU149" s="17" t="e">
        <f t="shared" ca="1" si="100"/>
        <v>#N/A</v>
      </c>
      <c r="BV149" s="17" t="e">
        <f t="shared" ca="1" si="100"/>
        <v>#N/A</v>
      </c>
    </row>
    <row r="150" spans="2:74" x14ac:dyDescent="0.25">
      <c r="B150">
        <f t="shared" si="7"/>
        <v>51</v>
      </c>
      <c r="C150">
        <f t="shared" ca="1" si="8"/>
        <v>0</v>
      </c>
      <c r="D150" s="1" t="e">
        <f t="shared" ca="1" si="8"/>
        <v>#N/A</v>
      </c>
      <c r="E150" s="17" t="e">
        <f t="shared" ref="E150:BP150" ca="1" si="101">E90/$D150*100000</f>
        <v>#N/A</v>
      </c>
      <c r="F150" s="17" t="e">
        <f t="shared" ca="1" si="101"/>
        <v>#N/A</v>
      </c>
      <c r="G150" s="17" t="e">
        <f t="shared" ca="1" si="101"/>
        <v>#N/A</v>
      </c>
      <c r="H150" s="17" t="e">
        <f t="shared" ca="1" si="101"/>
        <v>#N/A</v>
      </c>
      <c r="I150" s="17" t="e">
        <f t="shared" ca="1" si="101"/>
        <v>#N/A</v>
      </c>
      <c r="J150" s="17" t="e">
        <f t="shared" ca="1" si="101"/>
        <v>#N/A</v>
      </c>
      <c r="K150" s="17" t="e">
        <f t="shared" ca="1" si="101"/>
        <v>#N/A</v>
      </c>
      <c r="L150" s="17" t="e">
        <f t="shared" ca="1" si="101"/>
        <v>#N/A</v>
      </c>
      <c r="M150" s="17" t="e">
        <f t="shared" ca="1" si="101"/>
        <v>#N/A</v>
      </c>
      <c r="N150" s="17" t="e">
        <f t="shared" ca="1" si="101"/>
        <v>#N/A</v>
      </c>
      <c r="O150" s="17" t="e">
        <f t="shared" ca="1" si="101"/>
        <v>#N/A</v>
      </c>
      <c r="P150" s="17" t="e">
        <f t="shared" ca="1" si="101"/>
        <v>#N/A</v>
      </c>
      <c r="Q150" s="17" t="e">
        <f t="shared" ca="1" si="101"/>
        <v>#N/A</v>
      </c>
      <c r="R150" s="17" t="e">
        <f t="shared" ca="1" si="101"/>
        <v>#N/A</v>
      </c>
      <c r="S150" s="17" t="e">
        <f t="shared" ca="1" si="101"/>
        <v>#N/A</v>
      </c>
      <c r="T150" s="17" t="e">
        <f t="shared" ca="1" si="101"/>
        <v>#N/A</v>
      </c>
      <c r="U150" s="17" t="e">
        <f t="shared" ca="1" si="101"/>
        <v>#N/A</v>
      </c>
      <c r="V150" s="17" t="e">
        <f t="shared" ca="1" si="101"/>
        <v>#N/A</v>
      </c>
      <c r="W150" s="17" t="e">
        <f t="shared" ca="1" si="101"/>
        <v>#N/A</v>
      </c>
      <c r="X150" s="17" t="e">
        <f t="shared" ca="1" si="101"/>
        <v>#N/A</v>
      </c>
      <c r="Y150" s="17" t="e">
        <f t="shared" ca="1" si="101"/>
        <v>#N/A</v>
      </c>
      <c r="Z150" s="17" t="e">
        <f t="shared" ca="1" si="101"/>
        <v>#N/A</v>
      </c>
      <c r="AA150" s="17" t="e">
        <f t="shared" ca="1" si="101"/>
        <v>#N/A</v>
      </c>
      <c r="AB150" s="17" t="e">
        <f t="shared" ca="1" si="101"/>
        <v>#N/A</v>
      </c>
      <c r="AC150" s="17" t="e">
        <f t="shared" ca="1" si="101"/>
        <v>#N/A</v>
      </c>
      <c r="AD150" s="17" t="e">
        <f t="shared" ca="1" si="101"/>
        <v>#N/A</v>
      </c>
      <c r="AE150" s="17" t="e">
        <f t="shared" ca="1" si="101"/>
        <v>#N/A</v>
      </c>
      <c r="AF150" s="17" t="e">
        <f t="shared" ca="1" si="101"/>
        <v>#N/A</v>
      </c>
      <c r="AG150" s="17" t="e">
        <f t="shared" ca="1" si="101"/>
        <v>#N/A</v>
      </c>
      <c r="AH150" s="17" t="e">
        <f t="shared" ca="1" si="101"/>
        <v>#N/A</v>
      </c>
      <c r="AI150" s="17" t="e">
        <f t="shared" ca="1" si="101"/>
        <v>#N/A</v>
      </c>
      <c r="AJ150" s="17" t="e">
        <f t="shared" ca="1" si="101"/>
        <v>#N/A</v>
      </c>
      <c r="AK150" s="17" t="e">
        <f t="shared" ca="1" si="101"/>
        <v>#N/A</v>
      </c>
      <c r="AL150" s="17" t="e">
        <f t="shared" ca="1" si="101"/>
        <v>#N/A</v>
      </c>
      <c r="AM150" s="17" t="e">
        <f t="shared" ca="1" si="101"/>
        <v>#N/A</v>
      </c>
      <c r="AN150" s="17" t="e">
        <f t="shared" ca="1" si="101"/>
        <v>#N/A</v>
      </c>
      <c r="AO150" s="17" t="e">
        <f t="shared" ca="1" si="101"/>
        <v>#N/A</v>
      </c>
      <c r="AP150" s="17" t="e">
        <f t="shared" ca="1" si="101"/>
        <v>#N/A</v>
      </c>
      <c r="AQ150" s="17" t="e">
        <f t="shared" ca="1" si="101"/>
        <v>#N/A</v>
      </c>
      <c r="AR150" s="17" t="e">
        <f t="shared" ca="1" si="101"/>
        <v>#N/A</v>
      </c>
      <c r="AS150" s="17" t="e">
        <f t="shared" ca="1" si="101"/>
        <v>#N/A</v>
      </c>
      <c r="AT150" s="17" t="e">
        <f t="shared" ca="1" si="101"/>
        <v>#N/A</v>
      </c>
      <c r="AU150" s="17" t="e">
        <f t="shared" ca="1" si="101"/>
        <v>#N/A</v>
      </c>
      <c r="AV150" s="17" t="e">
        <f t="shared" ca="1" si="101"/>
        <v>#N/A</v>
      </c>
      <c r="AW150" s="17" t="e">
        <f t="shared" ca="1" si="101"/>
        <v>#N/A</v>
      </c>
      <c r="AX150" s="17" t="e">
        <f t="shared" ca="1" si="101"/>
        <v>#N/A</v>
      </c>
      <c r="AY150" s="17" t="e">
        <f t="shared" ca="1" si="101"/>
        <v>#N/A</v>
      </c>
      <c r="AZ150" s="17" t="e">
        <f t="shared" ca="1" si="101"/>
        <v>#N/A</v>
      </c>
      <c r="BA150" s="17" t="e">
        <f t="shared" ca="1" si="101"/>
        <v>#N/A</v>
      </c>
      <c r="BB150" s="17" t="e">
        <f t="shared" ca="1" si="101"/>
        <v>#N/A</v>
      </c>
      <c r="BC150" s="17" t="e">
        <f t="shared" ca="1" si="101"/>
        <v>#N/A</v>
      </c>
      <c r="BD150" s="17" t="e">
        <f t="shared" ca="1" si="101"/>
        <v>#N/A</v>
      </c>
      <c r="BE150" s="17" t="e">
        <f t="shared" ca="1" si="101"/>
        <v>#N/A</v>
      </c>
      <c r="BF150" s="17" t="e">
        <f t="shared" ca="1" si="101"/>
        <v>#N/A</v>
      </c>
      <c r="BG150" s="17" t="e">
        <f t="shared" ca="1" si="101"/>
        <v>#N/A</v>
      </c>
      <c r="BH150" s="17" t="e">
        <f t="shared" ca="1" si="101"/>
        <v>#N/A</v>
      </c>
      <c r="BI150" s="17" t="e">
        <f t="shared" ca="1" si="101"/>
        <v>#N/A</v>
      </c>
      <c r="BJ150" s="17" t="e">
        <f t="shared" ca="1" si="101"/>
        <v>#N/A</v>
      </c>
      <c r="BK150" s="17" t="e">
        <f t="shared" ca="1" si="101"/>
        <v>#N/A</v>
      </c>
      <c r="BL150" s="17" t="e">
        <f t="shared" ca="1" si="101"/>
        <v>#N/A</v>
      </c>
      <c r="BM150" s="17" t="e">
        <f t="shared" ca="1" si="101"/>
        <v>#N/A</v>
      </c>
      <c r="BN150" s="17" t="e">
        <f t="shared" ca="1" si="101"/>
        <v>#N/A</v>
      </c>
      <c r="BO150" s="17" t="e">
        <f t="shared" ca="1" si="101"/>
        <v>#N/A</v>
      </c>
      <c r="BP150" s="17" t="e">
        <f t="shared" ca="1" si="101"/>
        <v>#N/A</v>
      </c>
      <c r="BQ150" s="17" t="e">
        <f t="shared" ref="BQ150:BV150" ca="1" si="102">BQ90/$D150*100000</f>
        <v>#N/A</v>
      </c>
      <c r="BR150" s="17" t="e">
        <f t="shared" ca="1" si="102"/>
        <v>#N/A</v>
      </c>
      <c r="BS150" s="17" t="e">
        <f t="shared" ca="1" si="102"/>
        <v>#N/A</v>
      </c>
      <c r="BT150" s="17" t="e">
        <f t="shared" ca="1" si="102"/>
        <v>#N/A</v>
      </c>
      <c r="BU150" s="17" t="e">
        <f t="shared" ca="1" si="102"/>
        <v>#N/A</v>
      </c>
      <c r="BV150" s="17" t="e">
        <f t="shared" ca="1" si="102"/>
        <v>#N/A</v>
      </c>
    </row>
    <row r="151" spans="2:74" x14ac:dyDescent="0.25">
      <c r="B151">
        <f t="shared" si="7"/>
        <v>52</v>
      </c>
      <c r="C151">
        <f t="shared" ca="1" si="8"/>
        <v>0</v>
      </c>
      <c r="D151" s="1" t="e">
        <f t="shared" ca="1" si="8"/>
        <v>#N/A</v>
      </c>
      <c r="E151" s="17" t="e">
        <f t="shared" ref="E151:BP151" ca="1" si="103">E91/$D151*100000</f>
        <v>#N/A</v>
      </c>
      <c r="F151" s="17" t="e">
        <f t="shared" ca="1" si="103"/>
        <v>#N/A</v>
      </c>
      <c r="G151" s="17" t="e">
        <f t="shared" ca="1" si="103"/>
        <v>#N/A</v>
      </c>
      <c r="H151" s="17" t="e">
        <f t="shared" ca="1" si="103"/>
        <v>#N/A</v>
      </c>
      <c r="I151" s="17" t="e">
        <f t="shared" ca="1" si="103"/>
        <v>#N/A</v>
      </c>
      <c r="J151" s="17" t="e">
        <f t="shared" ca="1" si="103"/>
        <v>#N/A</v>
      </c>
      <c r="K151" s="17" t="e">
        <f t="shared" ca="1" si="103"/>
        <v>#N/A</v>
      </c>
      <c r="L151" s="17" t="e">
        <f t="shared" ca="1" si="103"/>
        <v>#N/A</v>
      </c>
      <c r="M151" s="17" t="e">
        <f t="shared" ca="1" si="103"/>
        <v>#N/A</v>
      </c>
      <c r="N151" s="17" t="e">
        <f t="shared" ca="1" si="103"/>
        <v>#N/A</v>
      </c>
      <c r="O151" s="17" t="e">
        <f t="shared" ca="1" si="103"/>
        <v>#N/A</v>
      </c>
      <c r="P151" s="17" t="e">
        <f t="shared" ca="1" si="103"/>
        <v>#N/A</v>
      </c>
      <c r="Q151" s="17" t="e">
        <f t="shared" ca="1" si="103"/>
        <v>#N/A</v>
      </c>
      <c r="R151" s="17" t="e">
        <f t="shared" ca="1" si="103"/>
        <v>#N/A</v>
      </c>
      <c r="S151" s="17" t="e">
        <f t="shared" ca="1" si="103"/>
        <v>#N/A</v>
      </c>
      <c r="T151" s="17" t="e">
        <f t="shared" ca="1" si="103"/>
        <v>#N/A</v>
      </c>
      <c r="U151" s="17" t="e">
        <f t="shared" ca="1" si="103"/>
        <v>#N/A</v>
      </c>
      <c r="V151" s="17" t="e">
        <f t="shared" ca="1" si="103"/>
        <v>#N/A</v>
      </c>
      <c r="W151" s="17" t="e">
        <f t="shared" ca="1" si="103"/>
        <v>#N/A</v>
      </c>
      <c r="X151" s="17" t="e">
        <f t="shared" ca="1" si="103"/>
        <v>#N/A</v>
      </c>
      <c r="Y151" s="17" t="e">
        <f t="shared" ca="1" si="103"/>
        <v>#N/A</v>
      </c>
      <c r="Z151" s="17" t="e">
        <f t="shared" ca="1" si="103"/>
        <v>#N/A</v>
      </c>
      <c r="AA151" s="17" t="e">
        <f t="shared" ca="1" si="103"/>
        <v>#N/A</v>
      </c>
      <c r="AB151" s="17" t="e">
        <f t="shared" ca="1" si="103"/>
        <v>#N/A</v>
      </c>
      <c r="AC151" s="17" t="e">
        <f t="shared" ca="1" si="103"/>
        <v>#N/A</v>
      </c>
      <c r="AD151" s="17" t="e">
        <f t="shared" ca="1" si="103"/>
        <v>#N/A</v>
      </c>
      <c r="AE151" s="17" t="e">
        <f t="shared" ca="1" si="103"/>
        <v>#N/A</v>
      </c>
      <c r="AF151" s="17" t="e">
        <f t="shared" ca="1" si="103"/>
        <v>#N/A</v>
      </c>
      <c r="AG151" s="17" t="e">
        <f t="shared" ca="1" si="103"/>
        <v>#N/A</v>
      </c>
      <c r="AH151" s="17" t="e">
        <f t="shared" ca="1" si="103"/>
        <v>#N/A</v>
      </c>
      <c r="AI151" s="17" t="e">
        <f t="shared" ca="1" si="103"/>
        <v>#N/A</v>
      </c>
      <c r="AJ151" s="17" t="e">
        <f t="shared" ca="1" si="103"/>
        <v>#N/A</v>
      </c>
      <c r="AK151" s="17" t="e">
        <f t="shared" ca="1" si="103"/>
        <v>#N/A</v>
      </c>
      <c r="AL151" s="17" t="e">
        <f t="shared" ca="1" si="103"/>
        <v>#N/A</v>
      </c>
      <c r="AM151" s="17" t="e">
        <f t="shared" ca="1" si="103"/>
        <v>#N/A</v>
      </c>
      <c r="AN151" s="17" t="e">
        <f t="shared" ca="1" si="103"/>
        <v>#N/A</v>
      </c>
      <c r="AO151" s="17" t="e">
        <f t="shared" ca="1" si="103"/>
        <v>#N/A</v>
      </c>
      <c r="AP151" s="17" t="e">
        <f t="shared" ca="1" si="103"/>
        <v>#N/A</v>
      </c>
      <c r="AQ151" s="17" t="e">
        <f t="shared" ca="1" si="103"/>
        <v>#N/A</v>
      </c>
      <c r="AR151" s="17" t="e">
        <f t="shared" ca="1" si="103"/>
        <v>#N/A</v>
      </c>
      <c r="AS151" s="17" t="e">
        <f t="shared" ca="1" si="103"/>
        <v>#N/A</v>
      </c>
      <c r="AT151" s="17" t="e">
        <f t="shared" ca="1" si="103"/>
        <v>#N/A</v>
      </c>
      <c r="AU151" s="17" t="e">
        <f t="shared" ca="1" si="103"/>
        <v>#N/A</v>
      </c>
      <c r="AV151" s="17" t="e">
        <f t="shared" ca="1" si="103"/>
        <v>#N/A</v>
      </c>
      <c r="AW151" s="17" t="e">
        <f t="shared" ca="1" si="103"/>
        <v>#N/A</v>
      </c>
      <c r="AX151" s="17" t="e">
        <f t="shared" ca="1" si="103"/>
        <v>#N/A</v>
      </c>
      <c r="AY151" s="17" t="e">
        <f t="shared" ca="1" si="103"/>
        <v>#N/A</v>
      </c>
      <c r="AZ151" s="17" t="e">
        <f t="shared" ca="1" si="103"/>
        <v>#N/A</v>
      </c>
      <c r="BA151" s="17" t="e">
        <f t="shared" ca="1" si="103"/>
        <v>#N/A</v>
      </c>
      <c r="BB151" s="17" t="e">
        <f t="shared" ca="1" si="103"/>
        <v>#N/A</v>
      </c>
      <c r="BC151" s="17" t="e">
        <f t="shared" ca="1" si="103"/>
        <v>#N/A</v>
      </c>
      <c r="BD151" s="17" t="e">
        <f t="shared" ca="1" si="103"/>
        <v>#N/A</v>
      </c>
      <c r="BE151" s="17" t="e">
        <f t="shared" ca="1" si="103"/>
        <v>#N/A</v>
      </c>
      <c r="BF151" s="17" t="e">
        <f t="shared" ca="1" si="103"/>
        <v>#N/A</v>
      </c>
      <c r="BG151" s="17" t="e">
        <f t="shared" ca="1" si="103"/>
        <v>#N/A</v>
      </c>
      <c r="BH151" s="17" t="e">
        <f t="shared" ca="1" si="103"/>
        <v>#N/A</v>
      </c>
      <c r="BI151" s="17" t="e">
        <f t="shared" ca="1" si="103"/>
        <v>#N/A</v>
      </c>
      <c r="BJ151" s="17" t="e">
        <f t="shared" ca="1" si="103"/>
        <v>#N/A</v>
      </c>
      <c r="BK151" s="17" t="e">
        <f t="shared" ca="1" si="103"/>
        <v>#N/A</v>
      </c>
      <c r="BL151" s="17" t="e">
        <f t="shared" ca="1" si="103"/>
        <v>#N/A</v>
      </c>
      <c r="BM151" s="17" t="e">
        <f t="shared" ca="1" si="103"/>
        <v>#N/A</v>
      </c>
      <c r="BN151" s="17" t="e">
        <f t="shared" ca="1" si="103"/>
        <v>#N/A</v>
      </c>
      <c r="BO151" s="17" t="e">
        <f t="shared" ca="1" si="103"/>
        <v>#N/A</v>
      </c>
      <c r="BP151" s="17" t="e">
        <f t="shared" ca="1" si="103"/>
        <v>#N/A</v>
      </c>
      <c r="BQ151" s="17" t="e">
        <f t="shared" ref="BQ151:BV151" ca="1" si="104">BQ91/$D151*100000</f>
        <v>#N/A</v>
      </c>
      <c r="BR151" s="17" t="e">
        <f t="shared" ca="1" si="104"/>
        <v>#N/A</v>
      </c>
      <c r="BS151" s="17" t="e">
        <f t="shared" ca="1" si="104"/>
        <v>#N/A</v>
      </c>
      <c r="BT151" s="17" t="e">
        <f t="shared" ca="1" si="104"/>
        <v>#N/A</v>
      </c>
      <c r="BU151" s="17" t="e">
        <f t="shared" ca="1" si="104"/>
        <v>#N/A</v>
      </c>
      <c r="BV151" s="17" t="e">
        <f t="shared" ca="1" si="104"/>
        <v>#N/A</v>
      </c>
    </row>
    <row r="152" spans="2:74" x14ac:dyDescent="0.25">
      <c r="B152">
        <f t="shared" si="7"/>
        <v>53</v>
      </c>
      <c r="C152">
        <f t="shared" ca="1" si="8"/>
        <v>0</v>
      </c>
      <c r="D152" s="1" t="e">
        <f t="shared" ca="1" si="8"/>
        <v>#N/A</v>
      </c>
      <c r="E152" s="17" t="e">
        <f t="shared" ref="E152:BP152" ca="1" si="105">E92/$D152*100000</f>
        <v>#N/A</v>
      </c>
      <c r="F152" s="17" t="e">
        <f t="shared" ca="1" si="105"/>
        <v>#N/A</v>
      </c>
      <c r="G152" s="17" t="e">
        <f t="shared" ca="1" si="105"/>
        <v>#N/A</v>
      </c>
      <c r="H152" s="17" t="e">
        <f t="shared" ca="1" si="105"/>
        <v>#N/A</v>
      </c>
      <c r="I152" s="17" t="e">
        <f t="shared" ca="1" si="105"/>
        <v>#N/A</v>
      </c>
      <c r="J152" s="17" t="e">
        <f t="shared" ca="1" si="105"/>
        <v>#N/A</v>
      </c>
      <c r="K152" s="17" t="e">
        <f t="shared" ca="1" si="105"/>
        <v>#N/A</v>
      </c>
      <c r="L152" s="17" t="e">
        <f t="shared" ca="1" si="105"/>
        <v>#N/A</v>
      </c>
      <c r="M152" s="17" t="e">
        <f t="shared" ca="1" si="105"/>
        <v>#N/A</v>
      </c>
      <c r="N152" s="17" t="e">
        <f t="shared" ca="1" si="105"/>
        <v>#N/A</v>
      </c>
      <c r="O152" s="17" t="e">
        <f t="shared" ca="1" si="105"/>
        <v>#N/A</v>
      </c>
      <c r="P152" s="17" t="e">
        <f t="shared" ca="1" si="105"/>
        <v>#N/A</v>
      </c>
      <c r="Q152" s="17" t="e">
        <f t="shared" ca="1" si="105"/>
        <v>#N/A</v>
      </c>
      <c r="R152" s="17" t="e">
        <f t="shared" ca="1" si="105"/>
        <v>#N/A</v>
      </c>
      <c r="S152" s="17" t="e">
        <f t="shared" ca="1" si="105"/>
        <v>#N/A</v>
      </c>
      <c r="T152" s="17" t="e">
        <f t="shared" ca="1" si="105"/>
        <v>#N/A</v>
      </c>
      <c r="U152" s="17" t="e">
        <f t="shared" ca="1" si="105"/>
        <v>#N/A</v>
      </c>
      <c r="V152" s="17" t="e">
        <f t="shared" ca="1" si="105"/>
        <v>#N/A</v>
      </c>
      <c r="W152" s="17" t="e">
        <f t="shared" ca="1" si="105"/>
        <v>#N/A</v>
      </c>
      <c r="X152" s="17" t="e">
        <f t="shared" ca="1" si="105"/>
        <v>#N/A</v>
      </c>
      <c r="Y152" s="17" t="e">
        <f t="shared" ca="1" si="105"/>
        <v>#N/A</v>
      </c>
      <c r="Z152" s="17" t="e">
        <f t="shared" ca="1" si="105"/>
        <v>#N/A</v>
      </c>
      <c r="AA152" s="17" t="e">
        <f t="shared" ca="1" si="105"/>
        <v>#N/A</v>
      </c>
      <c r="AB152" s="17" t="e">
        <f t="shared" ca="1" si="105"/>
        <v>#N/A</v>
      </c>
      <c r="AC152" s="17" t="e">
        <f t="shared" ca="1" si="105"/>
        <v>#N/A</v>
      </c>
      <c r="AD152" s="17" t="e">
        <f t="shared" ca="1" si="105"/>
        <v>#N/A</v>
      </c>
      <c r="AE152" s="17" t="e">
        <f t="shared" ca="1" si="105"/>
        <v>#N/A</v>
      </c>
      <c r="AF152" s="17" t="e">
        <f t="shared" ca="1" si="105"/>
        <v>#N/A</v>
      </c>
      <c r="AG152" s="17" t="e">
        <f t="shared" ca="1" si="105"/>
        <v>#N/A</v>
      </c>
      <c r="AH152" s="17" t="e">
        <f t="shared" ca="1" si="105"/>
        <v>#N/A</v>
      </c>
      <c r="AI152" s="17" t="e">
        <f t="shared" ca="1" si="105"/>
        <v>#N/A</v>
      </c>
      <c r="AJ152" s="17" t="e">
        <f t="shared" ca="1" si="105"/>
        <v>#N/A</v>
      </c>
      <c r="AK152" s="17" t="e">
        <f t="shared" ca="1" si="105"/>
        <v>#N/A</v>
      </c>
      <c r="AL152" s="17" t="e">
        <f t="shared" ca="1" si="105"/>
        <v>#N/A</v>
      </c>
      <c r="AM152" s="17" t="e">
        <f t="shared" ca="1" si="105"/>
        <v>#N/A</v>
      </c>
      <c r="AN152" s="17" t="e">
        <f t="shared" ca="1" si="105"/>
        <v>#N/A</v>
      </c>
      <c r="AO152" s="17" t="e">
        <f t="shared" ca="1" si="105"/>
        <v>#N/A</v>
      </c>
      <c r="AP152" s="17" t="e">
        <f t="shared" ca="1" si="105"/>
        <v>#N/A</v>
      </c>
      <c r="AQ152" s="17" t="e">
        <f t="shared" ca="1" si="105"/>
        <v>#N/A</v>
      </c>
      <c r="AR152" s="17" t="e">
        <f t="shared" ca="1" si="105"/>
        <v>#N/A</v>
      </c>
      <c r="AS152" s="17" t="e">
        <f t="shared" ca="1" si="105"/>
        <v>#N/A</v>
      </c>
      <c r="AT152" s="17" t="e">
        <f t="shared" ca="1" si="105"/>
        <v>#N/A</v>
      </c>
      <c r="AU152" s="17" t="e">
        <f t="shared" ca="1" si="105"/>
        <v>#N/A</v>
      </c>
      <c r="AV152" s="17" t="e">
        <f t="shared" ca="1" si="105"/>
        <v>#N/A</v>
      </c>
      <c r="AW152" s="17" t="e">
        <f t="shared" ca="1" si="105"/>
        <v>#N/A</v>
      </c>
      <c r="AX152" s="17" t="e">
        <f t="shared" ca="1" si="105"/>
        <v>#N/A</v>
      </c>
      <c r="AY152" s="17" t="e">
        <f t="shared" ca="1" si="105"/>
        <v>#N/A</v>
      </c>
      <c r="AZ152" s="17" t="e">
        <f t="shared" ca="1" si="105"/>
        <v>#N/A</v>
      </c>
      <c r="BA152" s="17" t="e">
        <f t="shared" ca="1" si="105"/>
        <v>#N/A</v>
      </c>
      <c r="BB152" s="17" t="e">
        <f t="shared" ca="1" si="105"/>
        <v>#N/A</v>
      </c>
      <c r="BC152" s="17" t="e">
        <f t="shared" ca="1" si="105"/>
        <v>#N/A</v>
      </c>
      <c r="BD152" s="17" t="e">
        <f t="shared" ca="1" si="105"/>
        <v>#N/A</v>
      </c>
      <c r="BE152" s="17" t="e">
        <f t="shared" ca="1" si="105"/>
        <v>#N/A</v>
      </c>
      <c r="BF152" s="17" t="e">
        <f t="shared" ca="1" si="105"/>
        <v>#N/A</v>
      </c>
      <c r="BG152" s="17" t="e">
        <f t="shared" ca="1" si="105"/>
        <v>#N/A</v>
      </c>
      <c r="BH152" s="17" t="e">
        <f t="shared" ca="1" si="105"/>
        <v>#N/A</v>
      </c>
      <c r="BI152" s="17" t="e">
        <f t="shared" ca="1" si="105"/>
        <v>#N/A</v>
      </c>
      <c r="BJ152" s="17" t="e">
        <f t="shared" ca="1" si="105"/>
        <v>#N/A</v>
      </c>
      <c r="BK152" s="17" t="e">
        <f t="shared" ca="1" si="105"/>
        <v>#N/A</v>
      </c>
      <c r="BL152" s="17" t="e">
        <f t="shared" ca="1" si="105"/>
        <v>#N/A</v>
      </c>
      <c r="BM152" s="17" t="e">
        <f t="shared" ca="1" si="105"/>
        <v>#N/A</v>
      </c>
      <c r="BN152" s="17" t="e">
        <f t="shared" ca="1" si="105"/>
        <v>#N/A</v>
      </c>
      <c r="BO152" s="17" t="e">
        <f t="shared" ca="1" si="105"/>
        <v>#N/A</v>
      </c>
      <c r="BP152" s="17" t="e">
        <f t="shared" ca="1" si="105"/>
        <v>#N/A</v>
      </c>
      <c r="BQ152" s="17" t="e">
        <f t="shared" ref="BQ152:BV152" ca="1" si="106">BQ92/$D152*100000</f>
        <v>#N/A</v>
      </c>
      <c r="BR152" s="17" t="e">
        <f t="shared" ca="1" si="106"/>
        <v>#N/A</v>
      </c>
      <c r="BS152" s="17" t="e">
        <f t="shared" ca="1" si="106"/>
        <v>#N/A</v>
      </c>
      <c r="BT152" s="17" t="e">
        <f t="shared" ca="1" si="106"/>
        <v>#N/A</v>
      </c>
      <c r="BU152" s="17" t="e">
        <f t="shared" ca="1" si="106"/>
        <v>#N/A</v>
      </c>
      <c r="BV152" s="17" t="e">
        <f t="shared" ca="1" si="106"/>
        <v>#N/A</v>
      </c>
    </row>
    <row r="153" spans="2:74" x14ac:dyDescent="0.25">
      <c r="B153">
        <f t="shared" si="7"/>
        <v>54</v>
      </c>
      <c r="C153">
        <f t="shared" ca="1" si="8"/>
        <v>0</v>
      </c>
      <c r="D153" s="1" t="e">
        <f t="shared" ca="1" si="8"/>
        <v>#N/A</v>
      </c>
      <c r="E153" s="17" t="e">
        <f t="shared" ref="E153:BP153" ca="1" si="107">E93/$D153*100000</f>
        <v>#N/A</v>
      </c>
      <c r="F153" s="17" t="e">
        <f t="shared" ca="1" si="107"/>
        <v>#N/A</v>
      </c>
      <c r="G153" s="17" t="e">
        <f t="shared" ca="1" si="107"/>
        <v>#N/A</v>
      </c>
      <c r="H153" s="17" t="e">
        <f t="shared" ca="1" si="107"/>
        <v>#N/A</v>
      </c>
      <c r="I153" s="17" t="e">
        <f t="shared" ca="1" si="107"/>
        <v>#N/A</v>
      </c>
      <c r="J153" s="17" t="e">
        <f t="shared" ca="1" si="107"/>
        <v>#N/A</v>
      </c>
      <c r="K153" s="17" t="e">
        <f t="shared" ca="1" si="107"/>
        <v>#N/A</v>
      </c>
      <c r="L153" s="17" t="e">
        <f t="shared" ca="1" si="107"/>
        <v>#N/A</v>
      </c>
      <c r="M153" s="17" t="e">
        <f t="shared" ca="1" si="107"/>
        <v>#N/A</v>
      </c>
      <c r="N153" s="17" t="e">
        <f t="shared" ca="1" si="107"/>
        <v>#N/A</v>
      </c>
      <c r="O153" s="17" t="e">
        <f t="shared" ca="1" si="107"/>
        <v>#N/A</v>
      </c>
      <c r="P153" s="17" t="e">
        <f t="shared" ca="1" si="107"/>
        <v>#N/A</v>
      </c>
      <c r="Q153" s="17" t="e">
        <f t="shared" ca="1" si="107"/>
        <v>#N/A</v>
      </c>
      <c r="R153" s="17" t="e">
        <f t="shared" ca="1" si="107"/>
        <v>#N/A</v>
      </c>
      <c r="S153" s="17" t="e">
        <f t="shared" ca="1" si="107"/>
        <v>#N/A</v>
      </c>
      <c r="T153" s="17" t="e">
        <f t="shared" ca="1" si="107"/>
        <v>#N/A</v>
      </c>
      <c r="U153" s="17" t="e">
        <f t="shared" ca="1" si="107"/>
        <v>#N/A</v>
      </c>
      <c r="V153" s="17" t="e">
        <f t="shared" ca="1" si="107"/>
        <v>#N/A</v>
      </c>
      <c r="W153" s="17" t="e">
        <f t="shared" ca="1" si="107"/>
        <v>#N/A</v>
      </c>
      <c r="X153" s="17" t="e">
        <f t="shared" ca="1" si="107"/>
        <v>#N/A</v>
      </c>
      <c r="Y153" s="17" t="e">
        <f t="shared" ca="1" si="107"/>
        <v>#N/A</v>
      </c>
      <c r="Z153" s="17" t="e">
        <f t="shared" ca="1" si="107"/>
        <v>#N/A</v>
      </c>
      <c r="AA153" s="17" t="e">
        <f t="shared" ca="1" si="107"/>
        <v>#N/A</v>
      </c>
      <c r="AB153" s="17" t="e">
        <f t="shared" ca="1" si="107"/>
        <v>#N/A</v>
      </c>
      <c r="AC153" s="17" t="e">
        <f t="shared" ca="1" si="107"/>
        <v>#N/A</v>
      </c>
      <c r="AD153" s="17" t="e">
        <f t="shared" ca="1" si="107"/>
        <v>#N/A</v>
      </c>
      <c r="AE153" s="17" t="e">
        <f t="shared" ca="1" si="107"/>
        <v>#N/A</v>
      </c>
      <c r="AF153" s="17" t="e">
        <f t="shared" ca="1" si="107"/>
        <v>#N/A</v>
      </c>
      <c r="AG153" s="17" t="e">
        <f t="shared" ca="1" si="107"/>
        <v>#N/A</v>
      </c>
      <c r="AH153" s="17" t="e">
        <f t="shared" ca="1" si="107"/>
        <v>#N/A</v>
      </c>
      <c r="AI153" s="17" t="e">
        <f t="shared" ca="1" si="107"/>
        <v>#N/A</v>
      </c>
      <c r="AJ153" s="17" t="e">
        <f t="shared" ca="1" si="107"/>
        <v>#N/A</v>
      </c>
      <c r="AK153" s="17" t="e">
        <f t="shared" ca="1" si="107"/>
        <v>#N/A</v>
      </c>
      <c r="AL153" s="17" t="e">
        <f t="shared" ca="1" si="107"/>
        <v>#N/A</v>
      </c>
      <c r="AM153" s="17" t="e">
        <f t="shared" ca="1" si="107"/>
        <v>#N/A</v>
      </c>
      <c r="AN153" s="17" t="e">
        <f t="shared" ca="1" si="107"/>
        <v>#N/A</v>
      </c>
      <c r="AO153" s="17" t="e">
        <f t="shared" ca="1" si="107"/>
        <v>#N/A</v>
      </c>
      <c r="AP153" s="17" t="e">
        <f t="shared" ca="1" si="107"/>
        <v>#N/A</v>
      </c>
      <c r="AQ153" s="17" t="e">
        <f t="shared" ca="1" si="107"/>
        <v>#N/A</v>
      </c>
      <c r="AR153" s="17" t="e">
        <f t="shared" ca="1" si="107"/>
        <v>#N/A</v>
      </c>
      <c r="AS153" s="17" t="e">
        <f t="shared" ca="1" si="107"/>
        <v>#N/A</v>
      </c>
      <c r="AT153" s="17" t="e">
        <f t="shared" ca="1" si="107"/>
        <v>#N/A</v>
      </c>
      <c r="AU153" s="17" t="e">
        <f t="shared" ca="1" si="107"/>
        <v>#N/A</v>
      </c>
      <c r="AV153" s="17" t="e">
        <f t="shared" ca="1" si="107"/>
        <v>#N/A</v>
      </c>
      <c r="AW153" s="17" t="e">
        <f t="shared" ca="1" si="107"/>
        <v>#N/A</v>
      </c>
      <c r="AX153" s="17" t="e">
        <f t="shared" ca="1" si="107"/>
        <v>#N/A</v>
      </c>
      <c r="AY153" s="17" t="e">
        <f t="shared" ca="1" si="107"/>
        <v>#N/A</v>
      </c>
      <c r="AZ153" s="17" t="e">
        <f t="shared" ca="1" si="107"/>
        <v>#N/A</v>
      </c>
      <c r="BA153" s="17" t="e">
        <f t="shared" ca="1" si="107"/>
        <v>#N/A</v>
      </c>
      <c r="BB153" s="17" t="e">
        <f t="shared" ca="1" si="107"/>
        <v>#N/A</v>
      </c>
      <c r="BC153" s="17" t="e">
        <f t="shared" ca="1" si="107"/>
        <v>#N/A</v>
      </c>
      <c r="BD153" s="17" t="e">
        <f t="shared" ca="1" si="107"/>
        <v>#N/A</v>
      </c>
      <c r="BE153" s="17" t="e">
        <f t="shared" ca="1" si="107"/>
        <v>#N/A</v>
      </c>
      <c r="BF153" s="17" t="e">
        <f t="shared" ca="1" si="107"/>
        <v>#N/A</v>
      </c>
      <c r="BG153" s="17" t="e">
        <f t="shared" ca="1" si="107"/>
        <v>#N/A</v>
      </c>
      <c r="BH153" s="17" t="e">
        <f t="shared" ca="1" si="107"/>
        <v>#N/A</v>
      </c>
      <c r="BI153" s="17" t="e">
        <f t="shared" ca="1" si="107"/>
        <v>#N/A</v>
      </c>
      <c r="BJ153" s="17" t="e">
        <f t="shared" ca="1" si="107"/>
        <v>#N/A</v>
      </c>
      <c r="BK153" s="17" t="e">
        <f t="shared" ca="1" si="107"/>
        <v>#N/A</v>
      </c>
      <c r="BL153" s="17" t="e">
        <f t="shared" ca="1" si="107"/>
        <v>#N/A</v>
      </c>
      <c r="BM153" s="17" t="e">
        <f t="shared" ca="1" si="107"/>
        <v>#N/A</v>
      </c>
      <c r="BN153" s="17" t="e">
        <f t="shared" ca="1" si="107"/>
        <v>#N/A</v>
      </c>
      <c r="BO153" s="17" t="e">
        <f t="shared" ca="1" si="107"/>
        <v>#N/A</v>
      </c>
      <c r="BP153" s="17" t="e">
        <f t="shared" ca="1" si="107"/>
        <v>#N/A</v>
      </c>
      <c r="BQ153" s="17" t="e">
        <f t="shared" ref="BQ153:BV153" ca="1" si="108">BQ93/$D153*100000</f>
        <v>#N/A</v>
      </c>
      <c r="BR153" s="17" t="e">
        <f t="shared" ca="1" si="108"/>
        <v>#N/A</v>
      </c>
      <c r="BS153" s="17" t="e">
        <f t="shared" ca="1" si="108"/>
        <v>#N/A</v>
      </c>
      <c r="BT153" s="17" t="e">
        <f t="shared" ca="1" si="108"/>
        <v>#N/A</v>
      </c>
      <c r="BU153" s="17" t="e">
        <f t="shared" ca="1" si="108"/>
        <v>#N/A</v>
      </c>
      <c r="BV153" s="17" t="e">
        <f t="shared" ca="1" si="108"/>
        <v>#N/A</v>
      </c>
    </row>
    <row r="154" spans="2:74" x14ac:dyDescent="0.25">
      <c r="B154">
        <f t="shared" si="7"/>
        <v>55</v>
      </c>
      <c r="C154">
        <f t="shared" ca="1" si="8"/>
        <v>0</v>
      </c>
      <c r="D154" s="1" t="e">
        <f t="shared" ca="1" si="8"/>
        <v>#N/A</v>
      </c>
      <c r="E154" s="17" t="e">
        <f t="shared" ref="E154:BP154" ca="1" si="109">E94/$D154*100000</f>
        <v>#N/A</v>
      </c>
      <c r="F154" s="17" t="e">
        <f t="shared" ca="1" si="109"/>
        <v>#N/A</v>
      </c>
      <c r="G154" s="17" t="e">
        <f t="shared" ca="1" si="109"/>
        <v>#N/A</v>
      </c>
      <c r="H154" s="17" t="e">
        <f t="shared" ca="1" si="109"/>
        <v>#N/A</v>
      </c>
      <c r="I154" s="17" t="e">
        <f t="shared" ca="1" si="109"/>
        <v>#N/A</v>
      </c>
      <c r="J154" s="17" t="e">
        <f t="shared" ca="1" si="109"/>
        <v>#N/A</v>
      </c>
      <c r="K154" s="17" t="e">
        <f t="shared" ca="1" si="109"/>
        <v>#N/A</v>
      </c>
      <c r="L154" s="17" t="e">
        <f t="shared" ca="1" si="109"/>
        <v>#N/A</v>
      </c>
      <c r="M154" s="17" t="e">
        <f t="shared" ca="1" si="109"/>
        <v>#N/A</v>
      </c>
      <c r="N154" s="17" t="e">
        <f t="shared" ca="1" si="109"/>
        <v>#N/A</v>
      </c>
      <c r="O154" s="17" t="e">
        <f t="shared" ca="1" si="109"/>
        <v>#N/A</v>
      </c>
      <c r="P154" s="17" t="e">
        <f t="shared" ca="1" si="109"/>
        <v>#N/A</v>
      </c>
      <c r="Q154" s="17" t="e">
        <f t="shared" ca="1" si="109"/>
        <v>#N/A</v>
      </c>
      <c r="R154" s="17" t="e">
        <f t="shared" ca="1" si="109"/>
        <v>#N/A</v>
      </c>
      <c r="S154" s="17" t="e">
        <f t="shared" ca="1" si="109"/>
        <v>#N/A</v>
      </c>
      <c r="T154" s="17" t="e">
        <f t="shared" ca="1" si="109"/>
        <v>#N/A</v>
      </c>
      <c r="U154" s="17" t="e">
        <f t="shared" ca="1" si="109"/>
        <v>#N/A</v>
      </c>
      <c r="V154" s="17" t="e">
        <f t="shared" ca="1" si="109"/>
        <v>#N/A</v>
      </c>
      <c r="W154" s="17" t="e">
        <f t="shared" ca="1" si="109"/>
        <v>#N/A</v>
      </c>
      <c r="X154" s="17" t="e">
        <f t="shared" ca="1" si="109"/>
        <v>#N/A</v>
      </c>
      <c r="Y154" s="17" t="e">
        <f t="shared" ca="1" si="109"/>
        <v>#N/A</v>
      </c>
      <c r="Z154" s="17" t="e">
        <f t="shared" ca="1" si="109"/>
        <v>#N/A</v>
      </c>
      <c r="AA154" s="17" t="e">
        <f t="shared" ca="1" si="109"/>
        <v>#N/A</v>
      </c>
      <c r="AB154" s="17" t="e">
        <f t="shared" ca="1" si="109"/>
        <v>#N/A</v>
      </c>
      <c r="AC154" s="17" t="e">
        <f t="shared" ca="1" si="109"/>
        <v>#N/A</v>
      </c>
      <c r="AD154" s="17" t="e">
        <f t="shared" ca="1" si="109"/>
        <v>#N/A</v>
      </c>
      <c r="AE154" s="17" t="e">
        <f t="shared" ca="1" si="109"/>
        <v>#N/A</v>
      </c>
      <c r="AF154" s="17" t="e">
        <f t="shared" ca="1" si="109"/>
        <v>#N/A</v>
      </c>
      <c r="AG154" s="17" t="e">
        <f t="shared" ca="1" si="109"/>
        <v>#N/A</v>
      </c>
      <c r="AH154" s="17" t="e">
        <f t="shared" ca="1" si="109"/>
        <v>#N/A</v>
      </c>
      <c r="AI154" s="17" t="e">
        <f t="shared" ca="1" si="109"/>
        <v>#N/A</v>
      </c>
      <c r="AJ154" s="17" t="e">
        <f t="shared" ca="1" si="109"/>
        <v>#N/A</v>
      </c>
      <c r="AK154" s="17" t="e">
        <f t="shared" ca="1" si="109"/>
        <v>#N/A</v>
      </c>
      <c r="AL154" s="17" t="e">
        <f t="shared" ca="1" si="109"/>
        <v>#N/A</v>
      </c>
      <c r="AM154" s="17" t="e">
        <f t="shared" ca="1" si="109"/>
        <v>#N/A</v>
      </c>
      <c r="AN154" s="17" t="e">
        <f t="shared" ca="1" si="109"/>
        <v>#N/A</v>
      </c>
      <c r="AO154" s="17" t="e">
        <f t="shared" ca="1" si="109"/>
        <v>#N/A</v>
      </c>
      <c r="AP154" s="17" t="e">
        <f t="shared" ca="1" si="109"/>
        <v>#N/A</v>
      </c>
      <c r="AQ154" s="17" t="e">
        <f t="shared" ca="1" si="109"/>
        <v>#N/A</v>
      </c>
      <c r="AR154" s="17" t="e">
        <f t="shared" ca="1" si="109"/>
        <v>#N/A</v>
      </c>
      <c r="AS154" s="17" t="e">
        <f t="shared" ca="1" si="109"/>
        <v>#N/A</v>
      </c>
      <c r="AT154" s="17" t="e">
        <f t="shared" ca="1" si="109"/>
        <v>#N/A</v>
      </c>
      <c r="AU154" s="17" t="e">
        <f t="shared" ca="1" si="109"/>
        <v>#N/A</v>
      </c>
      <c r="AV154" s="17" t="e">
        <f t="shared" ca="1" si="109"/>
        <v>#N/A</v>
      </c>
      <c r="AW154" s="17" t="e">
        <f t="shared" ca="1" si="109"/>
        <v>#N/A</v>
      </c>
      <c r="AX154" s="17" t="e">
        <f t="shared" ca="1" si="109"/>
        <v>#N/A</v>
      </c>
      <c r="AY154" s="17" t="e">
        <f t="shared" ca="1" si="109"/>
        <v>#N/A</v>
      </c>
      <c r="AZ154" s="17" t="e">
        <f t="shared" ca="1" si="109"/>
        <v>#N/A</v>
      </c>
      <c r="BA154" s="17" t="e">
        <f t="shared" ca="1" si="109"/>
        <v>#N/A</v>
      </c>
      <c r="BB154" s="17" t="e">
        <f t="shared" ca="1" si="109"/>
        <v>#N/A</v>
      </c>
      <c r="BC154" s="17" t="e">
        <f t="shared" ca="1" si="109"/>
        <v>#N/A</v>
      </c>
      <c r="BD154" s="17" t="e">
        <f t="shared" ca="1" si="109"/>
        <v>#N/A</v>
      </c>
      <c r="BE154" s="17" t="e">
        <f t="shared" ca="1" si="109"/>
        <v>#N/A</v>
      </c>
      <c r="BF154" s="17" t="e">
        <f t="shared" ca="1" si="109"/>
        <v>#N/A</v>
      </c>
      <c r="BG154" s="17" t="e">
        <f t="shared" ca="1" si="109"/>
        <v>#N/A</v>
      </c>
      <c r="BH154" s="17" t="e">
        <f t="shared" ca="1" si="109"/>
        <v>#N/A</v>
      </c>
      <c r="BI154" s="17" t="e">
        <f t="shared" ca="1" si="109"/>
        <v>#N/A</v>
      </c>
      <c r="BJ154" s="17" t="e">
        <f t="shared" ca="1" si="109"/>
        <v>#N/A</v>
      </c>
      <c r="BK154" s="17" t="e">
        <f t="shared" ca="1" si="109"/>
        <v>#N/A</v>
      </c>
      <c r="BL154" s="17" t="e">
        <f t="shared" ca="1" si="109"/>
        <v>#N/A</v>
      </c>
      <c r="BM154" s="17" t="e">
        <f t="shared" ca="1" si="109"/>
        <v>#N/A</v>
      </c>
      <c r="BN154" s="17" t="e">
        <f t="shared" ca="1" si="109"/>
        <v>#N/A</v>
      </c>
      <c r="BO154" s="17" t="e">
        <f t="shared" ca="1" si="109"/>
        <v>#N/A</v>
      </c>
      <c r="BP154" s="17" t="e">
        <f t="shared" ca="1" si="109"/>
        <v>#N/A</v>
      </c>
      <c r="BQ154" s="17" t="e">
        <f t="shared" ref="BQ154:BV154" ca="1" si="110">BQ94/$D154*100000</f>
        <v>#N/A</v>
      </c>
      <c r="BR154" s="17" t="e">
        <f t="shared" ca="1" si="110"/>
        <v>#N/A</v>
      </c>
      <c r="BS154" s="17" t="e">
        <f t="shared" ca="1" si="110"/>
        <v>#N/A</v>
      </c>
      <c r="BT154" s="17" t="e">
        <f t="shared" ca="1" si="110"/>
        <v>#N/A</v>
      </c>
      <c r="BU154" s="17" t="e">
        <f t="shared" ca="1" si="110"/>
        <v>#N/A</v>
      </c>
      <c r="BV154" s="17" t="e">
        <f t="shared" ca="1" si="110"/>
        <v>#N/A</v>
      </c>
    </row>
    <row r="155" spans="2:74" x14ac:dyDescent="0.25">
      <c r="B155">
        <f t="shared" si="7"/>
        <v>56</v>
      </c>
      <c r="C155">
        <f t="shared" ca="1" si="8"/>
        <v>0</v>
      </c>
      <c r="D155" s="1" t="e">
        <f t="shared" ca="1" si="8"/>
        <v>#N/A</v>
      </c>
      <c r="E155" s="17" t="e">
        <f t="shared" ref="E155:BP155" ca="1" si="111">E95/$D155*100000</f>
        <v>#N/A</v>
      </c>
      <c r="F155" s="17" t="e">
        <f t="shared" ca="1" si="111"/>
        <v>#N/A</v>
      </c>
      <c r="G155" s="17" t="e">
        <f t="shared" ca="1" si="111"/>
        <v>#N/A</v>
      </c>
      <c r="H155" s="17" t="e">
        <f t="shared" ca="1" si="111"/>
        <v>#N/A</v>
      </c>
      <c r="I155" s="17" t="e">
        <f t="shared" ca="1" si="111"/>
        <v>#N/A</v>
      </c>
      <c r="J155" s="17" t="e">
        <f t="shared" ca="1" si="111"/>
        <v>#N/A</v>
      </c>
      <c r="K155" s="17" t="e">
        <f t="shared" ca="1" si="111"/>
        <v>#N/A</v>
      </c>
      <c r="L155" s="17" t="e">
        <f t="shared" ca="1" si="111"/>
        <v>#N/A</v>
      </c>
      <c r="M155" s="17" t="e">
        <f t="shared" ca="1" si="111"/>
        <v>#N/A</v>
      </c>
      <c r="N155" s="17" t="e">
        <f t="shared" ca="1" si="111"/>
        <v>#N/A</v>
      </c>
      <c r="O155" s="17" t="e">
        <f t="shared" ca="1" si="111"/>
        <v>#N/A</v>
      </c>
      <c r="P155" s="17" t="e">
        <f t="shared" ca="1" si="111"/>
        <v>#N/A</v>
      </c>
      <c r="Q155" s="17" t="e">
        <f t="shared" ca="1" si="111"/>
        <v>#N/A</v>
      </c>
      <c r="R155" s="17" t="e">
        <f t="shared" ca="1" si="111"/>
        <v>#N/A</v>
      </c>
      <c r="S155" s="17" t="e">
        <f t="shared" ca="1" si="111"/>
        <v>#N/A</v>
      </c>
      <c r="T155" s="17" t="e">
        <f t="shared" ca="1" si="111"/>
        <v>#N/A</v>
      </c>
      <c r="U155" s="17" t="e">
        <f t="shared" ca="1" si="111"/>
        <v>#N/A</v>
      </c>
      <c r="V155" s="17" t="e">
        <f t="shared" ca="1" si="111"/>
        <v>#N/A</v>
      </c>
      <c r="W155" s="17" t="e">
        <f t="shared" ca="1" si="111"/>
        <v>#N/A</v>
      </c>
      <c r="X155" s="17" t="e">
        <f t="shared" ca="1" si="111"/>
        <v>#N/A</v>
      </c>
      <c r="Y155" s="17" t="e">
        <f t="shared" ca="1" si="111"/>
        <v>#N/A</v>
      </c>
      <c r="Z155" s="17" t="e">
        <f t="shared" ca="1" si="111"/>
        <v>#N/A</v>
      </c>
      <c r="AA155" s="17" t="e">
        <f t="shared" ca="1" si="111"/>
        <v>#N/A</v>
      </c>
      <c r="AB155" s="17" t="e">
        <f t="shared" ca="1" si="111"/>
        <v>#N/A</v>
      </c>
      <c r="AC155" s="17" t="e">
        <f t="shared" ca="1" si="111"/>
        <v>#N/A</v>
      </c>
      <c r="AD155" s="17" t="e">
        <f t="shared" ca="1" si="111"/>
        <v>#N/A</v>
      </c>
      <c r="AE155" s="17" t="e">
        <f t="shared" ca="1" si="111"/>
        <v>#N/A</v>
      </c>
      <c r="AF155" s="17" t="e">
        <f t="shared" ca="1" si="111"/>
        <v>#N/A</v>
      </c>
      <c r="AG155" s="17" t="e">
        <f t="shared" ca="1" si="111"/>
        <v>#N/A</v>
      </c>
      <c r="AH155" s="17" t="e">
        <f t="shared" ca="1" si="111"/>
        <v>#N/A</v>
      </c>
      <c r="AI155" s="17" t="e">
        <f t="shared" ca="1" si="111"/>
        <v>#N/A</v>
      </c>
      <c r="AJ155" s="17" t="e">
        <f t="shared" ca="1" si="111"/>
        <v>#N/A</v>
      </c>
      <c r="AK155" s="17" t="e">
        <f t="shared" ca="1" si="111"/>
        <v>#N/A</v>
      </c>
      <c r="AL155" s="17" t="e">
        <f t="shared" ca="1" si="111"/>
        <v>#N/A</v>
      </c>
      <c r="AM155" s="17" t="e">
        <f t="shared" ca="1" si="111"/>
        <v>#N/A</v>
      </c>
      <c r="AN155" s="17" t="e">
        <f t="shared" ca="1" si="111"/>
        <v>#N/A</v>
      </c>
      <c r="AO155" s="17" t="e">
        <f t="shared" ca="1" si="111"/>
        <v>#N/A</v>
      </c>
      <c r="AP155" s="17" t="e">
        <f t="shared" ca="1" si="111"/>
        <v>#N/A</v>
      </c>
      <c r="AQ155" s="17" t="e">
        <f t="shared" ca="1" si="111"/>
        <v>#N/A</v>
      </c>
      <c r="AR155" s="17" t="e">
        <f t="shared" ca="1" si="111"/>
        <v>#N/A</v>
      </c>
      <c r="AS155" s="17" t="e">
        <f t="shared" ca="1" si="111"/>
        <v>#N/A</v>
      </c>
      <c r="AT155" s="17" t="e">
        <f t="shared" ca="1" si="111"/>
        <v>#N/A</v>
      </c>
      <c r="AU155" s="17" t="e">
        <f t="shared" ca="1" si="111"/>
        <v>#N/A</v>
      </c>
      <c r="AV155" s="17" t="e">
        <f t="shared" ca="1" si="111"/>
        <v>#N/A</v>
      </c>
      <c r="AW155" s="17" t="e">
        <f t="shared" ca="1" si="111"/>
        <v>#N/A</v>
      </c>
      <c r="AX155" s="17" t="e">
        <f t="shared" ca="1" si="111"/>
        <v>#N/A</v>
      </c>
      <c r="AY155" s="17" t="e">
        <f t="shared" ca="1" si="111"/>
        <v>#N/A</v>
      </c>
      <c r="AZ155" s="17" t="e">
        <f t="shared" ca="1" si="111"/>
        <v>#N/A</v>
      </c>
      <c r="BA155" s="17" t="e">
        <f t="shared" ca="1" si="111"/>
        <v>#N/A</v>
      </c>
      <c r="BB155" s="17" t="e">
        <f t="shared" ca="1" si="111"/>
        <v>#N/A</v>
      </c>
      <c r="BC155" s="17" t="e">
        <f t="shared" ca="1" si="111"/>
        <v>#N/A</v>
      </c>
      <c r="BD155" s="17" t="e">
        <f t="shared" ca="1" si="111"/>
        <v>#N/A</v>
      </c>
      <c r="BE155" s="17" t="e">
        <f t="shared" ca="1" si="111"/>
        <v>#N/A</v>
      </c>
      <c r="BF155" s="17" t="e">
        <f t="shared" ca="1" si="111"/>
        <v>#N/A</v>
      </c>
      <c r="BG155" s="17" t="e">
        <f t="shared" ca="1" si="111"/>
        <v>#N/A</v>
      </c>
      <c r="BH155" s="17" t="e">
        <f t="shared" ca="1" si="111"/>
        <v>#N/A</v>
      </c>
      <c r="BI155" s="17" t="e">
        <f t="shared" ca="1" si="111"/>
        <v>#N/A</v>
      </c>
      <c r="BJ155" s="17" t="e">
        <f t="shared" ca="1" si="111"/>
        <v>#N/A</v>
      </c>
      <c r="BK155" s="17" t="e">
        <f t="shared" ca="1" si="111"/>
        <v>#N/A</v>
      </c>
      <c r="BL155" s="17" t="e">
        <f t="shared" ca="1" si="111"/>
        <v>#N/A</v>
      </c>
      <c r="BM155" s="17" t="e">
        <f t="shared" ca="1" si="111"/>
        <v>#N/A</v>
      </c>
      <c r="BN155" s="17" t="e">
        <f t="shared" ca="1" si="111"/>
        <v>#N/A</v>
      </c>
      <c r="BO155" s="17" t="e">
        <f t="shared" ca="1" si="111"/>
        <v>#N/A</v>
      </c>
      <c r="BP155" s="17" t="e">
        <f t="shared" ca="1" si="111"/>
        <v>#N/A</v>
      </c>
      <c r="BQ155" s="17" t="e">
        <f t="shared" ref="BQ155:BV155" ca="1" si="112">BQ95/$D155*100000</f>
        <v>#N/A</v>
      </c>
      <c r="BR155" s="17" t="e">
        <f t="shared" ca="1" si="112"/>
        <v>#N/A</v>
      </c>
      <c r="BS155" s="17" t="e">
        <f t="shared" ca="1" si="112"/>
        <v>#N/A</v>
      </c>
      <c r="BT155" s="17" t="e">
        <f t="shared" ca="1" si="112"/>
        <v>#N/A</v>
      </c>
      <c r="BU155" s="17" t="e">
        <f t="shared" ca="1" si="112"/>
        <v>#N/A</v>
      </c>
      <c r="BV155" s="17" t="e">
        <f t="shared" ca="1" si="112"/>
        <v>#N/A</v>
      </c>
    </row>
    <row r="156" spans="2:74" x14ac:dyDescent="0.25">
      <c r="B156">
        <f t="shared" si="7"/>
        <v>57</v>
      </c>
      <c r="C156">
        <f t="shared" ca="1" si="8"/>
        <v>0</v>
      </c>
      <c r="D156" s="1" t="e">
        <f t="shared" ca="1" si="8"/>
        <v>#N/A</v>
      </c>
      <c r="E156" s="17" t="e">
        <f t="shared" ref="E156:BP156" ca="1" si="113">E96/$D156*100000</f>
        <v>#N/A</v>
      </c>
      <c r="F156" s="17" t="e">
        <f t="shared" ca="1" si="113"/>
        <v>#N/A</v>
      </c>
      <c r="G156" s="17" t="e">
        <f t="shared" ca="1" si="113"/>
        <v>#N/A</v>
      </c>
      <c r="H156" s="17" t="e">
        <f t="shared" ca="1" si="113"/>
        <v>#N/A</v>
      </c>
      <c r="I156" s="17" t="e">
        <f t="shared" ca="1" si="113"/>
        <v>#N/A</v>
      </c>
      <c r="J156" s="17" t="e">
        <f t="shared" ca="1" si="113"/>
        <v>#N/A</v>
      </c>
      <c r="K156" s="17" t="e">
        <f t="shared" ca="1" si="113"/>
        <v>#N/A</v>
      </c>
      <c r="L156" s="17" t="e">
        <f t="shared" ca="1" si="113"/>
        <v>#N/A</v>
      </c>
      <c r="M156" s="17" t="e">
        <f t="shared" ca="1" si="113"/>
        <v>#N/A</v>
      </c>
      <c r="N156" s="17" t="e">
        <f t="shared" ca="1" si="113"/>
        <v>#N/A</v>
      </c>
      <c r="O156" s="17" t="e">
        <f t="shared" ca="1" si="113"/>
        <v>#N/A</v>
      </c>
      <c r="P156" s="17" t="e">
        <f t="shared" ca="1" si="113"/>
        <v>#N/A</v>
      </c>
      <c r="Q156" s="17" t="e">
        <f t="shared" ca="1" si="113"/>
        <v>#N/A</v>
      </c>
      <c r="R156" s="17" t="e">
        <f t="shared" ca="1" si="113"/>
        <v>#N/A</v>
      </c>
      <c r="S156" s="17" t="e">
        <f t="shared" ca="1" si="113"/>
        <v>#N/A</v>
      </c>
      <c r="T156" s="17" t="e">
        <f t="shared" ca="1" si="113"/>
        <v>#N/A</v>
      </c>
      <c r="U156" s="17" t="e">
        <f t="shared" ca="1" si="113"/>
        <v>#N/A</v>
      </c>
      <c r="V156" s="17" t="e">
        <f t="shared" ca="1" si="113"/>
        <v>#N/A</v>
      </c>
      <c r="W156" s="17" t="e">
        <f t="shared" ca="1" si="113"/>
        <v>#N/A</v>
      </c>
      <c r="X156" s="17" t="e">
        <f t="shared" ca="1" si="113"/>
        <v>#N/A</v>
      </c>
      <c r="Y156" s="17" t="e">
        <f t="shared" ca="1" si="113"/>
        <v>#N/A</v>
      </c>
      <c r="Z156" s="17" t="e">
        <f t="shared" ca="1" si="113"/>
        <v>#N/A</v>
      </c>
      <c r="AA156" s="17" t="e">
        <f t="shared" ca="1" si="113"/>
        <v>#N/A</v>
      </c>
      <c r="AB156" s="17" t="e">
        <f t="shared" ca="1" si="113"/>
        <v>#N/A</v>
      </c>
      <c r="AC156" s="17" t="e">
        <f t="shared" ca="1" si="113"/>
        <v>#N/A</v>
      </c>
      <c r="AD156" s="17" t="e">
        <f t="shared" ca="1" si="113"/>
        <v>#N/A</v>
      </c>
      <c r="AE156" s="17" t="e">
        <f t="shared" ca="1" si="113"/>
        <v>#N/A</v>
      </c>
      <c r="AF156" s="17" t="e">
        <f t="shared" ca="1" si="113"/>
        <v>#N/A</v>
      </c>
      <c r="AG156" s="17" t="e">
        <f t="shared" ca="1" si="113"/>
        <v>#N/A</v>
      </c>
      <c r="AH156" s="17" t="e">
        <f t="shared" ca="1" si="113"/>
        <v>#N/A</v>
      </c>
      <c r="AI156" s="17" t="e">
        <f t="shared" ca="1" si="113"/>
        <v>#N/A</v>
      </c>
      <c r="AJ156" s="17" t="e">
        <f t="shared" ca="1" si="113"/>
        <v>#N/A</v>
      </c>
      <c r="AK156" s="17" t="e">
        <f t="shared" ca="1" si="113"/>
        <v>#N/A</v>
      </c>
      <c r="AL156" s="17" t="e">
        <f t="shared" ca="1" si="113"/>
        <v>#N/A</v>
      </c>
      <c r="AM156" s="17" t="e">
        <f t="shared" ca="1" si="113"/>
        <v>#N/A</v>
      </c>
      <c r="AN156" s="17" t="e">
        <f t="shared" ca="1" si="113"/>
        <v>#N/A</v>
      </c>
      <c r="AO156" s="17" t="e">
        <f t="shared" ca="1" si="113"/>
        <v>#N/A</v>
      </c>
      <c r="AP156" s="17" t="e">
        <f t="shared" ca="1" si="113"/>
        <v>#N/A</v>
      </c>
      <c r="AQ156" s="17" t="e">
        <f t="shared" ca="1" si="113"/>
        <v>#N/A</v>
      </c>
      <c r="AR156" s="17" t="e">
        <f t="shared" ca="1" si="113"/>
        <v>#N/A</v>
      </c>
      <c r="AS156" s="17" t="e">
        <f t="shared" ca="1" si="113"/>
        <v>#N/A</v>
      </c>
      <c r="AT156" s="17" t="e">
        <f t="shared" ca="1" si="113"/>
        <v>#N/A</v>
      </c>
      <c r="AU156" s="17" t="e">
        <f t="shared" ca="1" si="113"/>
        <v>#N/A</v>
      </c>
      <c r="AV156" s="17" t="e">
        <f t="shared" ca="1" si="113"/>
        <v>#N/A</v>
      </c>
      <c r="AW156" s="17" t="e">
        <f t="shared" ca="1" si="113"/>
        <v>#N/A</v>
      </c>
      <c r="AX156" s="17" t="e">
        <f t="shared" ca="1" si="113"/>
        <v>#N/A</v>
      </c>
      <c r="AY156" s="17" t="e">
        <f t="shared" ca="1" si="113"/>
        <v>#N/A</v>
      </c>
      <c r="AZ156" s="17" t="e">
        <f t="shared" ca="1" si="113"/>
        <v>#N/A</v>
      </c>
      <c r="BA156" s="17" t="e">
        <f t="shared" ca="1" si="113"/>
        <v>#N/A</v>
      </c>
      <c r="BB156" s="17" t="e">
        <f t="shared" ca="1" si="113"/>
        <v>#N/A</v>
      </c>
      <c r="BC156" s="17" t="e">
        <f t="shared" ca="1" si="113"/>
        <v>#N/A</v>
      </c>
      <c r="BD156" s="17" t="e">
        <f t="shared" ca="1" si="113"/>
        <v>#N/A</v>
      </c>
      <c r="BE156" s="17" t="e">
        <f t="shared" ca="1" si="113"/>
        <v>#N/A</v>
      </c>
      <c r="BF156" s="17" t="e">
        <f t="shared" ca="1" si="113"/>
        <v>#N/A</v>
      </c>
      <c r="BG156" s="17" t="e">
        <f t="shared" ca="1" si="113"/>
        <v>#N/A</v>
      </c>
      <c r="BH156" s="17" t="e">
        <f t="shared" ca="1" si="113"/>
        <v>#N/A</v>
      </c>
      <c r="BI156" s="17" t="e">
        <f t="shared" ca="1" si="113"/>
        <v>#N/A</v>
      </c>
      <c r="BJ156" s="17" t="e">
        <f t="shared" ca="1" si="113"/>
        <v>#N/A</v>
      </c>
      <c r="BK156" s="17" t="e">
        <f t="shared" ca="1" si="113"/>
        <v>#N/A</v>
      </c>
      <c r="BL156" s="17" t="e">
        <f t="shared" ca="1" si="113"/>
        <v>#N/A</v>
      </c>
      <c r="BM156" s="17" t="e">
        <f t="shared" ca="1" si="113"/>
        <v>#N/A</v>
      </c>
      <c r="BN156" s="17" t="e">
        <f t="shared" ca="1" si="113"/>
        <v>#N/A</v>
      </c>
      <c r="BO156" s="17" t="e">
        <f t="shared" ca="1" si="113"/>
        <v>#N/A</v>
      </c>
      <c r="BP156" s="17" t="e">
        <f t="shared" ca="1" si="113"/>
        <v>#N/A</v>
      </c>
      <c r="BQ156" s="17" t="e">
        <f t="shared" ref="BQ156:BV156" ca="1" si="114">BQ96/$D156*100000</f>
        <v>#N/A</v>
      </c>
      <c r="BR156" s="17" t="e">
        <f t="shared" ca="1" si="114"/>
        <v>#N/A</v>
      </c>
      <c r="BS156" s="17" t="e">
        <f t="shared" ca="1" si="114"/>
        <v>#N/A</v>
      </c>
      <c r="BT156" s="17" t="e">
        <f t="shared" ca="1" si="114"/>
        <v>#N/A</v>
      </c>
      <c r="BU156" s="17" t="e">
        <f t="shared" ca="1" si="114"/>
        <v>#N/A</v>
      </c>
      <c r="BV156" s="17" t="e">
        <f t="shared" ca="1" si="114"/>
        <v>#N/A</v>
      </c>
    </row>
    <row r="157" spans="2:74" x14ac:dyDescent="0.25">
      <c r="B157">
        <f t="shared" si="7"/>
        <v>58</v>
      </c>
      <c r="C157">
        <f t="shared" ca="1" si="8"/>
        <v>0</v>
      </c>
      <c r="D157" s="1" t="e">
        <f t="shared" ca="1" si="8"/>
        <v>#N/A</v>
      </c>
      <c r="E157" s="17" t="e">
        <f t="shared" ref="E157:BP157" ca="1" si="115">E97/$D157*100000</f>
        <v>#N/A</v>
      </c>
      <c r="F157" s="17" t="e">
        <f t="shared" ca="1" si="115"/>
        <v>#N/A</v>
      </c>
      <c r="G157" s="17" t="e">
        <f t="shared" ca="1" si="115"/>
        <v>#N/A</v>
      </c>
      <c r="H157" s="17" t="e">
        <f t="shared" ca="1" si="115"/>
        <v>#N/A</v>
      </c>
      <c r="I157" s="17" t="e">
        <f t="shared" ca="1" si="115"/>
        <v>#N/A</v>
      </c>
      <c r="J157" s="17" t="e">
        <f t="shared" ca="1" si="115"/>
        <v>#N/A</v>
      </c>
      <c r="K157" s="17" t="e">
        <f t="shared" ca="1" si="115"/>
        <v>#N/A</v>
      </c>
      <c r="L157" s="17" t="e">
        <f t="shared" ca="1" si="115"/>
        <v>#N/A</v>
      </c>
      <c r="M157" s="17" t="e">
        <f t="shared" ca="1" si="115"/>
        <v>#N/A</v>
      </c>
      <c r="N157" s="17" t="e">
        <f t="shared" ca="1" si="115"/>
        <v>#N/A</v>
      </c>
      <c r="O157" s="17" t="e">
        <f t="shared" ca="1" si="115"/>
        <v>#N/A</v>
      </c>
      <c r="P157" s="17" t="e">
        <f t="shared" ca="1" si="115"/>
        <v>#N/A</v>
      </c>
      <c r="Q157" s="17" t="e">
        <f t="shared" ca="1" si="115"/>
        <v>#N/A</v>
      </c>
      <c r="R157" s="17" t="e">
        <f t="shared" ca="1" si="115"/>
        <v>#N/A</v>
      </c>
      <c r="S157" s="17" t="e">
        <f t="shared" ca="1" si="115"/>
        <v>#N/A</v>
      </c>
      <c r="T157" s="17" t="e">
        <f t="shared" ca="1" si="115"/>
        <v>#N/A</v>
      </c>
      <c r="U157" s="17" t="e">
        <f t="shared" ca="1" si="115"/>
        <v>#N/A</v>
      </c>
      <c r="V157" s="17" t="e">
        <f t="shared" ca="1" si="115"/>
        <v>#N/A</v>
      </c>
      <c r="W157" s="17" t="e">
        <f t="shared" ca="1" si="115"/>
        <v>#N/A</v>
      </c>
      <c r="X157" s="17" t="e">
        <f t="shared" ca="1" si="115"/>
        <v>#N/A</v>
      </c>
      <c r="Y157" s="17" t="e">
        <f t="shared" ca="1" si="115"/>
        <v>#N/A</v>
      </c>
      <c r="Z157" s="17" t="e">
        <f t="shared" ca="1" si="115"/>
        <v>#N/A</v>
      </c>
      <c r="AA157" s="17" t="e">
        <f t="shared" ca="1" si="115"/>
        <v>#N/A</v>
      </c>
      <c r="AB157" s="17" t="e">
        <f t="shared" ca="1" si="115"/>
        <v>#N/A</v>
      </c>
      <c r="AC157" s="17" t="e">
        <f t="shared" ca="1" si="115"/>
        <v>#N/A</v>
      </c>
      <c r="AD157" s="17" t="e">
        <f t="shared" ca="1" si="115"/>
        <v>#N/A</v>
      </c>
      <c r="AE157" s="17" t="e">
        <f t="shared" ca="1" si="115"/>
        <v>#N/A</v>
      </c>
      <c r="AF157" s="17" t="e">
        <f t="shared" ca="1" si="115"/>
        <v>#N/A</v>
      </c>
      <c r="AG157" s="17" t="e">
        <f t="shared" ca="1" si="115"/>
        <v>#N/A</v>
      </c>
      <c r="AH157" s="17" t="e">
        <f t="shared" ca="1" si="115"/>
        <v>#N/A</v>
      </c>
      <c r="AI157" s="17" t="e">
        <f t="shared" ca="1" si="115"/>
        <v>#N/A</v>
      </c>
      <c r="AJ157" s="17" t="e">
        <f t="shared" ca="1" si="115"/>
        <v>#N/A</v>
      </c>
      <c r="AK157" s="17" t="e">
        <f t="shared" ca="1" si="115"/>
        <v>#N/A</v>
      </c>
      <c r="AL157" s="17" t="e">
        <f t="shared" ca="1" si="115"/>
        <v>#N/A</v>
      </c>
      <c r="AM157" s="17" t="e">
        <f t="shared" ca="1" si="115"/>
        <v>#N/A</v>
      </c>
      <c r="AN157" s="17" t="e">
        <f t="shared" ca="1" si="115"/>
        <v>#N/A</v>
      </c>
      <c r="AO157" s="17" t="e">
        <f t="shared" ca="1" si="115"/>
        <v>#N/A</v>
      </c>
      <c r="AP157" s="17" t="e">
        <f t="shared" ca="1" si="115"/>
        <v>#N/A</v>
      </c>
      <c r="AQ157" s="17" t="e">
        <f t="shared" ca="1" si="115"/>
        <v>#N/A</v>
      </c>
      <c r="AR157" s="17" t="e">
        <f t="shared" ca="1" si="115"/>
        <v>#N/A</v>
      </c>
      <c r="AS157" s="17" t="e">
        <f t="shared" ca="1" si="115"/>
        <v>#N/A</v>
      </c>
      <c r="AT157" s="17" t="e">
        <f t="shared" ca="1" si="115"/>
        <v>#N/A</v>
      </c>
      <c r="AU157" s="17" t="e">
        <f t="shared" ca="1" si="115"/>
        <v>#N/A</v>
      </c>
      <c r="AV157" s="17" t="e">
        <f t="shared" ca="1" si="115"/>
        <v>#N/A</v>
      </c>
      <c r="AW157" s="17" t="e">
        <f t="shared" ca="1" si="115"/>
        <v>#N/A</v>
      </c>
      <c r="AX157" s="17" t="e">
        <f t="shared" ca="1" si="115"/>
        <v>#N/A</v>
      </c>
      <c r="AY157" s="17" t="e">
        <f t="shared" ca="1" si="115"/>
        <v>#N/A</v>
      </c>
      <c r="AZ157" s="17" t="e">
        <f t="shared" ca="1" si="115"/>
        <v>#N/A</v>
      </c>
      <c r="BA157" s="17" t="e">
        <f t="shared" ca="1" si="115"/>
        <v>#N/A</v>
      </c>
      <c r="BB157" s="17" t="e">
        <f t="shared" ca="1" si="115"/>
        <v>#N/A</v>
      </c>
      <c r="BC157" s="17" t="e">
        <f t="shared" ca="1" si="115"/>
        <v>#N/A</v>
      </c>
      <c r="BD157" s="17" t="e">
        <f t="shared" ca="1" si="115"/>
        <v>#N/A</v>
      </c>
      <c r="BE157" s="17" t="e">
        <f t="shared" ca="1" si="115"/>
        <v>#N/A</v>
      </c>
      <c r="BF157" s="17" t="e">
        <f t="shared" ca="1" si="115"/>
        <v>#N/A</v>
      </c>
      <c r="BG157" s="17" t="e">
        <f t="shared" ca="1" si="115"/>
        <v>#N/A</v>
      </c>
      <c r="BH157" s="17" t="e">
        <f t="shared" ca="1" si="115"/>
        <v>#N/A</v>
      </c>
      <c r="BI157" s="17" t="e">
        <f t="shared" ca="1" si="115"/>
        <v>#N/A</v>
      </c>
      <c r="BJ157" s="17" t="e">
        <f t="shared" ca="1" si="115"/>
        <v>#N/A</v>
      </c>
      <c r="BK157" s="17" t="e">
        <f t="shared" ca="1" si="115"/>
        <v>#N/A</v>
      </c>
      <c r="BL157" s="17" t="e">
        <f t="shared" ca="1" si="115"/>
        <v>#N/A</v>
      </c>
      <c r="BM157" s="17" t="e">
        <f t="shared" ca="1" si="115"/>
        <v>#N/A</v>
      </c>
      <c r="BN157" s="17" t="e">
        <f t="shared" ca="1" si="115"/>
        <v>#N/A</v>
      </c>
      <c r="BO157" s="17" t="e">
        <f t="shared" ca="1" si="115"/>
        <v>#N/A</v>
      </c>
      <c r="BP157" s="17" t="e">
        <f t="shared" ca="1" si="115"/>
        <v>#N/A</v>
      </c>
      <c r="BQ157" s="17" t="e">
        <f t="shared" ref="BQ157:BV157" ca="1" si="116">BQ97/$D157*100000</f>
        <v>#N/A</v>
      </c>
      <c r="BR157" s="17" t="e">
        <f t="shared" ca="1" si="116"/>
        <v>#N/A</v>
      </c>
      <c r="BS157" s="17" t="e">
        <f t="shared" ca="1" si="116"/>
        <v>#N/A</v>
      </c>
      <c r="BT157" s="17" t="e">
        <f t="shared" ca="1" si="116"/>
        <v>#N/A</v>
      </c>
      <c r="BU157" s="17" t="e">
        <f t="shared" ca="1" si="116"/>
        <v>#N/A</v>
      </c>
      <c r="BV157" s="17" t="e">
        <f t="shared" ca="1" si="116"/>
        <v>#N/A</v>
      </c>
    </row>
    <row r="158" spans="2:74" x14ac:dyDescent="0.25">
      <c r="B158">
        <f t="shared" si="7"/>
        <v>59</v>
      </c>
      <c r="C158">
        <f t="shared" ca="1" si="8"/>
        <v>0</v>
      </c>
      <c r="D158" s="1" t="e">
        <f t="shared" ca="1" si="8"/>
        <v>#N/A</v>
      </c>
      <c r="E158" s="17" t="e">
        <f t="shared" ref="E158:BP158" ca="1" si="117">E98/$D158*100000</f>
        <v>#N/A</v>
      </c>
      <c r="F158" s="17" t="e">
        <f t="shared" ca="1" si="117"/>
        <v>#N/A</v>
      </c>
      <c r="G158" s="17" t="e">
        <f t="shared" ca="1" si="117"/>
        <v>#N/A</v>
      </c>
      <c r="H158" s="17" t="e">
        <f t="shared" ca="1" si="117"/>
        <v>#N/A</v>
      </c>
      <c r="I158" s="17" t="e">
        <f t="shared" ca="1" si="117"/>
        <v>#N/A</v>
      </c>
      <c r="J158" s="17" t="e">
        <f t="shared" ca="1" si="117"/>
        <v>#N/A</v>
      </c>
      <c r="K158" s="17" t="e">
        <f t="shared" ca="1" si="117"/>
        <v>#N/A</v>
      </c>
      <c r="L158" s="17" t="e">
        <f t="shared" ca="1" si="117"/>
        <v>#N/A</v>
      </c>
      <c r="M158" s="17" t="e">
        <f t="shared" ca="1" si="117"/>
        <v>#N/A</v>
      </c>
      <c r="N158" s="17" t="e">
        <f t="shared" ca="1" si="117"/>
        <v>#N/A</v>
      </c>
      <c r="O158" s="17" t="e">
        <f t="shared" ca="1" si="117"/>
        <v>#N/A</v>
      </c>
      <c r="P158" s="17" t="e">
        <f t="shared" ca="1" si="117"/>
        <v>#N/A</v>
      </c>
      <c r="Q158" s="17" t="e">
        <f t="shared" ca="1" si="117"/>
        <v>#N/A</v>
      </c>
      <c r="R158" s="17" t="e">
        <f t="shared" ca="1" si="117"/>
        <v>#N/A</v>
      </c>
      <c r="S158" s="17" t="e">
        <f t="shared" ca="1" si="117"/>
        <v>#N/A</v>
      </c>
      <c r="T158" s="17" t="e">
        <f t="shared" ca="1" si="117"/>
        <v>#N/A</v>
      </c>
      <c r="U158" s="17" t="e">
        <f t="shared" ca="1" si="117"/>
        <v>#N/A</v>
      </c>
      <c r="V158" s="17" t="e">
        <f t="shared" ca="1" si="117"/>
        <v>#N/A</v>
      </c>
      <c r="W158" s="17" t="e">
        <f t="shared" ca="1" si="117"/>
        <v>#N/A</v>
      </c>
      <c r="X158" s="17" t="e">
        <f t="shared" ca="1" si="117"/>
        <v>#N/A</v>
      </c>
      <c r="Y158" s="17" t="e">
        <f t="shared" ca="1" si="117"/>
        <v>#N/A</v>
      </c>
      <c r="Z158" s="17" t="e">
        <f t="shared" ca="1" si="117"/>
        <v>#N/A</v>
      </c>
      <c r="AA158" s="17" t="e">
        <f t="shared" ca="1" si="117"/>
        <v>#N/A</v>
      </c>
      <c r="AB158" s="17" t="e">
        <f t="shared" ca="1" si="117"/>
        <v>#N/A</v>
      </c>
      <c r="AC158" s="17" t="e">
        <f t="shared" ca="1" si="117"/>
        <v>#N/A</v>
      </c>
      <c r="AD158" s="17" t="e">
        <f t="shared" ca="1" si="117"/>
        <v>#N/A</v>
      </c>
      <c r="AE158" s="17" t="e">
        <f t="shared" ca="1" si="117"/>
        <v>#N/A</v>
      </c>
      <c r="AF158" s="17" t="e">
        <f t="shared" ca="1" si="117"/>
        <v>#N/A</v>
      </c>
      <c r="AG158" s="17" t="e">
        <f t="shared" ca="1" si="117"/>
        <v>#N/A</v>
      </c>
      <c r="AH158" s="17" t="e">
        <f t="shared" ca="1" si="117"/>
        <v>#N/A</v>
      </c>
      <c r="AI158" s="17" t="e">
        <f t="shared" ca="1" si="117"/>
        <v>#N/A</v>
      </c>
      <c r="AJ158" s="17" t="e">
        <f t="shared" ca="1" si="117"/>
        <v>#N/A</v>
      </c>
      <c r="AK158" s="17" t="e">
        <f t="shared" ca="1" si="117"/>
        <v>#N/A</v>
      </c>
      <c r="AL158" s="17" t="e">
        <f t="shared" ca="1" si="117"/>
        <v>#N/A</v>
      </c>
      <c r="AM158" s="17" t="e">
        <f t="shared" ca="1" si="117"/>
        <v>#N/A</v>
      </c>
      <c r="AN158" s="17" t="e">
        <f t="shared" ca="1" si="117"/>
        <v>#N/A</v>
      </c>
      <c r="AO158" s="17" t="e">
        <f t="shared" ca="1" si="117"/>
        <v>#N/A</v>
      </c>
      <c r="AP158" s="17" t="e">
        <f t="shared" ca="1" si="117"/>
        <v>#N/A</v>
      </c>
      <c r="AQ158" s="17" t="e">
        <f t="shared" ca="1" si="117"/>
        <v>#N/A</v>
      </c>
      <c r="AR158" s="17" t="e">
        <f t="shared" ca="1" si="117"/>
        <v>#N/A</v>
      </c>
      <c r="AS158" s="17" t="e">
        <f t="shared" ca="1" si="117"/>
        <v>#N/A</v>
      </c>
      <c r="AT158" s="17" t="e">
        <f t="shared" ca="1" si="117"/>
        <v>#N/A</v>
      </c>
      <c r="AU158" s="17" t="e">
        <f t="shared" ca="1" si="117"/>
        <v>#N/A</v>
      </c>
      <c r="AV158" s="17" t="e">
        <f t="shared" ca="1" si="117"/>
        <v>#N/A</v>
      </c>
      <c r="AW158" s="17" t="e">
        <f t="shared" ca="1" si="117"/>
        <v>#N/A</v>
      </c>
      <c r="AX158" s="17" t="e">
        <f t="shared" ca="1" si="117"/>
        <v>#N/A</v>
      </c>
      <c r="AY158" s="17" t="e">
        <f t="shared" ca="1" si="117"/>
        <v>#N/A</v>
      </c>
      <c r="AZ158" s="17" t="e">
        <f t="shared" ca="1" si="117"/>
        <v>#N/A</v>
      </c>
      <c r="BA158" s="17" t="e">
        <f t="shared" ca="1" si="117"/>
        <v>#N/A</v>
      </c>
      <c r="BB158" s="17" t="e">
        <f t="shared" ca="1" si="117"/>
        <v>#N/A</v>
      </c>
      <c r="BC158" s="17" t="e">
        <f t="shared" ca="1" si="117"/>
        <v>#N/A</v>
      </c>
      <c r="BD158" s="17" t="e">
        <f t="shared" ca="1" si="117"/>
        <v>#N/A</v>
      </c>
      <c r="BE158" s="17" t="e">
        <f t="shared" ca="1" si="117"/>
        <v>#N/A</v>
      </c>
      <c r="BF158" s="17" t="e">
        <f t="shared" ca="1" si="117"/>
        <v>#N/A</v>
      </c>
      <c r="BG158" s="17" t="e">
        <f t="shared" ca="1" si="117"/>
        <v>#N/A</v>
      </c>
      <c r="BH158" s="17" t="e">
        <f t="shared" ca="1" si="117"/>
        <v>#N/A</v>
      </c>
      <c r="BI158" s="17" t="e">
        <f t="shared" ca="1" si="117"/>
        <v>#N/A</v>
      </c>
      <c r="BJ158" s="17" t="e">
        <f t="shared" ca="1" si="117"/>
        <v>#N/A</v>
      </c>
      <c r="BK158" s="17" t="e">
        <f t="shared" ca="1" si="117"/>
        <v>#N/A</v>
      </c>
      <c r="BL158" s="17" t="e">
        <f t="shared" ca="1" si="117"/>
        <v>#N/A</v>
      </c>
      <c r="BM158" s="17" t="e">
        <f t="shared" ca="1" si="117"/>
        <v>#N/A</v>
      </c>
      <c r="BN158" s="17" t="e">
        <f t="shared" ca="1" si="117"/>
        <v>#N/A</v>
      </c>
      <c r="BO158" s="17" t="e">
        <f t="shared" ca="1" si="117"/>
        <v>#N/A</v>
      </c>
      <c r="BP158" s="17" t="e">
        <f t="shared" ca="1" si="117"/>
        <v>#N/A</v>
      </c>
      <c r="BQ158" s="17" t="e">
        <f t="shared" ref="BQ158:BV158" ca="1" si="118">BQ98/$D158*100000</f>
        <v>#N/A</v>
      </c>
      <c r="BR158" s="17" t="e">
        <f t="shared" ca="1" si="118"/>
        <v>#N/A</v>
      </c>
      <c r="BS158" s="17" t="e">
        <f t="shared" ca="1" si="118"/>
        <v>#N/A</v>
      </c>
      <c r="BT158" s="17" t="e">
        <f t="shared" ca="1" si="118"/>
        <v>#N/A</v>
      </c>
      <c r="BU158" s="17" t="e">
        <f t="shared" ca="1" si="118"/>
        <v>#N/A</v>
      </c>
      <c r="BV158" s="17" t="e">
        <f t="shared" ca="1" si="118"/>
        <v>#N/A</v>
      </c>
    </row>
    <row r="159" spans="2:74" x14ac:dyDescent="0.25">
      <c r="B159">
        <f t="shared" si="7"/>
        <v>60</v>
      </c>
      <c r="C159">
        <f t="shared" ca="1" si="8"/>
        <v>0</v>
      </c>
      <c r="D159" s="1" t="e">
        <f t="shared" ca="1" si="8"/>
        <v>#N/A</v>
      </c>
      <c r="E159" s="17" t="e">
        <f t="shared" ref="E159:BP159" ca="1" si="119">E99/$D159*100000</f>
        <v>#N/A</v>
      </c>
      <c r="F159" s="17" t="e">
        <f t="shared" ca="1" si="119"/>
        <v>#N/A</v>
      </c>
      <c r="G159" s="17" t="e">
        <f t="shared" ca="1" si="119"/>
        <v>#N/A</v>
      </c>
      <c r="H159" s="17" t="e">
        <f t="shared" ca="1" si="119"/>
        <v>#N/A</v>
      </c>
      <c r="I159" s="17" t="e">
        <f t="shared" ca="1" si="119"/>
        <v>#N/A</v>
      </c>
      <c r="J159" s="17" t="e">
        <f t="shared" ca="1" si="119"/>
        <v>#N/A</v>
      </c>
      <c r="K159" s="17" t="e">
        <f t="shared" ca="1" si="119"/>
        <v>#N/A</v>
      </c>
      <c r="L159" s="17" t="e">
        <f t="shared" ca="1" si="119"/>
        <v>#N/A</v>
      </c>
      <c r="M159" s="17" t="e">
        <f t="shared" ca="1" si="119"/>
        <v>#N/A</v>
      </c>
      <c r="N159" s="17" t="e">
        <f t="shared" ca="1" si="119"/>
        <v>#N/A</v>
      </c>
      <c r="O159" s="17" t="e">
        <f t="shared" ca="1" si="119"/>
        <v>#N/A</v>
      </c>
      <c r="P159" s="17" t="e">
        <f t="shared" ca="1" si="119"/>
        <v>#N/A</v>
      </c>
      <c r="Q159" s="17" t="e">
        <f t="shared" ca="1" si="119"/>
        <v>#N/A</v>
      </c>
      <c r="R159" s="17" t="e">
        <f t="shared" ca="1" si="119"/>
        <v>#N/A</v>
      </c>
      <c r="S159" s="17" t="e">
        <f t="shared" ca="1" si="119"/>
        <v>#N/A</v>
      </c>
      <c r="T159" s="17" t="e">
        <f t="shared" ca="1" si="119"/>
        <v>#N/A</v>
      </c>
      <c r="U159" s="17" t="e">
        <f t="shared" ca="1" si="119"/>
        <v>#N/A</v>
      </c>
      <c r="V159" s="17" t="e">
        <f t="shared" ca="1" si="119"/>
        <v>#N/A</v>
      </c>
      <c r="W159" s="17" t="e">
        <f t="shared" ca="1" si="119"/>
        <v>#N/A</v>
      </c>
      <c r="X159" s="17" t="e">
        <f t="shared" ca="1" si="119"/>
        <v>#N/A</v>
      </c>
      <c r="Y159" s="17" t="e">
        <f t="shared" ca="1" si="119"/>
        <v>#N/A</v>
      </c>
      <c r="Z159" s="17" t="e">
        <f t="shared" ca="1" si="119"/>
        <v>#N/A</v>
      </c>
      <c r="AA159" s="17" t="e">
        <f t="shared" ca="1" si="119"/>
        <v>#N/A</v>
      </c>
      <c r="AB159" s="17" t="e">
        <f t="shared" ca="1" si="119"/>
        <v>#N/A</v>
      </c>
      <c r="AC159" s="17" t="e">
        <f t="shared" ca="1" si="119"/>
        <v>#N/A</v>
      </c>
      <c r="AD159" s="17" t="e">
        <f t="shared" ca="1" si="119"/>
        <v>#N/A</v>
      </c>
      <c r="AE159" s="17" t="e">
        <f t="shared" ca="1" si="119"/>
        <v>#N/A</v>
      </c>
      <c r="AF159" s="17" t="e">
        <f t="shared" ca="1" si="119"/>
        <v>#N/A</v>
      </c>
      <c r="AG159" s="17" t="e">
        <f t="shared" ca="1" si="119"/>
        <v>#N/A</v>
      </c>
      <c r="AH159" s="17" t="e">
        <f t="shared" ca="1" si="119"/>
        <v>#N/A</v>
      </c>
      <c r="AI159" s="17" t="e">
        <f t="shared" ca="1" si="119"/>
        <v>#N/A</v>
      </c>
      <c r="AJ159" s="17" t="e">
        <f t="shared" ca="1" si="119"/>
        <v>#N/A</v>
      </c>
      <c r="AK159" s="17" t="e">
        <f t="shared" ca="1" si="119"/>
        <v>#N/A</v>
      </c>
      <c r="AL159" s="17" t="e">
        <f t="shared" ca="1" si="119"/>
        <v>#N/A</v>
      </c>
      <c r="AM159" s="17" t="e">
        <f t="shared" ca="1" si="119"/>
        <v>#N/A</v>
      </c>
      <c r="AN159" s="17" t="e">
        <f t="shared" ca="1" si="119"/>
        <v>#N/A</v>
      </c>
      <c r="AO159" s="17" t="e">
        <f t="shared" ca="1" si="119"/>
        <v>#N/A</v>
      </c>
      <c r="AP159" s="17" t="e">
        <f t="shared" ca="1" si="119"/>
        <v>#N/A</v>
      </c>
      <c r="AQ159" s="17" t="e">
        <f t="shared" ca="1" si="119"/>
        <v>#N/A</v>
      </c>
      <c r="AR159" s="17" t="e">
        <f t="shared" ca="1" si="119"/>
        <v>#N/A</v>
      </c>
      <c r="AS159" s="17" t="e">
        <f t="shared" ca="1" si="119"/>
        <v>#N/A</v>
      </c>
      <c r="AT159" s="17" t="e">
        <f t="shared" ca="1" si="119"/>
        <v>#N/A</v>
      </c>
      <c r="AU159" s="17" t="e">
        <f t="shared" ca="1" si="119"/>
        <v>#N/A</v>
      </c>
      <c r="AV159" s="17" t="e">
        <f t="shared" ca="1" si="119"/>
        <v>#N/A</v>
      </c>
      <c r="AW159" s="17" t="e">
        <f t="shared" ca="1" si="119"/>
        <v>#N/A</v>
      </c>
      <c r="AX159" s="17" t="e">
        <f t="shared" ca="1" si="119"/>
        <v>#N/A</v>
      </c>
      <c r="AY159" s="17" t="e">
        <f t="shared" ca="1" si="119"/>
        <v>#N/A</v>
      </c>
      <c r="AZ159" s="17" t="e">
        <f t="shared" ca="1" si="119"/>
        <v>#N/A</v>
      </c>
      <c r="BA159" s="17" t="e">
        <f t="shared" ca="1" si="119"/>
        <v>#N/A</v>
      </c>
      <c r="BB159" s="17" t="e">
        <f t="shared" ca="1" si="119"/>
        <v>#N/A</v>
      </c>
      <c r="BC159" s="17" t="e">
        <f t="shared" ca="1" si="119"/>
        <v>#N/A</v>
      </c>
      <c r="BD159" s="17" t="e">
        <f t="shared" ca="1" si="119"/>
        <v>#N/A</v>
      </c>
      <c r="BE159" s="17" t="e">
        <f t="shared" ca="1" si="119"/>
        <v>#N/A</v>
      </c>
      <c r="BF159" s="17" t="e">
        <f t="shared" ca="1" si="119"/>
        <v>#N/A</v>
      </c>
      <c r="BG159" s="17" t="e">
        <f t="shared" ca="1" si="119"/>
        <v>#N/A</v>
      </c>
      <c r="BH159" s="17" t="e">
        <f t="shared" ca="1" si="119"/>
        <v>#N/A</v>
      </c>
      <c r="BI159" s="17" t="e">
        <f t="shared" ca="1" si="119"/>
        <v>#N/A</v>
      </c>
      <c r="BJ159" s="17" t="e">
        <f t="shared" ca="1" si="119"/>
        <v>#N/A</v>
      </c>
      <c r="BK159" s="17" t="e">
        <f t="shared" ca="1" si="119"/>
        <v>#N/A</v>
      </c>
      <c r="BL159" s="17" t="e">
        <f t="shared" ca="1" si="119"/>
        <v>#N/A</v>
      </c>
      <c r="BM159" s="17" t="e">
        <f t="shared" ca="1" si="119"/>
        <v>#N/A</v>
      </c>
      <c r="BN159" s="17" t="e">
        <f t="shared" ca="1" si="119"/>
        <v>#N/A</v>
      </c>
      <c r="BO159" s="17" t="e">
        <f t="shared" ca="1" si="119"/>
        <v>#N/A</v>
      </c>
      <c r="BP159" s="17" t="e">
        <f t="shared" ca="1" si="119"/>
        <v>#N/A</v>
      </c>
      <c r="BQ159" s="17" t="e">
        <f t="shared" ref="BQ159:BV159" ca="1" si="120">BQ99/$D159*100000</f>
        <v>#N/A</v>
      </c>
      <c r="BR159" s="17" t="e">
        <f t="shared" ca="1" si="120"/>
        <v>#N/A</v>
      </c>
      <c r="BS159" s="17" t="e">
        <f t="shared" ca="1" si="120"/>
        <v>#N/A</v>
      </c>
      <c r="BT159" s="17" t="e">
        <f t="shared" ca="1" si="120"/>
        <v>#N/A</v>
      </c>
      <c r="BU159" s="17" t="e">
        <f t="shared" ca="1" si="120"/>
        <v>#N/A</v>
      </c>
      <c r="BV159" s="17" t="e">
        <f t="shared" ca="1" si="120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495E-9323-48EE-A7FC-AB7C61AAC5B7}">
  <dimension ref="A1:BP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8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652</v>
      </c>
      <c r="BF2" s="1">
        <v>1139</v>
      </c>
      <c r="BG2" s="1">
        <v>1359</v>
      </c>
      <c r="BH2" s="1">
        <v>2200</v>
      </c>
      <c r="BI2" s="1">
        <v>2200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</v>
      </c>
      <c r="BL3" s="1">
        <v>6</v>
      </c>
      <c r="BM3" s="1">
        <v>6</v>
      </c>
      <c r="BN3" s="1">
        <v>6</v>
      </c>
      <c r="BO3" s="1">
        <v>6</v>
      </c>
      <c r="BP3" s="1">
        <v>6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11</v>
      </c>
      <c r="BL4" s="1">
        <v>11</v>
      </c>
      <c r="BM4" s="1">
        <v>11</v>
      </c>
      <c r="BN4" s="1">
        <v>11</v>
      </c>
      <c r="BO4" s="1">
        <v>11</v>
      </c>
      <c r="BP4" s="1">
        <v>30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</v>
      </c>
      <c r="BA5" s="1">
        <v>12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32</v>
      </c>
      <c r="BH5" s="1">
        <v>32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168</v>
      </c>
      <c r="BO5" s="1">
        <v>232</v>
      </c>
      <c r="BP5" s="1">
        <v>241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37</v>
      </c>
      <c r="BE6" s="1">
        <v>73</v>
      </c>
      <c r="BF6" s="1">
        <v>92</v>
      </c>
      <c r="BG6" s="1">
        <v>100</v>
      </c>
      <c r="BH6" s="1">
        <v>100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6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26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123</v>
      </c>
      <c r="BJ8" s="1">
        <v>123</v>
      </c>
      <c r="BK8" s="1">
        <v>193</v>
      </c>
      <c r="BL8" s="1">
        <v>282</v>
      </c>
      <c r="BM8" s="1">
        <v>377</v>
      </c>
      <c r="BN8" s="1">
        <v>418</v>
      </c>
      <c r="BO8" s="1">
        <v>418</v>
      </c>
      <c r="BP8" s="1">
        <v>470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</v>
      </c>
      <c r="AZ9" s="1">
        <v>6</v>
      </c>
      <c r="BA9" s="1">
        <v>8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7</v>
      </c>
      <c r="AV10" s="1">
        <v>8</v>
      </c>
      <c r="AW10" s="1">
        <v>8</v>
      </c>
      <c r="AX10" s="1">
        <v>11</v>
      </c>
      <c r="AY10" s="1">
        <v>15</v>
      </c>
      <c r="AZ10" s="1">
        <v>24</v>
      </c>
      <c r="BA10" s="1">
        <v>32</v>
      </c>
      <c r="BB10" s="1">
        <v>33</v>
      </c>
      <c r="BC10" s="1">
        <v>59</v>
      </c>
      <c r="BD10" s="1">
        <v>66</v>
      </c>
      <c r="BE10" s="1">
        <v>80</v>
      </c>
      <c r="BF10" s="1">
        <v>104</v>
      </c>
      <c r="BG10" s="1">
        <v>196</v>
      </c>
      <c r="BH10" s="1">
        <v>281</v>
      </c>
      <c r="BI10" s="1">
        <v>373</v>
      </c>
      <c r="BJ10" s="1">
        <v>495</v>
      </c>
      <c r="BK10" s="1">
        <v>629</v>
      </c>
      <c r="BL10" s="1">
        <v>826</v>
      </c>
      <c r="BM10" s="1">
        <v>994</v>
      </c>
      <c r="BN10" s="1">
        <v>1128</v>
      </c>
      <c r="BO10" s="1">
        <v>1203</v>
      </c>
      <c r="BP10" s="1">
        <v>1509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10</v>
      </c>
      <c r="BL11" s="1">
        <v>17</v>
      </c>
      <c r="BM11" s="1">
        <v>17</v>
      </c>
      <c r="BN11" s="1">
        <v>17</v>
      </c>
      <c r="BO11" s="1">
        <v>31</v>
      </c>
      <c r="BP11" s="1">
        <v>31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266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27</v>
      </c>
      <c r="BM13" s="1">
        <v>29</v>
      </c>
      <c r="BN13" s="1">
        <v>49</v>
      </c>
      <c r="BO13" s="1">
        <v>51</v>
      </c>
      <c r="BP13" s="1">
        <v>57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65</v>
      </c>
      <c r="BM14" s="1">
        <v>92</v>
      </c>
      <c r="BN14" s="1">
        <v>109</v>
      </c>
      <c r="BO14" s="1">
        <v>131</v>
      </c>
      <c r="BP14" s="1">
        <v>156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4</v>
      </c>
      <c r="BF16" s="1">
        <v>4</v>
      </c>
      <c r="BG16" s="1">
        <v>4</v>
      </c>
      <c r="BH16" s="1">
        <v>4</v>
      </c>
      <c r="BI16" s="1">
        <v>4</v>
      </c>
      <c r="BJ16" s="1">
        <v>4</v>
      </c>
      <c r="BK16" s="1">
        <v>4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14</v>
      </c>
      <c r="BO18" s="1">
        <v>14</v>
      </c>
      <c r="BP18" s="1">
        <v>30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9</v>
      </c>
      <c r="BG19" s="1">
        <v>12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43</v>
      </c>
      <c r="BM20" s="1">
        <v>66</v>
      </c>
      <c r="BN20" s="1">
        <v>66</v>
      </c>
      <c r="BO20" s="1">
        <v>66</v>
      </c>
      <c r="BP20" s="1">
        <v>95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15</v>
      </c>
      <c r="BG21" s="1">
        <v>15</v>
      </c>
      <c r="BH21" s="1">
        <v>15</v>
      </c>
      <c r="BI21" s="1">
        <v>15</v>
      </c>
      <c r="BJ21" s="1">
        <v>47</v>
      </c>
      <c r="BK21" s="1">
        <v>61</v>
      </c>
      <c r="BL21" s="1">
        <v>85</v>
      </c>
      <c r="BM21" s="1">
        <v>98</v>
      </c>
      <c r="BN21" s="1">
        <v>98</v>
      </c>
      <c r="BO21" s="1">
        <v>98</v>
      </c>
      <c r="BP21" s="1">
        <v>200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7</v>
      </c>
      <c r="BN24" s="1">
        <v>12</v>
      </c>
      <c r="BO24" s="1">
        <v>12</v>
      </c>
      <c r="BP24" s="1">
        <v>22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1</v>
      </c>
      <c r="AU25" s="1">
        <v>1</v>
      </c>
      <c r="AV25" s="1">
        <v>2</v>
      </c>
      <c r="AW25" s="1">
        <v>2</v>
      </c>
      <c r="AX25" s="1">
        <v>3</v>
      </c>
      <c r="AY25" s="1">
        <v>5</v>
      </c>
      <c r="AZ25" s="1">
        <v>5</v>
      </c>
      <c r="BA25" s="1">
        <v>7</v>
      </c>
      <c r="BB25" s="1">
        <v>12</v>
      </c>
      <c r="BC25" s="1">
        <v>18</v>
      </c>
      <c r="BD25" s="1">
        <v>22</v>
      </c>
      <c r="BE25" s="1">
        <v>22</v>
      </c>
      <c r="BF25" s="1">
        <v>22</v>
      </c>
      <c r="BG25" s="1">
        <v>22</v>
      </c>
      <c r="BH25" s="1">
        <v>22</v>
      </c>
      <c r="BI25" s="1">
        <v>22</v>
      </c>
      <c r="BJ25" s="1">
        <v>95</v>
      </c>
      <c r="BK25" s="1">
        <v>95</v>
      </c>
      <c r="BL25" s="1">
        <v>232</v>
      </c>
      <c r="BM25" s="1">
        <v>282</v>
      </c>
      <c r="BN25" s="1">
        <v>359</v>
      </c>
      <c r="BO25" s="1">
        <v>432</v>
      </c>
      <c r="BP25" s="1">
        <v>492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2162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13</v>
      </c>
      <c r="BH27" s="1">
        <v>13</v>
      </c>
      <c r="BI27" s="1">
        <v>24</v>
      </c>
      <c r="BJ27" s="1">
        <v>24</v>
      </c>
      <c r="BK27" s="1">
        <v>24</v>
      </c>
      <c r="BL27" s="1">
        <v>24</v>
      </c>
      <c r="BM27" s="1">
        <v>48</v>
      </c>
      <c r="BN27" s="1">
        <v>48</v>
      </c>
      <c r="BO27" s="1">
        <v>48</v>
      </c>
      <c r="BP27" s="1">
        <v>62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9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140</v>
      </c>
      <c r="BH28" s="1">
        <v>140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773</v>
      </c>
      <c r="BO28" s="1">
        <v>773</v>
      </c>
      <c r="BP28" s="1">
        <v>1068</v>
      </c>
    </row>
  </sheetData>
  <autoFilter ref="A1:BP28" xr:uid="{3CD78163-EB8D-477C-9BD7-C67310230B49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04ADF-F9D5-49A0-978E-5208B5EAE09E}">
  <dimension ref="A1:BP3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</row>
    <row r="2" spans="1:68" x14ac:dyDescent="0.25">
      <c r="A2" t="s">
        <v>69</v>
      </c>
      <c r="E2" s="3">
        <v>0.41421356240000001</v>
      </c>
      <c r="G2" s="1">
        <v>50</v>
      </c>
      <c r="H2" s="1">
        <v>70.710678119999997</v>
      </c>
      <c r="I2" s="1">
        <v>100.0000000038</v>
      </c>
      <c r="J2" s="1">
        <v>141.42135624540001</v>
      </c>
      <c r="K2" s="1">
        <v>200.00000001519999</v>
      </c>
      <c r="L2" s="1">
        <v>282.84271250149999</v>
      </c>
      <c r="M2" s="1">
        <v>400.00000004560002</v>
      </c>
      <c r="N2" s="1">
        <v>565.68542502449998</v>
      </c>
      <c r="O2" s="1">
        <v>800.00000012170005</v>
      </c>
      <c r="P2" s="1">
        <v>1131.3708500921</v>
      </c>
      <c r="Q2" s="1">
        <v>1600.0000003043001</v>
      </c>
      <c r="R2" s="1">
        <v>2262.7417002703</v>
      </c>
      <c r="S2" s="1">
        <v>3200.0000007303001</v>
      </c>
      <c r="T2" s="1">
        <v>4525.4834007128002</v>
      </c>
      <c r="U2" s="1">
        <v>6400.0000017041002</v>
      </c>
      <c r="V2" s="1">
        <v>9050.9668017700005</v>
      </c>
      <c r="W2" s="1">
        <v>12800.0000038953</v>
      </c>
      <c r="X2" s="1">
        <v>18101.933604228801</v>
      </c>
      <c r="Y2" s="1">
        <v>25600.000008764699</v>
      </c>
      <c r="Z2" s="1">
        <v>36203.867209835204</v>
      </c>
      <c r="AA2" s="1">
        <v>51200.0000194776</v>
      </c>
      <c r="AB2" s="1">
        <v>72407.734422425507</v>
      </c>
      <c r="AC2" s="1">
        <v>102400.0000428515</v>
      </c>
    </row>
    <row r="3" spans="1:68" x14ac:dyDescent="0.25">
      <c r="A3" t="s">
        <v>68</v>
      </c>
      <c r="E3" s="3">
        <v>0.148698355</v>
      </c>
      <c r="G3" s="1">
        <v>50</v>
      </c>
      <c r="H3" s="1">
        <v>57.434917749999997</v>
      </c>
      <c r="I3" s="1">
        <v>65.975395539000004</v>
      </c>
      <c r="J3" s="1">
        <v>75.785828326100003</v>
      </c>
      <c r="K3" s="1">
        <v>87.055056330499994</v>
      </c>
      <c r="L3" s="1">
        <v>100.00000000129999</v>
      </c>
      <c r="M3" s="1">
        <v>114.86983550150001</v>
      </c>
      <c r="N3" s="1">
        <v>131.9507910797</v>
      </c>
      <c r="O3" s="1">
        <v>151.57165665420001</v>
      </c>
      <c r="P3" s="1">
        <v>174.11011266329999</v>
      </c>
      <c r="Q3" s="1">
        <v>200.00000000520001</v>
      </c>
      <c r="R3" s="1">
        <v>229.73967100600001</v>
      </c>
      <c r="S3" s="1">
        <v>263.90158216280003</v>
      </c>
      <c r="T3" s="1">
        <v>303.14331331229999</v>
      </c>
      <c r="U3" s="1">
        <v>348.22022533109998</v>
      </c>
      <c r="V3" s="1">
        <v>400.00000001559999</v>
      </c>
      <c r="W3" s="1">
        <v>459.47934201790002</v>
      </c>
      <c r="X3" s="1">
        <v>527.8031643324</v>
      </c>
      <c r="Y3" s="1">
        <v>606.28662663240004</v>
      </c>
      <c r="Z3" s="1">
        <v>696.44045067110005</v>
      </c>
      <c r="AA3" s="1">
        <v>800.00000004139997</v>
      </c>
      <c r="AB3" s="1">
        <v>918.95868404759995</v>
      </c>
      <c r="AC3" s="1">
        <v>1055.6063286783999</v>
      </c>
      <c r="AD3" s="1">
        <v>1212.5732532805</v>
      </c>
      <c r="AE3" s="1">
        <v>1392.8809013603</v>
      </c>
      <c r="AF3" s="1">
        <v>1600.0000001035</v>
      </c>
      <c r="AG3" s="1">
        <v>1837.9173681189</v>
      </c>
      <c r="AH3" s="1">
        <v>2111.2126573841001</v>
      </c>
      <c r="AI3" s="1">
        <v>2425.1465065922998</v>
      </c>
      <c r="AJ3" s="1">
        <v>2785.7618027566</v>
      </c>
      <c r="AK3" s="1">
        <v>3200.0000002482998</v>
      </c>
      <c r="AL3" s="1">
        <v>3675.8347362852001</v>
      </c>
      <c r="AM3" s="1">
        <v>4222.4253148226999</v>
      </c>
      <c r="AN3" s="1">
        <v>4850.2930132472002</v>
      </c>
      <c r="AO3" s="1">
        <v>5571.5236055851001</v>
      </c>
      <c r="AP3" s="1">
        <v>6400.0000005792999</v>
      </c>
      <c r="AQ3" s="1">
        <v>7351.6694726653996</v>
      </c>
      <c r="AR3" s="1">
        <v>8444.8506297544991</v>
      </c>
      <c r="AS3" s="1">
        <v>9700.5860266196996</v>
      </c>
      <c r="AT3" s="1">
        <v>11143.047211314</v>
      </c>
      <c r="AU3" s="1">
        <v>12800.0000013237</v>
      </c>
      <c r="AV3" s="1">
        <v>14703.3389455205</v>
      </c>
      <c r="AW3" s="1">
        <v>16889.7012597268</v>
      </c>
      <c r="AX3" s="1">
        <v>19401.172053489601</v>
      </c>
      <c r="AY3" s="1">
        <v>22286.094422915499</v>
      </c>
      <c r="AZ3" s="1">
        <v>25600.0000029777</v>
      </c>
      <c r="BA3" s="1">
        <v>29406.677891420499</v>
      </c>
      <c r="BB3" s="1">
        <v>33779.402519889598</v>
      </c>
      <c r="BC3" s="1">
        <v>38802.344107479999</v>
      </c>
      <c r="BD3" s="1">
        <v>44572.188846406199</v>
      </c>
      <c r="BE3" s="1">
        <v>51200.000006616203</v>
      </c>
      <c r="BF3" s="1">
        <v>58813.355783600004</v>
      </c>
      <c r="BG3" s="1">
        <v>67558.805040651103</v>
      </c>
      <c r="BH3" s="1">
        <v>77604.688215961607</v>
      </c>
      <c r="BI3" s="1">
        <v>89144.377693963004</v>
      </c>
      <c r="BJ3" s="1">
        <v>102400.000014554</v>
      </c>
    </row>
    <row r="4" spans="1:68" x14ac:dyDescent="0.25">
      <c r="A4" t="s">
        <v>67</v>
      </c>
      <c r="E4" s="3">
        <v>7.1773462499999996E-2</v>
      </c>
      <c r="G4" s="1">
        <v>50</v>
      </c>
      <c r="H4" s="1">
        <v>53.588673125</v>
      </c>
      <c r="I4" s="1">
        <v>57.434917746000004</v>
      </c>
      <c r="J4" s="1">
        <v>61.557220661000002</v>
      </c>
      <c r="K4" s="1">
        <v>65.975395529699995</v>
      </c>
      <c r="L4" s="1">
        <v>70.710678106700001</v>
      </c>
      <c r="M4" s="1">
        <v>75.785828310100001</v>
      </c>
      <c r="N4" s="1">
        <v>81.225239616300001</v>
      </c>
      <c r="O4" s="1">
        <v>87.055056305999997</v>
      </c>
      <c r="P4" s="1">
        <v>93.303299125199999</v>
      </c>
      <c r="Q4" s="1">
        <v>99.999999966100006</v>
      </c>
      <c r="R4" s="1">
        <v>107.17734621370001</v>
      </c>
      <c r="S4" s="1">
        <v>114.86983545299999</v>
      </c>
      <c r="T4" s="1">
        <v>123.1144412803</v>
      </c>
      <c r="U4" s="1">
        <v>131.9507910147</v>
      </c>
      <c r="V4" s="1">
        <v>141.4213561654</v>
      </c>
      <c r="W4" s="1">
        <v>151.57165656879999</v>
      </c>
      <c r="X4" s="1">
        <v>162.45047917759999</v>
      </c>
      <c r="Y4" s="1">
        <v>174.11011255299999</v>
      </c>
      <c r="Z4" s="1">
        <v>186.60659818720001</v>
      </c>
      <c r="AA4" s="1">
        <v>199.9999998644</v>
      </c>
      <c r="AB4" s="1">
        <v>214.35469235470001</v>
      </c>
      <c r="AC4" s="1">
        <v>229.7396708281</v>
      </c>
      <c r="AD4" s="1">
        <v>246.22888247700001</v>
      </c>
      <c r="AE4" s="1">
        <v>263.90158193989998</v>
      </c>
      <c r="AF4" s="1">
        <v>282.84271223500002</v>
      </c>
      <c r="AG4" s="1">
        <v>303.14331303500001</v>
      </c>
      <c r="AH4" s="1">
        <v>324.9009582452</v>
      </c>
      <c r="AI4" s="1">
        <v>348.22022498799998</v>
      </c>
      <c r="AJ4" s="1">
        <v>373.21319624789999</v>
      </c>
      <c r="AK4" s="1">
        <v>399.9999995933</v>
      </c>
      <c r="AL4" s="1">
        <v>428.70938456409999</v>
      </c>
      <c r="AM4" s="1">
        <v>459.47934150050003</v>
      </c>
      <c r="AN4" s="1">
        <v>492.45776478720001</v>
      </c>
      <c r="AO4" s="1">
        <v>527.80316370100002</v>
      </c>
      <c r="AP4" s="1">
        <v>565.68542427830005</v>
      </c>
      <c r="AQ4" s="1">
        <v>606.28662586450002</v>
      </c>
      <c r="AR4" s="1">
        <v>649.80191627019997</v>
      </c>
      <c r="AS4" s="1">
        <v>696.44044973999996</v>
      </c>
      <c r="AT4" s="1">
        <v>746.42639224289996</v>
      </c>
      <c r="AU4" s="1">
        <v>799.99999891560003</v>
      </c>
      <c r="AV4" s="1">
        <v>857.41876883780003</v>
      </c>
      <c r="AW4" s="1">
        <v>918.95868268979996</v>
      </c>
      <c r="AX4" s="1">
        <v>984.91552924090001</v>
      </c>
      <c r="AY4" s="1">
        <v>1055.6063270444999</v>
      </c>
      <c r="AZ4" s="1">
        <v>1131.3708481734</v>
      </c>
      <c r="BA4" s="1">
        <v>1212.5732513184</v>
      </c>
      <c r="BB4" s="1">
        <v>1299.6038321004</v>
      </c>
      <c r="BC4" s="1">
        <v>1392.8808990084999</v>
      </c>
      <c r="BD4" s="1">
        <v>1492.8527839804999</v>
      </c>
      <c r="BE4" s="1">
        <v>1599.9999972895</v>
      </c>
      <c r="BF4" s="1">
        <v>1714.837537095</v>
      </c>
      <c r="BG4" s="1">
        <v>1837.9173647573</v>
      </c>
      <c r="BH4" s="1">
        <v>1969.8310578148</v>
      </c>
      <c r="BI4" s="1">
        <v>2111.2126533741998</v>
      </c>
      <c r="BJ4" s="1">
        <v>2262.7416955806998</v>
      </c>
      <c r="BK4" s="1">
        <v>2425.1465018156</v>
      </c>
      <c r="BL4" s="1">
        <v>2599.2076633206998</v>
      </c>
      <c r="BM4" s="1">
        <v>2785.7617970738002</v>
      </c>
      <c r="BN4" s="1">
        <v>2985.70556695</v>
      </c>
      <c r="BO4" s="1">
        <v>3199.9999934954999</v>
      </c>
      <c r="BP4" s="1">
        <v>3429.6750730285999</v>
      </c>
    </row>
    <row r="5" spans="1:68" x14ac:dyDescent="0.25">
      <c r="A5" t="s">
        <v>0</v>
      </c>
      <c r="B5" s="1">
        <v>8654622</v>
      </c>
      <c r="C5">
        <v>8795</v>
      </c>
      <c r="D5" s="2">
        <v>101.62200036</v>
      </c>
      <c r="E5" s="3">
        <v>0.28766351610000002</v>
      </c>
      <c r="G5" s="1">
        <v>56</v>
      </c>
      <c r="H5" s="1">
        <v>90</v>
      </c>
      <c r="I5" s="1">
        <v>114</v>
      </c>
      <c r="J5" s="1">
        <v>214</v>
      </c>
      <c r="K5" s="1">
        <v>268</v>
      </c>
      <c r="L5" s="1">
        <v>337</v>
      </c>
      <c r="M5" s="1">
        <v>374</v>
      </c>
      <c r="N5" s="1">
        <v>491</v>
      </c>
      <c r="O5" s="1">
        <v>652</v>
      </c>
      <c r="P5" s="1">
        <v>652</v>
      </c>
      <c r="Q5" s="1">
        <v>1139</v>
      </c>
      <c r="R5" s="1">
        <v>1359</v>
      </c>
      <c r="S5" s="1">
        <v>2200</v>
      </c>
      <c r="T5" s="1">
        <v>2200</v>
      </c>
      <c r="U5" s="1">
        <v>2700</v>
      </c>
      <c r="V5" s="1">
        <v>3028</v>
      </c>
      <c r="W5" s="1">
        <v>4075</v>
      </c>
      <c r="X5" s="1">
        <v>5294</v>
      </c>
      <c r="Y5" s="1">
        <v>6575</v>
      </c>
      <c r="Z5" s="1">
        <v>7474</v>
      </c>
      <c r="AA5" s="1">
        <v>8795</v>
      </c>
    </row>
    <row r="6" spans="1:68" x14ac:dyDescent="0.25">
      <c r="A6" t="s">
        <v>185</v>
      </c>
      <c r="B6" s="1">
        <v>16145</v>
      </c>
      <c r="C6">
        <v>0</v>
      </c>
      <c r="D6" s="2">
        <v>0</v>
      </c>
      <c r="E6" s="3">
        <v>0</v>
      </c>
    </row>
    <row r="7" spans="1:68" x14ac:dyDescent="0.25">
      <c r="A7" t="s">
        <v>184</v>
      </c>
      <c r="B7" s="1">
        <v>55234</v>
      </c>
      <c r="C7">
        <v>0</v>
      </c>
      <c r="D7" s="2">
        <v>0</v>
      </c>
      <c r="E7" s="3">
        <v>0</v>
      </c>
    </row>
    <row r="8" spans="1:68" x14ac:dyDescent="0.25">
      <c r="A8" t="s">
        <v>183</v>
      </c>
      <c r="B8" s="1">
        <v>677387</v>
      </c>
      <c r="C8">
        <v>241</v>
      </c>
      <c r="D8" s="2">
        <v>35.577889743999997</v>
      </c>
      <c r="E8" s="3">
        <v>0.24492966050000001</v>
      </c>
      <c r="G8" s="1">
        <v>52</v>
      </c>
      <c r="H8" s="1">
        <v>67</v>
      </c>
      <c r="I8" s="1">
        <v>101</v>
      </c>
      <c r="J8" s="1">
        <v>118</v>
      </c>
      <c r="K8" s="1">
        <v>168</v>
      </c>
      <c r="L8" s="1">
        <v>168</v>
      </c>
      <c r="M8" s="1">
        <v>232</v>
      </c>
      <c r="N8" s="1">
        <v>241</v>
      </c>
    </row>
    <row r="9" spans="1:68" x14ac:dyDescent="0.25">
      <c r="A9" t="s">
        <v>182</v>
      </c>
      <c r="B9" s="1">
        <v>194766</v>
      </c>
      <c r="C9">
        <v>376</v>
      </c>
      <c r="D9" s="2">
        <v>193.05217543099999</v>
      </c>
      <c r="E9" s="3">
        <v>0.16068667489999999</v>
      </c>
      <c r="G9" s="1">
        <v>73</v>
      </c>
      <c r="H9" s="1">
        <v>92</v>
      </c>
      <c r="I9" s="1">
        <v>100</v>
      </c>
      <c r="J9" s="1">
        <v>100</v>
      </c>
      <c r="K9" s="1">
        <v>144</v>
      </c>
      <c r="L9" s="1">
        <v>165</v>
      </c>
      <c r="M9" s="1">
        <v>182</v>
      </c>
      <c r="N9" s="1">
        <v>222</v>
      </c>
      <c r="O9" s="1">
        <v>272</v>
      </c>
      <c r="P9" s="1">
        <v>299</v>
      </c>
      <c r="Q9" s="1">
        <v>358</v>
      </c>
      <c r="R9" s="1">
        <v>376</v>
      </c>
    </row>
    <row r="10" spans="1:68" x14ac:dyDescent="0.25">
      <c r="A10" t="s">
        <v>181</v>
      </c>
      <c r="B10" s="1">
        <v>288132</v>
      </c>
      <c r="C10">
        <v>302</v>
      </c>
      <c r="D10" s="2">
        <v>104.8130717865</v>
      </c>
      <c r="E10" s="3">
        <v>0.24008555270000001</v>
      </c>
      <c r="G10" s="1">
        <v>54</v>
      </c>
      <c r="H10" s="1">
        <v>76</v>
      </c>
      <c r="I10" s="1">
        <v>89</v>
      </c>
      <c r="J10" s="1">
        <v>116</v>
      </c>
      <c r="K10" s="1">
        <v>134</v>
      </c>
      <c r="L10" s="1">
        <v>184</v>
      </c>
      <c r="M10" s="1">
        <v>282</v>
      </c>
      <c r="N10" s="1">
        <v>289</v>
      </c>
      <c r="O10" s="1">
        <v>302</v>
      </c>
    </row>
    <row r="11" spans="1:68" x14ac:dyDescent="0.25">
      <c r="A11" t="s">
        <v>180</v>
      </c>
      <c r="B11" s="1">
        <v>1034977</v>
      </c>
      <c r="C11">
        <v>470</v>
      </c>
      <c r="D11" s="2">
        <v>45.411637166799999</v>
      </c>
      <c r="E11" s="3">
        <v>0.21107319629999999</v>
      </c>
      <c r="G11" s="1">
        <v>123</v>
      </c>
      <c r="H11" s="1">
        <v>123</v>
      </c>
      <c r="I11" s="1">
        <v>193</v>
      </c>
      <c r="J11" s="1">
        <v>282</v>
      </c>
      <c r="K11" s="1">
        <v>377</v>
      </c>
      <c r="L11" s="1">
        <v>418</v>
      </c>
      <c r="M11" s="1">
        <v>418</v>
      </c>
      <c r="N11" s="1">
        <v>470</v>
      </c>
    </row>
    <row r="12" spans="1:68" x14ac:dyDescent="0.25">
      <c r="A12" t="s">
        <v>179</v>
      </c>
      <c r="B12" s="1">
        <v>318714</v>
      </c>
      <c r="C12">
        <v>0</v>
      </c>
      <c r="D12" s="2">
        <v>0</v>
      </c>
      <c r="E12" s="3">
        <v>0</v>
      </c>
    </row>
    <row r="13" spans="1:68" x14ac:dyDescent="0.25">
      <c r="A13" t="s">
        <v>178</v>
      </c>
      <c r="B13" s="1">
        <v>499480</v>
      </c>
      <c r="C13">
        <v>1509</v>
      </c>
      <c r="D13" s="2">
        <v>302.11419876669999</v>
      </c>
      <c r="E13" s="3">
        <v>0.28320242420000002</v>
      </c>
      <c r="G13" s="1">
        <v>59</v>
      </c>
      <c r="H13" s="1">
        <v>66</v>
      </c>
      <c r="I13" s="1">
        <v>80</v>
      </c>
      <c r="J13" s="1">
        <v>104</v>
      </c>
      <c r="K13" s="1">
        <v>196</v>
      </c>
      <c r="L13" s="1">
        <v>281</v>
      </c>
      <c r="M13" s="1">
        <v>373</v>
      </c>
      <c r="N13" s="1">
        <v>495</v>
      </c>
      <c r="O13" s="1">
        <v>629</v>
      </c>
      <c r="P13" s="1">
        <v>826</v>
      </c>
      <c r="Q13" s="1">
        <v>994</v>
      </c>
      <c r="R13" s="1">
        <v>1128</v>
      </c>
      <c r="S13" s="1">
        <v>1203</v>
      </c>
      <c r="T13" s="1">
        <v>1509</v>
      </c>
    </row>
    <row r="14" spans="1:68" x14ac:dyDescent="0.25">
      <c r="A14" t="s">
        <v>177</v>
      </c>
      <c r="B14" s="1">
        <v>40403</v>
      </c>
      <c r="C14">
        <v>0</v>
      </c>
      <c r="D14" s="2">
        <v>0</v>
      </c>
      <c r="E14" s="3">
        <v>0</v>
      </c>
    </row>
    <row r="15" spans="1:68" x14ac:dyDescent="0.25">
      <c r="A15" t="s">
        <v>176</v>
      </c>
      <c r="B15" s="1">
        <v>198379</v>
      </c>
      <c r="C15">
        <v>266</v>
      </c>
      <c r="D15" s="2">
        <v>134.08677329759999</v>
      </c>
      <c r="E15" s="3">
        <v>0.18055093489999999</v>
      </c>
      <c r="G15" s="1">
        <v>116</v>
      </c>
      <c r="H15" s="1">
        <v>145</v>
      </c>
      <c r="I15" s="1">
        <v>213</v>
      </c>
      <c r="J15" s="1">
        <v>239</v>
      </c>
      <c r="K15" s="1">
        <v>266</v>
      </c>
      <c r="L15" s="1">
        <v>266</v>
      </c>
    </row>
    <row r="16" spans="1:68" x14ac:dyDescent="0.25">
      <c r="A16" t="s">
        <v>175</v>
      </c>
      <c r="B16" s="1">
        <v>73419</v>
      </c>
      <c r="C16">
        <v>57</v>
      </c>
      <c r="D16" s="2">
        <v>77.636579087200005</v>
      </c>
      <c r="E16" s="3">
        <v>0.1176470588</v>
      </c>
      <c r="G16" s="1">
        <v>51</v>
      </c>
      <c r="H16" s="1">
        <v>57</v>
      </c>
    </row>
    <row r="17" spans="1:21" x14ac:dyDescent="0.25">
      <c r="A17" t="s">
        <v>174</v>
      </c>
      <c r="B17" s="1">
        <v>409557</v>
      </c>
      <c r="C17">
        <v>156</v>
      </c>
      <c r="D17" s="2">
        <v>38.0899361994</v>
      </c>
      <c r="E17" s="3">
        <v>0.19135789819999999</v>
      </c>
      <c r="G17" s="1">
        <v>65</v>
      </c>
      <c r="H17" s="1">
        <v>65</v>
      </c>
      <c r="I17" s="1">
        <v>92</v>
      </c>
      <c r="J17" s="1">
        <v>109</v>
      </c>
      <c r="K17" s="1">
        <v>131</v>
      </c>
      <c r="L17" s="1">
        <v>156</v>
      </c>
    </row>
    <row r="18" spans="1:21" x14ac:dyDescent="0.25">
      <c r="A18" t="s">
        <v>173</v>
      </c>
      <c r="B18" s="1">
        <v>176850</v>
      </c>
      <c r="C18">
        <v>204</v>
      </c>
      <c r="D18" s="2">
        <v>115.3519932146</v>
      </c>
      <c r="E18" s="3">
        <v>8.6619966899999998E-2</v>
      </c>
      <c r="G18" s="1">
        <v>159</v>
      </c>
      <c r="H18" s="1">
        <v>177</v>
      </c>
      <c r="I18" s="1">
        <v>188</v>
      </c>
      <c r="J18" s="1">
        <v>204</v>
      </c>
    </row>
    <row r="19" spans="1:21" x14ac:dyDescent="0.25">
      <c r="A19" t="s">
        <v>172</v>
      </c>
      <c r="B19" s="1">
        <v>43223</v>
      </c>
      <c r="C19">
        <v>0</v>
      </c>
      <c r="D19" s="2">
        <v>0</v>
      </c>
      <c r="E19" s="3">
        <v>0</v>
      </c>
    </row>
    <row r="20" spans="1:21" x14ac:dyDescent="0.25">
      <c r="A20" t="s">
        <v>171</v>
      </c>
      <c r="B20" s="1">
        <v>37841</v>
      </c>
      <c r="C20">
        <v>0</v>
      </c>
      <c r="D20" s="2">
        <v>0</v>
      </c>
      <c r="E20" s="3">
        <v>0</v>
      </c>
    </row>
    <row r="21" spans="1:21" x14ac:dyDescent="0.25">
      <c r="A21" t="s">
        <v>170</v>
      </c>
      <c r="B21" s="1">
        <v>81991</v>
      </c>
      <c r="C21">
        <v>0</v>
      </c>
      <c r="D21" s="2">
        <v>0</v>
      </c>
      <c r="E21" s="3">
        <v>0</v>
      </c>
    </row>
    <row r="22" spans="1:21" x14ac:dyDescent="0.25">
      <c r="A22" t="s">
        <v>169</v>
      </c>
      <c r="B22" s="1">
        <v>159165</v>
      </c>
      <c r="C22">
        <v>0</v>
      </c>
      <c r="D22" s="2">
        <v>0</v>
      </c>
      <c r="E22" s="3">
        <v>0</v>
      </c>
    </row>
    <row r="23" spans="1:21" x14ac:dyDescent="0.25">
      <c r="A23" t="s">
        <v>168</v>
      </c>
      <c r="B23" s="1">
        <v>273194</v>
      </c>
      <c r="C23">
        <v>95</v>
      </c>
      <c r="D23" s="2">
        <v>34.773823729699998</v>
      </c>
      <c r="E23" s="3">
        <v>0.1290847889</v>
      </c>
      <c r="G23" s="1">
        <v>66</v>
      </c>
      <c r="H23" s="1">
        <v>66</v>
      </c>
      <c r="I23" s="1">
        <v>66</v>
      </c>
      <c r="J23" s="1">
        <v>95</v>
      </c>
    </row>
    <row r="24" spans="1:21" x14ac:dyDescent="0.25">
      <c r="A24" t="s">
        <v>167</v>
      </c>
      <c r="B24" s="1">
        <v>507697</v>
      </c>
      <c r="C24">
        <v>200</v>
      </c>
      <c r="D24" s="2">
        <v>39.393575301799999</v>
      </c>
      <c r="E24" s="3">
        <v>0.26806066820000002</v>
      </c>
      <c r="G24" s="1">
        <v>61</v>
      </c>
      <c r="H24" s="1">
        <v>85</v>
      </c>
      <c r="I24" s="1">
        <v>98</v>
      </c>
      <c r="J24" s="1">
        <v>98</v>
      </c>
      <c r="K24" s="1">
        <v>98</v>
      </c>
      <c r="L24" s="1">
        <v>200</v>
      </c>
    </row>
    <row r="25" spans="1:21" x14ac:dyDescent="0.25">
      <c r="A25" t="s">
        <v>166</v>
      </c>
      <c r="B25" s="1">
        <v>276472</v>
      </c>
      <c r="C25">
        <v>81</v>
      </c>
      <c r="D25" s="2">
        <v>29.297722735000001</v>
      </c>
      <c r="E25" s="3">
        <v>0.20267558860000001</v>
      </c>
      <c r="G25" s="1">
        <v>56</v>
      </c>
      <c r="H25" s="1">
        <v>75</v>
      </c>
      <c r="I25" s="1">
        <v>81</v>
      </c>
    </row>
    <row r="26" spans="1:21" x14ac:dyDescent="0.25">
      <c r="A26" t="s">
        <v>165</v>
      </c>
      <c r="B26" s="1">
        <v>353343</v>
      </c>
      <c r="C26">
        <v>1165</v>
      </c>
      <c r="D26" s="2">
        <v>329.70796081989999</v>
      </c>
      <c r="E26" s="3">
        <v>0.18503759680000001</v>
      </c>
      <c r="G26" s="1">
        <v>180</v>
      </c>
      <c r="H26" s="1">
        <v>258</v>
      </c>
      <c r="I26" s="1">
        <v>265</v>
      </c>
      <c r="J26" s="1">
        <v>291</v>
      </c>
      <c r="K26" s="1">
        <v>330</v>
      </c>
      <c r="L26" s="1">
        <v>422</v>
      </c>
      <c r="M26" s="1">
        <v>511</v>
      </c>
      <c r="N26" s="1">
        <v>638</v>
      </c>
      <c r="O26" s="1">
        <v>834</v>
      </c>
      <c r="P26" s="1">
        <v>918</v>
      </c>
      <c r="Q26" s="1">
        <v>939</v>
      </c>
      <c r="R26" s="1">
        <v>1165</v>
      </c>
    </row>
    <row r="27" spans="1:21" x14ac:dyDescent="0.25">
      <c r="A27" t="s">
        <v>164</v>
      </c>
      <c r="B27" s="1">
        <v>36433</v>
      </c>
      <c r="C27">
        <v>0</v>
      </c>
      <c r="D27" s="2">
        <v>0</v>
      </c>
      <c r="E27" s="3">
        <v>0</v>
      </c>
    </row>
    <row r="28" spans="1:21" x14ac:dyDescent="0.25">
      <c r="A28" t="s">
        <v>163</v>
      </c>
      <c r="B28" s="1">
        <v>343955</v>
      </c>
      <c r="C28">
        <v>492</v>
      </c>
      <c r="D28" s="2">
        <v>143.04196769929999</v>
      </c>
      <c r="E28" s="3">
        <v>0.3153467304</v>
      </c>
      <c r="G28" s="1">
        <v>95</v>
      </c>
      <c r="H28" s="1">
        <v>95</v>
      </c>
      <c r="I28" s="1">
        <v>232</v>
      </c>
      <c r="J28" s="1">
        <v>282</v>
      </c>
      <c r="K28" s="1">
        <v>359</v>
      </c>
      <c r="L28" s="1">
        <v>432</v>
      </c>
      <c r="M28" s="1">
        <v>492</v>
      </c>
    </row>
    <row r="29" spans="1:21" x14ac:dyDescent="0.25">
      <c r="A29" t="s">
        <v>162</v>
      </c>
      <c r="B29" s="1">
        <v>799145</v>
      </c>
      <c r="C29">
        <v>2162</v>
      </c>
      <c r="D29" s="2">
        <v>270.53913870449998</v>
      </c>
      <c r="E29" s="3">
        <v>0.3068768939</v>
      </c>
      <c r="G29" s="1">
        <v>51</v>
      </c>
      <c r="H29" s="1">
        <v>77</v>
      </c>
      <c r="I29" s="1">
        <v>108</v>
      </c>
      <c r="J29" s="1">
        <v>156</v>
      </c>
      <c r="K29" s="1">
        <v>204</v>
      </c>
      <c r="L29" s="1">
        <v>350</v>
      </c>
      <c r="M29" s="1">
        <v>406</v>
      </c>
      <c r="N29" s="1">
        <v>508</v>
      </c>
      <c r="O29" s="1">
        <v>608</v>
      </c>
      <c r="P29" s="1">
        <v>796</v>
      </c>
      <c r="Q29" s="1">
        <v>1212</v>
      </c>
      <c r="R29" s="1">
        <v>1432</v>
      </c>
      <c r="S29" s="1">
        <v>1676</v>
      </c>
      <c r="T29" s="1">
        <v>1782</v>
      </c>
      <c r="U29" s="1">
        <v>2162</v>
      </c>
    </row>
    <row r="30" spans="1:21" x14ac:dyDescent="0.25">
      <c r="A30" t="s">
        <v>161</v>
      </c>
      <c r="B30" s="1">
        <v>126837</v>
      </c>
      <c r="C30">
        <v>62</v>
      </c>
      <c r="D30" s="2">
        <v>48.881635484900002</v>
      </c>
      <c r="E30" s="3">
        <v>0</v>
      </c>
      <c r="G30" s="1">
        <v>62</v>
      </c>
    </row>
    <row r="31" spans="1:21" x14ac:dyDescent="0.25">
      <c r="A31" t="s">
        <v>160</v>
      </c>
      <c r="B31" s="1">
        <v>1520968</v>
      </c>
      <c r="C31">
        <v>1068</v>
      </c>
      <c r="D31" s="2">
        <v>70.218439835699996</v>
      </c>
      <c r="E31" s="3">
        <v>0.27294587110000001</v>
      </c>
      <c r="G31" s="1">
        <v>59</v>
      </c>
      <c r="H31" s="1">
        <v>92</v>
      </c>
      <c r="I31" s="1">
        <v>140</v>
      </c>
      <c r="J31" s="1">
        <v>140</v>
      </c>
      <c r="K31" s="1">
        <v>140</v>
      </c>
      <c r="L31" s="1">
        <v>270</v>
      </c>
      <c r="M31" s="1">
        <v>294</v>
      </c>
      <c r="N31" s="1">
        <v>424</v>
      </c>
      <c r="O31" s="1">
        <v>526</v>
      </c>
      <c r="P31" s="1">
        <v>773</v>
      </c>
      <c r="Q31" s="1">
        <v>773</v>
      </c>
      <c r="R31" s="1">
        <v>773</v>
      </c>
      <c r="S31" s="1">
        <v>1068</v>
      </c>
    </row>
  </sheetData>
  <autoFilter ref="A1:BP31" xr:uid="{BC59A91D-7C48-4DFE-ACD5-691D92CF729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EC3C-4692-43B7-A70C-570BA165F631}">
  <dimension ref="A1:B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3"/>
  </cols>
  <sheetData>
    <row r="1" spans="1:6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131</v>
      </c>
    </row>
    <row r="2" spans="1:69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AU2" s="3">
        <v>0.71743303820000004</v>
      </c>
      <c r="AV2" s="3">
        <v>0.64670298559999995</v>
      </c>
      <c r="AW2" s="3">
        <v>0.53345039969999997</v>
      </c>
      <c r="AX2" s="3">
        <v>0.48824478560000001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0.21673258179999999</v>
      </c>
      <c r="BF2" s="3">
        <v>0.25685504809999998</v>
      </c>
      <c r="BG2" s="3">
        <v>0.2723351389</v>
      </c>
      <c r="BH2" s="3">
        <v>0.32657515079999999</v>
      </c>
      <c r="BI2" s="3">
        <v>0.33835293729999999</v>
      </c>
      <c r="BJ2" s="3">
        <v>0.30567088650000002</v>
      </c>
      <c r="BK2" s="3">
        <v>0.25954379259999999</v>
      </c>
      <c r="BL2" s="3">
        <v>0.20188107720000001</v>
      </c>
      <c r="BM2" s="3">
        <v>0.2112739595</v>
      </c>
      <c r="BN2" s="3">
        <v>0.22415027430000001</v>
      </c>
      <c r="BO2" s="3">
        <v>0.2497986395</v>
      </c>
      <c r="BP2" s="3">
        <v>0.23552997780000001</v>
      </c>
      <c r="BQ2" s="3">
        <v>0.17674605299999999</v>
      </c>
    </row>
    <row r="3" spans="1:69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BM3" s="3">
        <v>0.20736820140000001</v>
      </c>
      <c r="BN3" s="3">
        <v>0.13101914140000001</v>
      </c>
      <c r="BO3" s="3">
        <v>6.4844316799999996E-2</v>
      </c>
      <c r="BP3" s="3">
        <v>2.9883572000000001E-2</v>
      </c>
    </row>
    <row r="4" spans="1:69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BD4" s="3">
        <v>0.18920711500000001</v>
      </c>
      <c r="BE4" s="3">
        <v>0.31607401299999999</v>
      </c>
      <c r="BF4" s="3">
        <v>0.31607401299999999</v>
      </c>
      <c r="BG4" s="3">
        <v>0.31607401299999999</v>
      </c>
      <c r="BH4" s="3">
        <v>0.25743342969999999</v>
      </c>
      <c r="BI4" s="3">
        <v>0.13621936649999999</v>
      </c>
      <c r="BJ4" s="3">
        <v>5.7371263399999997E-2</v>
      </c>
      <c r="BK4" s="3">
        <v>8.7757305899999999E-2</v>
      </c>
      <c r="BL4" s="3">
        <v>0.1582921853</v>
      </c>
      <c r="BM4" s="3">
        <v>0.2178832856</v>
      </c>
      <c r="BN4" s="3">
        <v>0.2178832856</v>
      </c>
      <c r="BO4" s="3">
        <v>0.11962776899999999</v>
      </c>
      <c r="BP4" s="3">
        <v>0.17803961430000001</v>
      </c>
    </row>
    <row r="5" spans="1:69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AX5" s="3">
        <v>0.64560408410000003</v>
      </c>
      <c r="AY5" s="3">
        <v>0.62657656169999998</v>
      </c>
      <c r="AZ5" s="3">
        <v>0.38378257519999998</v>
      </c>
      <c r="BA5" s="3">
        <v>0.24466595460000001</v>
      </c>
      <c r="BB5" s="3">
        <v>0.1464106949</v>
      </c>
      <c r="BC5" s="3">
        <v>0.1132112998</v>
      </c>
      <c r="BD5" s="3">
        <v>0.1038766198</v>
      </c>
      <c r="BE5" s="3">
        <v>0.14557175489999999</v>
      </c>
      <c r="BF5" s="3">
        <v>0.19309982540000001</v>
      </c>
      <c r="BG5" s="3">
        <v>0.20612754050000001</v>
      </c>
      <c r="BH5" s="3">
        <v>0.18309273700000001</v>
      </c>
      <c r="BI5" s="3">
        <v>0.16954402599999999</v>
      </c>
      <c r="BJ5" s="3">
        <v>0.18337272590000001</v>
      </c>
      <c r="BK5" s="3">
        <v>0.2469393265</v>
      </c>
      <c r="BL5" s="3">
        <v>0.31378318789999998</v>
      </c>
      <c r="BM5" s="3">
        <v>0.35149126759999999</v>
      </c>
      <c r="BN5" s="3">
        <v>0.3167997226</v>
      </c>
      <c r="BO5" s="3">
        <v>0.26759761599999998</v>
      </c>
      <c r="BP5" s="3">
        <v>0.2235535998</v>
      </c>
      <c r="BQ5" s="3">
        <v>3.8793103400000001E-2</v>
      </c>
    </row>
    <row r="6" spans="1:69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AZ6" s="3">
        <v>0.58339277570000003</v>
      </c>
      <c r="BA6" s="3">
        <v>0.6068568379</v>
      </c>
      <c r="BB6" s="3">
        <v>0.51111913890000005</v>
      </c>
      <c r="BC6" s="3">
        <v>0.3446566204</v>
      </c>
      <c r="BD6" s="3">
        <v>0.22164029669999999</v>
      </c>
      <c r="BE6" s="3">
        <v>0.24249942599999999</v>
      </c>
      <c r="BF6" s="3">
        <v>0.28975472429999999</v>
      </c>
      <c r="BG6" s="3">
        <v>0.32879118089999998</v>
      </c>
      <c r="BH6" s="3">
        <v>0.31383005930000002</v>
      </c>
      <c r="BI6" s="3">
        <v>0.2453906512</v>
      </c>
      <c r="BJ6" s="3">
        <v>0.1928696379</v>
      </c>
      <c r="BK6" s="3">
        <v>0.16669921200000001</v>
      </c>
      <c r="BL6" s="3">
        <v>0.1814962668</v>
      </c>
      <c r="BM6" s="3">
        <v>0.1839873528</v>
      </c>
      <c r="BN6" s="3">
        <v>0.18001484200000001</v>
      </c>
      <c r="BO6" s="3">
        <v>0.17282591990000001</v>
      </c>
      <c r="BP6" s="3">
        <v>0.16077224109999999</v>
      </c>
      <c r="BQ6" s="3">
        <v>5.0279329599999999E-2</v>
      </c>
    </row>
    <row r="7" spans="1:69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AX7" s="3">
        <v>0.18920711500000001</v>
      </c>
      <c r="AY7" s="3">
        <v>0.23593091699999999</v>
      </c>
      <c r="AZ7" s="3">
        <v>0.4564753151</v>
      </c>
      <c r="BA7" s="3">
        <v>0.6068568379</v>
      </c>
      <c r="BB7" s="3">
        <v>0.52439824450000005</v>
      </c>
      <c r="BC7" s="3">
        <v>0.44477577080000003</v>
      </c>
      <c r="BD7" s="3">
        <v>0.25975556960000001</v>
      </c>
      <c r="BE7" s="3">
        <v>0.16625342479999999</v>
      </c>
      <c r="BF7" s="3">
        <v>0.14863890890000001</v>
      </c>
      <c r="BG7" s="3">
        <v>0.17176899209999999</v>
      </c>
      <c r="BH7" s="3">
        <v>0.2042226214</v>
      </c>
      <c r="BI7" s="3">
        <v>0.24361338199999999</v>
      </c>
      <c r="BJ7" s="3">
        <v>0.23546107059999999</v>
      </c>
      <c r="BK7" s="3">
        <v>0.25026513299999997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4.4982699000000001E-2</v>
      </c>
    </row>
    <row r="8" spans="1:69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BO8" s="3">
        <v>0.28928541619999998</v>
      </c>
      <c r="BP8" s="3">
        <v>0.215655441</v>
      </c>
      <c r="BQ8" s="3">
        <v>0.12440191389999999</v>
      </c>
    </row>
    <row r="9" spans="1:69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AZ9" s="3">
        <v>0.37744930799999998</v>
      </c>
      <c r="BA9" s="3">
        <v>0.25743342969999999</v>
      </c>
      <c r="BB9" s="3">
        <v>0.2014057071</v>
      </c>
      <c r="BC9" s="3">
        <v>0.17017365970000001</v>
      </c>
      <c r="BD9" s="3">
        <v>0.163617807</v>
      </c>
      <c r="BE9" s="3">
        <v>0.13336810339999999</v>
      </c>
      <c r="BF9" s="3">
        <v>7.1873373700000007E-2</v>
      </c>
      <c r="BG9" s="3">
        <v>2.4113689099999999E-2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</v>
      </c>
    </row>
    <row r="10" spans="1:69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AV10" s="3">
        <v>0.44831546849999998</v>
      </c>
      <c r="AW10" s="3">
        <v>0.26436169970000001</v>
      </c>
      <c r="AX10" s="3">
        <v>0.1582921853</v>
      </c>
      <c r="AY10" s="3">
        <v>0.15659504930000001</v>
      </c>
      <c r="AZ10" s="3">
        <v>0.22782601490000001</v>
      </c>
      <c r="BA10" s="3">
        <v>0.32550883920000001</v>
      </c>
      <c r="BB10" s="3">
        <v>0.34743108</v>
      </c>
      <c r="BC10" s="3">
        <v>0.38192887710000001</v>
      </c>
      <c r="BD10" s="3">
        <v>0.33328124689999999</v>
      </c>
      <c r="BE10" s="3">
        <v>0.30353854650000001</v>
      </c>
      <c r="BF10" s="3">
        <v>0.29460565729999999</v>
      </c>
      <c r="BG10" s="3">
        <v>0.32309332330000001</v>
      </c>
      <c r="BH10" s="3">
        <v>0.384776744</v>
      </c>
      <c r="BI10" s="3">
        <v>0.42697467680000001</v>
      </c>
      <c r="BJ10" s="3">
        <v>0.46418180269999998</v>
      </c>
      <c r="BK10" s="3">
        <v>0.40883311379999998</v>
      </c>
      <c r="BL10" s="3">
        <v>0.35351982030000001</v>
      </c>
      <c r="BM10" s="3">
        <v>0.30284414279999999</v>
      </c>
      <c r="BN10" s="3">
        <v>0.26561572620000001</v>
      </c>
      <c r="BO10" s="3">
        <v>0.22079421420000001</v>
      </c>
      <c r="BP10" s="3">
        <v>0.18460661440000001</v>
      </c>
      <c r="BQ10" s="3">
        <v>0.25436408980000003</v>
      </c>
    </row>
    <row r="11" spans="1:69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BP11" s="3">
        <v>0.20880526190000001</v>
      </c>
    </row>
    <row r="12" spans="1:69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BQ12" s="3">
        <v>0</v>
      </c>
    </row>
    <row r="13" spans="1:69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BQ13" s="3">
        <v>0.1176470588</v>
      </c>
    </row>
    <row r="14" spans="1:69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BQ14" s="3">
        <v>0.19083969470000001</v>
      </c>
    </row>
    <row r="15" spans="1:69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BQ15" s="3">
        <v>8.5106382999999994E-2</v>
      </c>
    </row>
    <row r="16" spans="1:69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BJ16" s="3">
        <v>0</v>
      </c>
      <c r="BK16" s="3">
        <v>0</v>
      </c>
      <c r="BL16" s="3">
        <v>0.28775478850000002</v>
      </c>
      <c r="BM16" s="3">
        <v>0.47629586190000001</v>
      </c>
      <c r="BN16" s="3">
        <v>0.63617329990000004</v>
      </c>
      <c r="BO16" s="3">
        <v>0.68615549450000002</v>
      </c>
      <c r="BP16" s="3">
        <v>0.34501601009999999</v>
      </c>
    </row>
    <row r="17" spans="1:69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BL17" s="3">
        <v>0</v>
      </c>
      <c r="BM17" s="3">
        <v>0</v>
      </c>
      <c r="BN17" s="3">
        <v>0</v>
      </c>
      <c r="BO17" s="3">
        <v>0</v>
      </c>
      <c r="BP17" s="3">
        <v>0.73205080759999996</v>
      </c>
    </row>
    <row r="18" spans="1:69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</row>
    <row r="19" spans="1:69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BB19" s="3">
        <v>0.26632043789999998</v>
      </c>
      <c r="BC19" s="3">
        <v>0.1066819197</v>
      </c>
      <c r="BD19" s="3">
        <v>4.6635139399999997E-2</v>
      </c>
      <c r="BE19" s="3">
        <v>0</v>
      </c>
      <c r="BF19" s="3">
        <v>3.9289877600000002E-2</v>
      </c>
      <c r="BG19" s="3">
        <v>0.1066819197</v>
      </c>
      <c r="BH19" s="3">
        <v>0.17233465440000001</v>
      </c>
      <c r="BI19" s="3">
        <v>0.20539052369999999</v>
      </c>
      <c r="BJ19" s="3">
        <v>0.16737752580000001</v>
      </c>
      <c r="BK19" s="3">
        <v>9.62893893E-2</v>
      </c>
      <c r="BL19" s="3">
        <v>3.4895318799999998E-2</v>
      </c>
      <c r="BM19" s="3">
        <v>6.5150025000000004E-3</v>
      </c>
      <c r="BN19" s="3">
        <v>0</v>
      </c>
      <c r="BO19" s="3">
        <v>0</v>
      </c>
      <c r="BP19" s="3">
        <v>0</v>
      </c>
    </row>
    <row r="20" spans="1:69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0.96798967130000002</v>
      </c>
      <c r="BL20" s="3">
        <v>1.3205957871</v>
      </c>
      <c r="BM20" s="3">
        <v>1.6679677974</v>
      </c>
      <c r="BN20" s="3">
        <v>1.7636255460000001</v>
      </c>
      <c r="BO20" s="3">
        <v>0.44831546849999998</v>
      </c>
      <c r="BP20" s="3">
        <v>0.27094469049999997</v>
      </c>
      <c r="BQ20" s="3">
        <v>0.43939393939999999</v>
      </c>
    </row>
    <row r="21" spans="1:69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BC21" s="3">
        <v>0.1066819197</v>
      </c>
      <c r="BD21" s="3">
        <v>4.6635139399999997E-2</v>
      </c>
      <c r="BE21" s="3">
        <v>0.3339838987</v>
      </c>
      <c r="BF21" s="3">
        <v>0.51967137129999996</v>
      </c>
      <c r="BG21" s="3">
        <v>0.65487545979999995</v>
      </c>
      <c r="BH21" s="3">
        <v>0.65487545979999995</v>
      </c>
      <c r="BI21" s="3">
        <v>0.2405513001</v>
      </c>
      <c r="BJ21" s="3">
        <v>0.2454754938</v>
      </c>
      <c r="BK21" s="3">
        <v>0.28579919469999998</v>
      </c>
      <c r="BL21" s="3">
        <v>0.4390841795</v>
      </c>
      <c r="BM21" s="3">
        <v>0.525964141</v>
      </c>
      <c r="BN21" s="3">
        <v>0.38214592829999999</v>
      </c>
      <c r="BO21" s="3">
        <v>0.2433991174</v>
      </c>
      <c r="BP21" s="3">
        <v>0.19683551839999999</v>
      </c>
      <c r="BQ21" s="3">
        <v>1.0408163265000001</v>
      </c>
    </row>
    <row r="22" spans="1:69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BO22" s="3">
        <v>0.25743342969999999</v>
      </c>
      <c r="BP22" s="3">
        <v>0.23544557199999999</v>
      </c>
      <c r="BQ22" s="3">
        <v>0.08</v>
      </c>
    </row>
    <row r="23" spans="1:69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AU23" s="3">
        <v>7.4569931800000003E-2</v>
      </c>
      <c r="AV23" s="3">
        <v>0.23593091699999999</v>
      </c>
      <c r="AW23" s="3">
        <v>0.38378257519999998</v>
      </c>
      <c r="AX23" s="3">
        <v>0.46977784020000002</v>
      </c>
      <c r="AY23" s="3">
        <v>0.39157884189999997</v>
      </c>
      <c r="AZ23" s="3">
        <v>0.209896735</v>
      </c>
      <c r="BA23" s="3">
        <v>8.0624086499999997E-2</v>
      </c>
      <c r="BB23" s="3">
        <v>1.7397827300000002E-2</v>
      </c>
      <c r="BC23" s="3">
        <v>0</v>
      </c>
      <c r="BD23" s="3">
        <v>0</v>
      </c>
      <c r="BE23" s="3">
        <v>0.8865381215</v>
      </c>
      <c r="BF23" s="3">
        <v>1.3311923905</v>
      </c>
      <c r="BG23" s="3">
        <v>1.6164715479</v>
      </c>
      <c r="BH23" s="3">
        <v>1.7141465052</v>
      </c>
      <c r="BI23" s="3">
        <v>0.46950148819999998</v>
      </c>
      <c r="BJ23" s="3">
        <v>0.2387114316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0.24068157609999999</v>
      </c>
    </row>
    <row r="24" spans="1:69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BK24" s="3">
        <v>0.1066819197</v>
      </c>
      <c r="BL24" s="3">
        <v>0.23593091699999999</v>
      </c>
      <c r="BM24" s="3">
        <v>0.3339838987</v>
      </c>
      <c r="BN24" s="3">
        <v>0.44279797599999998</v>
      </c>
      <c r="BO24" s="3">
        <v>0.36232208170000002</v>
      </c>
      <c r="BP24" s="3">
        <v>0.34634837039999999</v>
      </c>
    </row>
    <row r="25" spans="1:69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AX25" s="3">
        <v>0.23593091699999999</v>
      </c>
      <c r="AY25" s="3">
        <v>0.3512001548</v>
      </c>
      <c r="AZ25" s="3">
        <v>0.34267480709999998</v>
      </c>
      <c r="BA25" s="3">
        <v>0.35790606870000002</v>
      </c>
      <c r="BB25" s="3">
        <v>0.36074986660000002</v>
      </c>
      <c r="BC25" s="3">
        <v>0.38691687070000003</v>
      </c>
      <c r="BD25" s="3">
        <v>0.41421356240000001</v>
      </c>
      <c r="BE25" s="3">
        <v>0.38192887710000001</v>
      </c>
      <c r="BF25" s="3">
        <v>0.28775478850000002</v>
      </c>
      <c r="BG25" s="3">
        <v>0.1556745591</v>
      </c>
      <c r="BH25" s="3">
        <v>6.1414822000000001E-2</v>
      </c>
      <c r="BI25" s="3">
        <v>1.5752878000000001E-2</v>
      </c>
      <c r="BJ25" s="3">
        <v>0.20466894860000001</v>
      </c>
      <c r="BK25" s="3">
        <v>0.33874536840000002</v>
      </c>
      <c r="BL25" s="3">
        <v>0.59016477509999998</v>
      </c>
      <c r="BM25" s="3">
        <v>0.7428834231</v>
      </c>
      <c r="BN25" s="3">
        <v>0.58306905949999999</v>
      </c>
      <c r="BO25" s="3">
        <v>0.49991264089999998</v>
      </c>
      <c r="BP25" s="3">
        <v>0.32047003800000001</v>
      </c>
      <c r="BQ25" s="3">
        <v>0.13888888890000001</v>
      </c>
    </row>
    <row r="26" spans="1:69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0.2106668307</v>
      </c>
      <c r="BQ26" s="3">
        <v>0.2132435466</v>
      </c>
    </row>
    <row r="27" spans="1:69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BB27" s="3">
        <v>0.1582921853</v>
      </c>
      <c r="BC27" s="3">
        <v>6.4844316799999996E-2</v>
      </c>
      <c r="BD27" s="3">
        <v>0</v>
      </c>
      <c r="BE27" s="3">
        <v>0</v>
      </c>
      <c r="BF27" s="3">
        <v>0.20539052369999999</v>
      </c>
      <c r="BG27" s="3">
        <v>0.33979660239999998</v>
      </c>
      <c r="BH27" s="3">
        <v>0.44279797599999998</v>
      </c>
      <c r="BI27" s="3">
        <v>0.53525978389999995</v>
      </c>
      <c r="BJ27" s="3">
        <v>0.33857915760000001</v>
      </c>
      <c r="BK27" s="3">
        <v>0.25525981149999999</v>
      </c>
      <c r="BL27" s="3">
        <v>0.1656467908</v>
      </c>
      <c r="BM27" s="3">
        <v>0.1771323826</v>
      </c>
      <c r="BN27" s="3">
        <v>0.18430306369999999</v>
      </c>
      <c r="BO27" s="3">
        <v>0.18920711500000001</v>
      </c>
      <c r="BP27" s="3">
        <v>0.21711369080000001</v>
      </c>
      <c r="BQ27" s="3">
        <v>0.29166666670000002</v>
      </c>
    </row>
    <row r="28" spans="1:69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AW28" s="3">
        <v>0.41421356240000001</v>
      </c>
      <c r="AX28" s="3">
        <v>0.57584180809999996</v>
      </c>
      <c r="AY28" s="3">
        <v>0.73205080759999996</v>
      </c>
      <c r="AZ28" s="3">
        <v>0.54981363620000001</v>
      </c>
      <c r="BA28" s="3">
        <v>0.46846377729999999</v>
      </c>
      <c r="BB28" s="3">
        <v>0.30405381320000002</v>
      </c>
      <c r="BC28" s="3">
        <v>0.23593091699999999</v>
      </c>
      <c r="BD28" s="3">
        <v>0.18522311559999999</v>
      </c>
      <c r="BE28" s="3">
        <v>0.2109794177</v>
      </c>
      <c r="BF28" s="3">
        <v>0.28418414250000001</v>
      </c>
      <c r="BG28" s="3">
        <v>0.3108201196</v>
      </c>
      <c r="BH28" s="3">
        <v>0.29791691910000001</v>
      </c>
      <c r="BI28" s="3">
        <v>0.28775478850000002</v>
      </c>
      <c r="BJ28" s="3">
        <v>0.24715352209999999</v>
      </c>
      <c r="BK28" s="3">
        <v>0.2765960643</v>
      </c>
      <c r="BL28" s="3">
        <v>0.31187595620000003</v>
      </c>
      <c r="BM28" s="3">
        <v>0.3303951316</v>
      </c>
      <c r="BN28" s="3">
        <v>0.30979784929999998</v>
      </c>
      <c r="BO28" s="3">
        <v>0.23775859569999999</v>
      </c>
      <c r="BP28" s="3">
        <v>0.2039856223</v>
      </c>
      <c r="BQ28" s="3">
        <v>0.38163001289999998</v>
      </c>
    </row>
  </sheetData>
  <autoFilter ref="A1:BQ28" xr:uid="{2C871960-4BA5-49EF-8C59-8BE1B44B7410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B622-5819-423A-8F06-23D73646032E}">
  <dimension ref="A1:BP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</row>
  </sheetData>
  <autoFilter ref="A1:BP28" xr:uid="{2CDC8260-816D-400D-8200-39CA28D0E4AC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20857-FBD9-45BF-9D98-15CA35EA444E}">
  <dimension ref="A1:BP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</v>
      </c>
      <c r="BN9" s="1">
        <v>5</v>
      </c>
      <c r="BO9" s="1">
        <v>7</v>
      </c>
      <c r="BP9" s="1">
        <v>10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4</v>
      </c>
      <c r="BK10" s="1">
        <v>3</v>
      </c>
      <c r="BL10" s="1">
        <v>6</v>
      </c>
      <c r="BM10" s="1">
        <v>7</v>
      </c>
      <c r="BN10" s="1">
        <v>14</v>
      </c>
      <c r="BO10" s="1">
        <v>23</v>
      </c>
      <c r="BP10" s="1">
        <v>24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34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</row>
  </sheetData>
  <autoFilter ref="A1:BP28" xr:uid="{9A2B5EC3-CE60-46B4-A71E-6DC5189D579F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EBDC0-9A54-40FF-AB05-CB17396EBA62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</row>
    <row r="2" spans="1:70" x14ac:dyDescent="0.25">
      <c r="A2" t="s">
        <v>0</v>
      </c>
      <c r="B2" s="1">
        <v>8654622</v>
      </c>
      <c r="C2">
        <v>39516</v>
      </c>
      <c r="D2">
        <v>120</v>
      </c>
      <c r="E2" s="2">
        <v>1.3865423585000001</v>
      </c>
      <c r="F2" s="3">
        <v>1.3644116E-2</v>
      </c>
      <c r="G2" s="3">
        <v>4.4444444399999998E-2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</row>
    <row r="3" spans="1:70" x14ac:dyDescent="0.25">
      <c r="A3" t="s">
        <v>185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184</v>
      </c>
      <c r="B4" s="1">
        <v>55234</v>
      </c>
      <c r="C4">
        <v>243</v>
      </c>
      <c r="D4">
        <v>1</v>
      </c>
      <c r="E4" s="2">
        <v>1.8104790528000001</v>
      </c>
      <c r="F4" s="3">
        <v>3.3333333299999997E-2</v>
      </c>
      <c r="G4" s="3">
        <v>0.2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</row>
    <row r="5" spans="1:70" x14ac:dyDescent="0.25">
      <c r="A5" t="s">
        <v>183</v>
      </c>
      <c r="B5" s="1">
        <v>677387</v>
      </c>
      <c r="C5">
        <v>1404</v>
      </c>
      <c r="D5">
        <v>1</v>
      </c>
      <c r="E5" s="2">
        <v>0.1476260985</v>
      </c>
      <c r="F5" s="3">
        <v>4.1493776000000003E-3</v>
      </c>
      <c r="G5" s="3">
        <v>1.49253731E-2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</row>
    <row r="6" spans="1:70" x14ac:dyDescent="0.25">
      <c r="A6" t="s">
        <v>182</v>
      </c>
      <c r="B6" s="1">
        <v>194766</v>
      </c>
      <c r="C6">
        <v>37</v>
      </c>
      <c r="D6">
        <v>5</v>
      </c>
      <c r="E6" s="2">
        <v>2.5671831839000001</v>
      </c>
      <c r="F6" s="3">
        <v>1.3297872299999999E-2</v>
      </c>
      <c r="G6" s="3">
        <v>3.0303030299999999E-2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</row>
    <row r="7" spans="1:70" x14ac:dyDescent="0.25">
      <c r="A7" t="s">
        <v>181</v>
      </c>
      <c r="B7" s="1">
        <v>288132</v>
      </c>
      <c r="C7">
        <v>518</v>
      </c>
      <c r="D7">
        <v>3</v>
      </c>
      <c r="E7" s="2">
        <v>1.0411894548</v>
      </c>
      <c r="F7" s="3">
        <v>9.9337747999999997E-3</v>
      </c>
      <c r="G7" s="3">
        <v>3.3707865199999999E-2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</row>
    <row r="8" spans="1:70" x14ac:dyDescent="0.25">
      <c r="A8" t="s">
        <v>180</v>
      </c>
      <c r="B8" s="1">
        <v>1034977</v>
      </c>
      <c r="C8">
        <v>5959</v>
      </c>
      <c r="D8">
        <v>5</v>
      </c>
      <c r="E8" s="2">
        <v>0.48310252310000001</v>
      </c>
      <c r="F8" s="3">
        <v>1.06382979E-2</v>
      </c>
      <c r="G8" s="3">
        <v>4.06504065E-2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</row>
    <row r="9" spans="1:70" x14ac:dyDescent="0.25">
      <c r="A9" t="s">
        <v>179</v>
      </c>
      <c r="B9" s="1">
        <v>318714</v>
      </c>
      <c r="C9">
        <v>1671</v>
      </c>
      <c r="D9">
        <v>1</v>
      </c>
      <c r="E9" s="2">
        <v>0.3137609267</v>
      </c>
      <c r="F9" s="3">
        <v>9.0909090900000003E-2</v>
      </c>
      <c r="G9" s="3">
        <v>9.0909090900000003E-2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1</v>
      </c>
      <c r="BQ9" s="1">
        <v>1</v>
      </c>
      <c r="BR9" s="1">
        <v>1</v>
      </c>
    </row>
    <row r="10" spans="1:70" x14ac:dyDescent="0.25">
      <c r="A10" t="s">
        <v>178</v>
      </c>
      <c r="B10" s="1">
        <v>499480</v>
      </c>
      <c r="C10">
        <v>1771</v>
      </c>
      <c r="D10">
        <v>9</v>
      </c>
      <c r="E10" s="2">
        <v>1.8018739489</v>
      </c>
      <c r="F10" s="3">
        <v>5.9642146999999996E-3</v>
      </c>
      <c r="G10" s="3">
        <v>1.8181818200000002E-2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5</v>
      </c>
      <c r="BN10" s="1">
        <v>5</v>
      </c>
      <c r="BO10" s="1">
        <v>8</v>
      </c>
      <c r="BP10" s="1">
        <v>10</v>
      </c>
      <c r="BQ10" s="1">
        <v>9</v>
      </c>
      <c r="BR10" s="1">
        <v>9</v>
      </c>
    </row>
    <row r="11" spans="1:70" x14ac:dyDescent="0.25">
      <c r="A11" t="s">
        <v>177</v>
      </c>
      <c r="B11" s="1">
        <v>40403</v>
      </c>
      <c r="C11">
        <v>685</v>
      </c>
      <c r="D11">
        <v>0</v>
      </c>
      <c r="E11" s="2">
        <v>0</v>
      </c>
      <c r="F11" s="3">
        <v>0</v>
      </c>
      <c r="G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176</v>
      </c>
      <c r="B12" s="1">
        <v>198379</v>
      </c>
      <c r="C12">
        <v>7105</v>
      </c>
      <c r="D12">
        <v>6</v>
      </c>
      <c r="E12" s="2">
        <v>3.0245136833999999</v>
      </c>
      <c r="F12" s="3">
        <v>2.2556390999999999E-2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</row>
    <row r="13" spans="1:70" x14ac:dyDescent="0.25">
      <c r="A13" t="s">
        <v>175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174</v>
      </c>
      <c r="B14" s="1">
        <v>409557</v>
      </c>
      <c r="C14">
        <v>1493</v>
      </c>
      <c r="D14">
        <v>1</v>
      </c>
      <c r="E14" s="2">
        <v>0.2441662577</v>
      </c>
      <c r="F14" s="3">
        <v>6.4102563999999997E-3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</row>
    <row r="15" spans="1:70" x14ac:dyDescent="0.25">
      <c r="A15" t="s">
        <v>173</v>
      </c>
      <c r="B15" s="1">
        <v>176850</v>
      </c>
      <c r="C15">
        <v>220</v>
      </c>
      <c r="D15">
        <v>2</v>
      </c>
      <c r="E15" s="2">
        <v>1.1309018943</v>
      </c>
      <c r="F15" s="3">
        <v>9.8039215999999995E-3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</row>
    <row r="16" spans="1:70" x14ac:dyDescent="0.25">
      <c r="A16" t="s">
        <v>172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171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170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169</v>
      </c>
      <c r="B19" s="1">
        <v>159165</v>
      </c>
      <c r="C19">
        <v>908</v>
      </c>
      <c r="D19">
        <v>0</v>
      </c>
      <c r="E19" s="2">
        <v>0</v>
      </c>
      <c r="F19" s="3">
        <v>0</v>
      </c>
      <c r="G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168</v>
      </c>
      <c r="B20" s="1">
        <v>273194</v>
      </c>
      <c r="C20">
        <v>791</v>
      </c>
      <c r="D20">
        <v>1</v>
      </c>
      <c r="E20" s="2">
        <v>0.36604024979999999</v>
      </c>
      <c r="F20" s="3">
        <v>1.05263158E-2</v>
      </c>
      <c r="G20" s="3">
        <v>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</row>
    <row r="21" spans="1:70" x14ac:dyDescent="0.25">
      <c r="A21" t="s">
        <v>167</v>
      </c>
      <c r="B21" s="1">
        <v>507697</v>
      </c>
      <c r="C21">
        <v>2026</v>
      </c>
      <c r="D21">
        <v>1</v>
      </c>
      <c r="E21" s="2">
        <v>0.1969678765</v>
      </c>
      <c r="F21" s="3">
        <v>5.0000000000000001E-3</v>
      </c>
      <c r="G21" s="3">
        <v>2.1276595700000001E-2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</row>
    <row r="22" spans="1:70" x14ac:dyDescent="0.25">
      <c r="A22" t="s">
        <v>166</v>
      </c>
      <c r="B22" s="1">
        <v>276472</v>
      </c>
      <c r="C22">
        <v>991</v>
      </c>
      <c r="D22">
        <v>0</v>
      </c>
      <c r="E22" s="2">
        <v>0</v>
      </c>
      <c r="F22" s="3">
        <v>0</v>
      </c>
      <c r="G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165</v>
      </c>
      <c r="B23" s="1">
        <v>353343</v>
      </c>
      <c r="C23">
        <v>2812</v>
      </c>
      <c r="D23">
        <v>48</v>
      </c>
      <c r="E23" s="2">
        <v>13.584534008</v>
      </c>
      <c r="F23" s="3">
        <v>4.1201716700000002E-2</v>
      </c>
      <c r="G23" s="3">
        <v>0.1137440758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</row>
    <row r="24" spans="1:70" x14ac:dyDescent="0.25">
      <c r="A24" t="s">
        <v>164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163</v>
      </c>
      <c r="B25" s="1">
        <v>343955</v>
      </c>
      <c r="C25">
        <v>5224</v>
      </c>
      <c r="D25">
        <v>12</v>
      </c>
      <c r="E25" s="2">
        <v>3.4888284805000001</v>
      </c>
      <c r="F25" s="3">
        <v>2.4390243900000001E-2</v>
      </c>
      <c r="G25" s="3">
        <v>0.1263157895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1</v>
      </c>
      <c r="BK25" s="1">
        <v>1</v>
      </c>
      <c r="BL25" s="1">
        <v>3</v>
      </c>
      <c r="BM25" s="1">
        <v>3</v>
      </c>
      <c r="BN25" s="1">
        <v>4</v>
      </c>
      <c r="BO25" s="1">
        <v>5</v>
      </c>
      <c r="BP25" s="1">
        <v>9</v>
      </c>
      <c r="BQ25" s="1">
        <v>10</v>
      </c>
      <c r="BR25" s="1">
        <v>12</v>
      </c>
    </row>
    <row r="26" spans="1:70" x14ac:dyDescent="0.25">
      <c r="A26" t="s">
        <v>162</v>
      </c>
      <c r="B26" s="1">
        <v>799145</v>
      </c>
      <c r="C26">
        <v>3212</v>
      </c>
      <c r="D26">
        <v>17</v>
      </c>
      <c r="E26" s="2">
        <v>2.1272735236</v>
      </c>
      <c r="F26" s="3">
        <v>7.8630897000000009E-3</v>
      </c>
      <c r="G26" s="3">
        <v>2.79605263E-2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17</v>
      </c>
    </row>
    <row r="27" spans="1:70" x14ac:dyDescent="0.25">
      <c r="A27" t="s">
        <v>161</v>
      </c>
      <c r="B27" s="1">
        <v>126837</v>
      </c>
      <c r="C27">
        <v>239</v>
      </c>
      <c r="D27">
        <v>0</v>
      </c>
      <c r="E27" s="2">
        <v>0</v>
      </c>
      <c r="F27" s="3">
        <v>0</v>
      </c>
      <c r="G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160</v>
      </c>
      <c r="B28" s="1">
        <v>1520968</v>
      </c>
      <c r="C28">
        <v>1729</v>
      </c>
      <c r="D28">
        <v>5</v>
      </c>
      <c r="E28" s="2">
        <v>0.32873801419999998</v>
      </c>
      <c r="F28" s="3">
        <v>4.6816478999999996E-3</v>
      </c>
      <c r="G28" s="3">
        <v>1.70068027E-2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</row>
  </sheetData>
  <autoFilter ref="A1:BR28" xr:uid="{5D20E3B2-EF84-4B46-B5F9-D41C5D1AC4F8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4 Country Dashboard</vt:lpstr>
      <vt:lpstr>General Dashboard</vt:lpstr>
      <vt:lpstr>Confirmed</vt:lpstr>
      <vt:lpstr>Confirmed Day Zero</vt:lpstr>
      <vt:lpstr>Confirmed Trend</vt:lpstr>
      <vt:lpstr>Recovered</vt:lpstr>
      <vt:lpstr>Recovered Predicted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2020-03-24T22:04:58Z</dcterms:modified>
</cp:coreProperties>
</file>