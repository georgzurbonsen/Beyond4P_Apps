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2199FF39-8B50-434B-861C-275882D89C55}" xr6:coauthVersionLast="45" xr6:coauthVersionMax="45" xr10:uidLastSave="{00000000-0000-0000-0000-000000000000}"/>
  <bookViews>
    <workbookView xWindow="-120" yWindow="-120" windowWidth="29040" windowHeight="15960" tabRatio="657" activeTab="1" xr2:uid="{DFA1631E-71EB-4E82-B6B9-3F1B2111D5CC}"/>
  </bookViews>
  <sheets>
    <sheet name="4 Country Dashboard" sheetId="8" r:id="rId1"/>
    <sheet name="General Dashboard" sheetId="15" r:id="rId2"/>
    <sheet name="Tested" sheetId="209" r:id="rId3"/>
    <sheet name="Confirmed" sheetId="210" r:id="rId4"/>
    <sheet name="Confirmed Day Zero" sheetId="211" r:id="rId5"/>
    <sheet name="Confirmed Trend" sheetId="212" r:id="rId6"/>
    <sheet name="Recovered" sheetId="213" r:id="rId7"/>
    <sheet name="Recovered Predicted" sheetId="214" r:id="rId8"/>
    <sheet name="Hospitalized" sheetId="215" r:id="rId9"/>
    <sheet name="Deaths" sheetId="216" r:id="rId10"/>
  </sheets>
  <definedNames>
    <definedName name="_xlnm._FilterDatabase" localSheetId="0" hidden="1">'4 Country Dashboard'!$B$22:$C$1058</definedName>
    <definedName name="_xlnm._FilterDatabase" localSheetId="3" hidden="1">Confirmed!$A$1:$BW$1</definedName>
    <definedName name="_xlnm._FilterDatabase" localSheetId="4" hidden="1">'Confirmed Day Zero'!$A$1:$BW$1</definedName>
    <definedName name="_xlnm._FilterDatabase" localSheetId="5" hidden="1">'Confirmed Trend'!$A$1:$BX$1</definedName>
    <definedName name="_xlnm._FilterDatabase" localSheetId="9" hidden="1">Deaths!$A$1:$BY$1</definedName>
    <definedName name="_xlnm._FilterDatabase" localSheetId="8" hidden="1">Hospitalized!$A$1:$BW$1</definedName>
    <definedName name="_xlnm._FilterDatabase" localSheetId="6" hidden="1">Recovered!$A$1:$BW$1</definedName>
    <definedName name="_xlnm._FilterDatabase" localSheetId="7" hidden="1">'Recovered Predicted'!$A$1:$BW$1</definedName>
    <definedName name="_xlnm._FilterDatabase" localSheetId="2" hidden="1">Tested!$A$1:$BW$1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64" i="15" l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F164" i="15"/>
  <c r="B166" i="15"/>
  <c r="C56" i="8" l="1"/>
  <c r="C55" i="8"/>
  <c r="C54" i="8"/>
  <c r="C53" i="8"/>
  <c r="D53" i="8"/>
  <c r="D54" i="8" s="1"/>
  <c r="D55" i="8" s="1"/>
  <c r="D56" i="8" s="1"/>
  <c r="C80" i="8"/>
  <c r="C79" i="8"/>
  <c r="C78" i="8"/>
  <c r="C77" i="8"/>
  <c r="D77" i="8"/>
  <c r="D78" i="8" s="1"/>
  <c r="D79" i="8" s="1"/>
  <c r="D80" i="8" s="1"/>
  <c r="C105" i="15" l="1"/>
  <c r="B44" i="15" l="1"/>
  <c r="D42" i="15"/>
  <c r="D41" i="15"/>
  <c r="D40" i="15"/>
  <c r="B45" i="15" l="1"/>
  <c r="B167" i="15"/>
  <c r="B46" i="15" l="1"/>
  <c r="B168" i="15"/>
  <c r="B106" i="15"/>
  <c r="AB223" i="15" a="1"/>
  <c r="P223" i="15" a="1"/>
  <c r="AD225" i="15" a="1"/>
  <c r="BN223" i="15" a="1"/>
  <c r="Q222" i="15" a="1"/>
  <c r="M212" i="15" a="1"/>
  <c r="AM223" i="15" a="1"/>
  <c r="BF204" i="15" a="1"/>
  <c r="AT225" i="15" a="1"/>
  <c r="AB224" i="15" a="1"/>
  <c r="AJ224" i="15" a="1"/>
  <c r="AA224" i="15" a="1"/>
  <c r="AN220" i="15" a="1"/>
  <c r="M221" i="15" a="1"/>
  <c r="BH216" i="15" a="1"/>
  <c r="T220" i="15" a="1"/>
  <c r="BK218" i="15" a="1"/>
  <c r="BK215" i="15" a="1"/>
  <c r="P206" i="15" a="1"/>
  <c r="AL220" i="15" a="1"/>
  <c r="Z215" i="15" a="1"/>
  <c r="P215" i="15" a="1"/>
  <c r="BV212" i="15" a="1"/>
  <c r="Z200" i="15" a="1"/>
  <c r="AW221" i="15" a="1"/>
  <c r="BF216" i="15" a="1"/>
  <c r="AP215" i="15" a="1"/>
  <c r="AU225" i="15" a="1"/>
  <c r="BT214" i="15" a="1"/>
  <c r="AG224" i="15" a="1"/>
  <c r="AW213" i="15" a="1"/>
  <c r="AY218" i="15" a="1"/>
  <c r="AU205" i="15" a="1"/>
  <c r="BU225" i="15" a="1"/>
  <c r="J215" i="15" a="1"/>
  <c r="BA224" i="15" a="1"/>
  <c r="AN214" i="15" a="1"/>
  <c r="BK225" i="15" a="1"/>
  <c r="BQ219" i="15" a="1"/>
  <c r="I216" i="15" a="1"/>
  <c r="BB222" i="15" a="1"/>
  <c r="Z219" i="15" a="1"/>
  <c r="BH221" i="15" a="1"/>
  <c r="BJ209" i="15" a="1"/>
  <c r="E224" i="15" a="1"/>
  <c r="AN225" i="15" a="1"/>
  <c r="U221" i="15" a="1"/>
  <c r="AO214" i="15" a="1"/>
  <c r="BI202" i="15" a="1"/>
  <c r="N223" i="15" a="1"/>
  <c r="M215" i="15" a="1"/>
  <c r="M206" i="15" a="1"/>
  <c r="BK193" i="15" a="1"/>
  <c r="BE215" i="15" a="1"/>
  <c r="AL214" i="15" a="1"/>
  <c r="AE222" i="15" a="1"/>
  <c r="T210" i="15" a="1"/>
  <c r="AI221" i="15" a="1"/>
  <c r="BG219" i="15" a="1"/>
  <c r="BG211" i="15" a="1"/>
  <c r="BC213" i="15" a="1"/>
  <c r="E220" i="15" a="1"/>
  <c r="BT220" i="15" a="1"/>
  <c r="BQ224" i="15" a="1"/>
  <c r="BG223" i="15" a="1"/>
  <c r="AE224" i="15" a="1"/>
  <c r="BL214" i="15" a="1"/>
  <c r="AU223" i="15" a="1"/>
  <c r="BL210" i="15" a="1"/>
  <c r="M218" i="15" a="1"/>
  <c r="AV219" i="15" a="1"/>
  <c r="V208" i="15" a="1"/>
  <c r="BE222" i="15" a="1"/>
  <c r="BQ215" i="15" a="1"/>
  <c r="AB214" i="15" a="1"/>
  <c r="P195" i="15" a="1"/>
  <c r="AF216" i="15" a="1"/>
  <c r="M216" i="15" a="1"/>
  <c r="AM201" i="15" a="1"/>
  <c r="BU220" i="15" a="1"/>
  <c r="AW208" i="15" a="1"/>
  <c r="AM207" i="15" a="1"/>
  <c r="AS214" i="15" a="1"/>
  <c r="AT190" i="15" a="1"/>
  <c r="BU219" i="15" a="1"/>
  <c r="L214" i="15" a="1"/>
  <c r="Z199" i="15" a="1"/>
  <c r="M211" i="15" a="1"/>
  <c r="AL210" i="15" a="1"/>
  <c r="AV218" i="15" a="1"/>
  <c r="AL217" i="15" a="1"/>
  <c r="BV207" i="15" a="1"/>
  <c r="BI217" i="15" a="1"/>
  <c r="BB217" i="15" a="1"/>
  <c r="AR216" i="15" a="1"/>
  <c r="AH221" i="15" a="1"/>
  <c r="BK220" i="15" a="1"/>
  <c r="I225" i="15" a="1"/>
  <c r="AD223" i="15" a="1"/>
  <c r="O218" i="15" a="1"/>
  <c r="Q207" i="15" a="1"/>
  <c r="U217" i="15" a="1"/>
  <c r="AX216" i="15" a="1"/>
  <c r="R221" i="15" a="1"/>
  <c r="BA213" i="15" a="1"/>
  <c r="W221" i="15" a="1"/>
  <c r="AY217" i="15" a="1"/>
  <c r="W220" i="15" a="1"/>
  <c r="AO216" i="15" a="1"/>
  <c r="BG222" i="15" a="1"/>
  <c r="AJ207" i="15" a="1"/>
  <c r="AQ212" i="15" a="1"/>
  <c r="AA217" i="15" a="1"/>
  <c r="AE220" i="15" a="1"/>
  <c r="BE216" i="15" a="1"/>
  <c r="BI219" i="15" a="1"/>
  <c r="BS215" i="15" a="1"/>
  <c r="AS223" i="15" a="1"/>
  <c r="BL223" i="15" a="1"/>
  <c r="BO225" i="15" a="1"/>
  <c r="L221" i="15" a="1"/>
  <c r="BK219" i="15" a="1"/>
  <c r="AV213" i="15" a="1"/>
  <c r="AE225" i="15" a="1"/>
  <c r="AS218" i="15" a="1"/>
  <c r="AN222" i="15" a="1"/>
  <c r="F215" i="15" a="1"/>
  <c r="BO207" i="15" a="1"/>
  <c r="P198" i="15" a="1"/>
  <c r="Y220" i="15" a="1"/>
  <c r="BP222" i="15" a="1"/>
  <c r="BB219" i="15" a="1"/>
  <c r="BH223" i="15" a="1"/>
  <c r="AN217" i="15" a="1"/>
  <c r="AC215" i="15" a="1"/>
  <c r="BL208" i="15" a="1"/>
  <c r="BR213" i="15" a="1"/>
  <c r="AA220" i="15" a="1"/>
  <c r="BV221" i="15" a="1"/>
  <c r="BT217" i="15" a="1"/>
  <c r="P221" i="15" a="1"/>
  <c r="W219" i="15" a="1"/>
  <c r="BT224" i="15" a="1"/>
  <c r="Y225" i="15" a="1"/>
  <c r="BJ223" i="15" a="1"/>
  <c r="Y223" i="15" a="1"/>
  <c r="W222" i="15" a="1"/>
  <c r="BQ213" i="15" a="1"/>
  <c r="BC219" i="15" a="1"/>
  <c r="G225" i="15" a="1"/>
  <c r="E213" i="15" a="1"/>
  <c r="Y218" i="15" a="1"/>
  <c r="AK209" i="15" a="1"/>
  <c r="AU199" i="15" a="1"/>
  <c r="BV224" i="15" a="1"/>
  <c r="AY208" i="15" a="1"/>
  <c r="J208" i="15" a="1"/>
  <c r="AA210" i="15" a="1"/>
  <c r="Z221" i="15" a="1"/>
  <c r="AI212" i="15" a="1"/>
  <c r="H210" i="15" a="1"/>
  <c r="BI224" i="15" a="1"/>
  <c r="BQ220" i="15" a="1"/>
  <c r="AO219" i="15" a="1"/>
  <c r="BK210" i="15" a="1"/>
  <c r="AL225" i="15" a="1"/>
  <c r="BE219" i="15" a="1"/>
  <c r="AK220" i="15" a="1"/>
  <c r="BM224" i="15" a="1"/>
  <c r="W225" i="15" a="1"/>
  <c r="P214" i="15" a="1"/>
  <c r="BM218" i="15" a="1"/>
  <c r="O224" i="15" a="1"/>
  <c r="AU201" i="15" a="1"/>
  <c r="H213" i="15" a="1"/>
  <c r="AR205" i="15" a="1"/>
  <c r="H224" i="15" a="1"/>
  <c r="AU214" i="15" a="1"/>
  <c r="BR205" i="15" a="1"/>
  <c r="BF206" i="15" a="1"/>
  <c r="L224" i="15" a="1"/>
  <c r="AO215" i="15" a="1"/>
  <c r="AT211" i="15" a="1"/>
  <c r="M223" i="15" a="1"/>
  <c r="J221" i="15" a="1"/>
  <c r="BP221" i="15" a="1"/>
  <c r="X218" i="15" a="1"/>
  <c r="AL206" i="15" a="1"/>
  <c r="AT217" i="15" a="1"/>
  <c r="BO219" i="15" a="1"/>
  <c r="G209" i="15" a="1"/>
  <c r="Y221" i="15" a="1"/>
  <c r="AI202" i="15" a="1"/>
  <c r="AP221" i="15" a="1"/>
  <c r="BR224" i="15" a="1"/>
  <c r="BR220" i="15" a="1"/>
  <c r="BQ223" i="15" a="1"/>
  <c r="AV220" i="15" a="1"/>
  <c r="Q221" i="15" a="1"/>
  <c r="BI220" i="15" a="1"/>
  <c r="BP220" i="15" a="1"/>
  <c r="AF220" i="15" a="1"/>
  <c r="AB211" i="15" a="1"/>
  <c r="BS224" i="15" a="1"/>
  <c r="BV218" i="15" a="1"/>
  <c r="BJ222" i="15" a="1"/>
  <c r="J218" i="15" a="1"/>
  <c r="AO220" i="15" a="1"/>
  <c r="AS219" i="15" a="1"/>
  <c r="O219" i="15" a="1"/>
  <c r="AJ220" i="15" a="1"/>
  <c r="O206" i="15" a="1"/>
  <c r="AU215" i="15" a="1"/>
  <c r="AT214" i="15" a="1"/>
  <c r="P207" i="15" a="1"/>
  <c r="AZ219" i="15" a="1"/>
  <c r="BA202" i="15" a="1"/>
  <c r="AY194" i="15" a="1"/>
  <c r="V213" i="15" a="1"/>
  <c r="AL223" i="15" a="1"/>
  <c r="AH223" i="15" a="1"/>
  <c r="AX225" i="15" a="1"/>
  <c r="AF224" i="15" a="1"/>
  <c r="AC223" i="15" a="1"/>
  <c r="AD212" i="15" a="1"/>
  <c r="BB224" i="15" a="1"/>
  <c r="T214" i="15" a="1"/>
  <c r="F223" i="15" a="1"/>
  <c r="BL224" i="15" a="1"/>
  <c r="BD224" i="15" a="1"/>
  <c r="BK224" i="15" a="1"/>
  <c r="AF222" i="15" a="1"/>
  <c r="AG221" i="15" a="1"/>
  <c r="J217" i="15" a="1"/>
  <c r="AD220" i="15" a="1"/>
  <c r="M219" i="15" a="1"/>
  <c r="BA219" i="15" a="1"/>
  <c r="AM216" i="15" a="1"/>
  <c r="AI222" i="15" a="1"/>
  <c r="G221" i="15" a="1"/>
  <c r="BF209" i="15" a="1"/>
  <c r="S208" i="15" a="1"/>
  <c r="BJ215" i="15" a="1"/>
  <c r="J196" i="15" a="1"/>
  <c r="AD219" i="15" a="1"/>
  <c r="AL216" i="15" a="1"/>
  <c r="BB225" i="15" a="1"/>
  <c r="AQ225" i="15" a="1"/>
  <c r="BE224" i="15" a="1"/>
  <c r="BR214" i="15" a="1"/>
  <c r="X224" i="15" a="1"/>
  <c r="BN217" i="15" a="1"/>
  <c r="BJ225" i="15" a="1"/>
  <c r="BM225" i="15" a="1"/>
  <c r="BU224" i="15" a="1"/>
  <c r="AW224" i="15" a="1"/>
  <c r="V223" i="15" a="1"/>
  <c r="I220" i="15" a="1"/>
  <c r="S216" i="15" a="1"/>
  <c r="AM219" i="15" a="1"/>
  <c r="AW215" i="15" a="1"/>
  <c r="BT221" i="15" a="1"/>
  <c r="O216" i="15" a="1"/>
  <c r="AA225" i="15" a="1"/>
  <c r="T223" i="15" a="1"/>
  <c r="Q214" i="15" a="1"/>
  <c r="AM210" i="15" a="1"/>
  <c r="AU220" i="15" a="1"/>
  <c r="U191" i="15" a="1"/>
  <c r="AZ223" i="15" a="1"/>
  <c r="Z222" i="15" a="1"/>
  <c r="P204" i="15" a="1"/>
  <c r="F204" i="15" a="1"/>
  <c r="AZ218" i="15" a="1"/>
  <c r="G224" i="15" a="1"/>
  <c r="R204" i="15" a="1"/>
  <c r="BL222" i="15" a="1"/>
  <c r="H225" i="15" a="1"/>
  <c r="BS220" i="15" a="1"/>
  <c r="BV223" i="15" a="1"/>
  <c r="BR221" i="15" a="1"/>
  <c r="AM222" i="15" a="1"/>
  <c r="BH219" i="15" a="1"/>
  <c r="AV214" i="15" a="1"/>
  <c r="M224" i="15" a="1"/>
  <c r="BC214" i="15" a="1"/>
  <c r="BC217" i="15" a="1"/>
  <c r="AZ205" i="15" a="1"/>
  <c r="BC197" i="15" a="1"/>
  <c r="T205" i="15" a="1"/>
  <c r="BG198" i="15" a="1"/>
  <c r="W223" i="15" a="1"/>
  <c r="G210" i="15" a="1"/>
  <c r="BO215" i="15" a="1"/>
  <c r="AV204" i="15" a="1"/>
  <c r="AL222" i="15" a="1"/>
  <c r="BJ210" i="15" a="1"/>
  <c r="BA216" i="15" a="1"/>
  <c r="AR221" i="15" a="1"/>
  <c r="P218" i="15" a="1"/>
  <c r="AF213" i="15" a="1"/>
  <c r="G212" i="15" a="1"/>
  <c r="AC203" i="15" a="1"/>
  <c r="T217" i="15" a="1"/>
  <c r="BJ208" i="15" a="1"/>
  <c r="T213" i="15" a="1"/>
  <c r="BA217" i="15" a="1"/>
  <c r="O225" i="15" a="1"/>
  <c r="V221" i="15" a="1"/>
  <c r="S222" i="15" a="1"/>
  <c r="G219" i="15" a="1"/>
  <c r="BS223" i="15" a="1"/>
  <c r="F224" i="15" a="1"/>
  <c r="BO220" i="15" a="1"/>
  <c r="BC222" i="15" a="1"/>
  <c r="BE221" i="15" a="1"/>
  <c r="N218" i="15" a="1"/>
  <c r="BI222" i="15" a="1"/>
  <c r="BH218" i="15" a="1"/>
  <c r="E217" i="15" a="1"/>
  <c r="AP213" i="15" a="1"/>
  <c r="R216" i="15" a="1"/>
  <c r="AW218" i="15" a="1"/>
  <c r="AA221" i="15" a="1"/>
  <c r="F208" i="15" a="1"/>
  <c r="AE217" i="15" a="1"/>
  <c r="E191" i="15" a="1"/>
  <c r="X225" i="15" a="1"/>
  <c r="BD207" i="15" a="1"/>
  <c r="W204" i="15" a="1"/>
  <c r="AP218" i="15" a="1"/>
  <c r="I210" i="15" a="1"/>
  <c r="AC219" i="15" a="1"/>
  <c r="AN210" i="15" a="1"/>
  <c r="AY222" i="15" a="1"/>
  <c r="BA200" i="15" a="1"/>
  <c r="R220" i="15" a="1"/>
  <c r="AY209" i="15" a="1"/>
  <c r="BN213" i="15" a="1"/>
  <c r="AW212" i="15" a="1"/>
  <c r="K200" i="15" a="1"/>
  <c r="BB197" i="15" a="1"/>
  <c r="AR180" i="15" a="1"/>
  <c r="I212" i="15" a="1"/>
  <c r="H211" i="15" a="1"/>
  <c r="BR223" i="15" a="1"/>
  <c r="AQ221" i="15" a="1"/>
  <c r="S223" i="15" a="1"/>
  <c r="AW220" i="15" a="1"/>
  <c r="M222" i="15" a="1"/>
  <c r="AT220" i="15" a="1"/>
  <c r="AI217" i="15" a="1"/>
  <c r="AG190" i="15" a="1"/>
  <c r="F218" i="15" a="1"/>
  <c r="BD209" i="15" a="1"/>
  <c r="Z216" i="15" a="1"/>
  <c r="BQ225" i="15" a="1"/>
  <c r="AE221" i="15" a="1"/>
  <c r="AP208" i="15" a="1"/>
  <c r="G196" i="15" a="1"/>
  <c r="T215" i="15" a="1"/>
  <c r="AE218" i="15" a="1"/>
  <c r="I224" i="15" a="1"/>
  <c r="S210" i="15" a="1"/>
  <c r="F221" i="15" a="1"/>
  <c r="BC220" i="15" a="1"/>
  <c r="AL215" i="15" a="1"/>
  <c r="BL221" i="15" a="1"/>
  <c r="J209" i="15" a="1"/>
  <c r="AJ208" i="15" a="1"/>
  <c r="AU221" i="15" a="1"/>
  <c r="AB216" i="15" a="1"/>
  <c r="AA215" i="15" a="1"/>
  <c r="U209" i="15" a="1"/>
  <c r="BE207" i="15" a="1"/>
  <c r="O193" i="15" a="1"/>
  <c r="BS217" i="15" a="1"/>
  <c r="AH216" i="15" a="1"/>
  <c r="G217" i="15" a="1"/>
  <c r="AI223" i="15" a="1"/>
  <c r="BU215" i="15" a="1"/>
  <c r="BK221" i="15" a="1"/>
  <c r="Z224" i="15" a="1"/>
  <c r="AK224" i="15" a="1"/>
  <c r="Y222" i="15" a="1"/>
  <c r="L223" i="15" a="1"/>
  <c r="G223" i="15" a="1"/>
  <c r="BC225" i="15" a="1"/>
  <c r="I194" i="15" a="1"/>
  <c r="AU219" i="15" a="1"/>
  <c r="AS222" i="15" a="1"/>
  <c r="BJ224" i="15" a="1"/>
  <c r="AN224" i="15" a="1"/>
  <c r="BS225" i="15" a="1"/>
  <c r="BI221" i="15" a="1"/>
  <c r="I206" i="15" a="1"/>
  <c r="W215" i="15" a="1"/>
  <c r="H203" i="15" a="1"/>
  <c r="BP218" i="15" a="1"/>
  <c r="BV217" i="15" a="1"/>
  <c r="T216" i="15" a="1"/>
  <c r="T219" i="15" a="1"/>
  <c r="BN201" i="15" a="1"/>
  <c r="L213" i="15" a="1"/>
  <c r="Y213" i="15" a="1"/>
  <c r="BG214" i="15" a="1"/>
  <c r="AC222" i="15" a="1"/>
  <c r="L207" i="15" a="1"/>
  <c r="BP197" i="15" a="1"/>
  <c r="BQ210" i="15" a="1"/>
  <c r="BM221" i="15" a="1"/>
  <c r="T197" i="15" a="1"/>
  <c r="P201" i="15" a="1"/>
  <c r="K180" i="15" a="1"/>
  <c r="AL205" i="15" a="1"/>
  <c r="BN220" i="15" a="1"/>
  <c r="AQ191" i="15" a="1"/>
  <c r="AD205" i="15" a="1"/>
  <c r="N182" i="15" a="1"/>
  <c r="AQ220" i="15" a="1"/>
  <c r="BJ202" i="15" a="1"/>
  <c r="O222" i="15" a="1"/>
  <c r="V214" i="15" a="1"/>
  <c r="AW222" i="15" a="1"/>
  <c r="AJ217" i="15" a="1"/>
  <c r="BM215" i="15" a="1"/>
  <c r="N216" i="15" a="1"/>
  <c r="BA225" i="15" a="1"/>
  <c r="AO202" i="15" a="1"/>
  <c r="Q225" i="15" a="1"/>
  <c r="I215" i="15" a="1"/>
  <c r="AZ207" i="15" a="1"/>
  <c r="AS225" i="15" a="1"/>
  <c r="AL224" i="15" a="1"/>
  <c r="AM220" i="15" a="1"/>
  <c r="BA212" i="15" a="1"/>
  <c r="BC207" i="15" a="1"/>
  <c r="BT201" i="15" a="1"/>
  <c r="U223" i="15" a="1"/>
  <c r="BJ217" i="15" a="1"/>
  <c r="BU222" i="15" a="1"/>
  <c r="BR219" i="15" a="1"/>
  <c r="J201" i="15" a="1"/>
  <c r="AT194" i="15" a="1"/>
  <c r="AR177" i="15" a="1"/>
  <c r="Z214" i="15" a="1"/>
  <c r="AH215" i="15" a="1"/>
  <c r="BU194" i="15" a="1"/>
  <c r="AH219" i="15" a="1"/>
  <c r="V204" i="15" a="1"/>
  <c r="AC188" i="15" a="1"/>
  <c r="Q224" i="15" a="1"/>
  <c r="M225" i="15" a="1"/>
  <c r="AA219" i="15" a="1"/>
  <c r="S224" i="15" a="1"/>
  <c r="AM217" i="15" a="1"/>
  <c r="BD215" i="15" a="1"/>
  <c r="BN218" i="15" a="1"/>
  <c r="AD204" i="15" a="1"/>
  <c r="BM207" i="15" a="1"/>
  <c r="G218" i="15" a="1"/>
  <c r="V225" i="15" a="1"/>
  <c r="AV225" i="15" a="1"/>
  <c r="AW197" i="15" a="1"/>
  <c r="J219" i="15" a="1"/>
  <c r="AS207" i="15" a="1"/>
  <c r="BP219" i="15" a="1"/>
  <c r="AJ223" i="15" a="1"/>
  <c r="BE210" i="15" a="1"/>
  <c r="I193" i="15" a="1"/>
  <c r="F213" i="15" a="1"/>
  <c r="BD216" i="15" a="1"/>
  <c r="AR212" i="15" a="1"/>
  <c r="BQ199" i="15" a="1"/>
  <c r="AO195" i="15" a="1"/>
  <c r="E187" i="15" a="1"/>
  <c r="BC168" i="15" a="1"/>
  <c r="AR207" i="15" a="1"/>
  <c r="V218" i="15" a="1"/>
  <c r="N209" i="15" a="1"/>
  <c r="AV200" i="15" a="1"/>
  <c r="AF193" i="15" a="1"/>
  <c r="AX176" i="15" a="1"/>
  <c r="BQ212" i="15" a="1"/>
  <c r="AI209" i="15" a="1"/>
  <c r="BF196" i="15" a="1"/>
  <c r="AT209" i="15" a="1"/>
  <c r="R218" i="15" a="1"/>
  <c r="AR219" i="15" a="1"/>
  <c r="L206" i="15" a="1"/>
  <c r="BQ202" i="15" a="1"/>
  <c r="I219" i="15" a="1"/>
  <c r="Y219" i="15" a="1"/>
  <c r="X199" i="15" a="1"/>
  <c r="AJ225" i="15" a="1"/>
  <c r="AW179" i="15" a="1"/>
  <c r="L211" i="15" a="1"/>
  <c r="Z223" i="15" a="1"/>
  <c r="AM212" i="15" a="1"/>
  <c r="AG198" i="15" a="1"/>
  <c r="BN195" i="15" a="1"/>
  <c r="U178" i="15" a="1"/>
  <c r="Y215" i="15" a="1"/>
  <c r="AG220" i="15" a="1"/>
  <c r="BV219" i="15" a="1"/>
  <c r="BS219" i="15" a="1"/>
  <c r="AR222" i="15" a="1"/>
  <c r="AH211" i="15" a="1"/>
  <c r="AD224" i="15" a="1"/>
  <c r="BT219" i="15" a="1"/>
  <c r="BM222" i="15" a="1"/>
  <c r="AL218" i="15" a="1"/>
  <c r="AZ224" i="15" a="1"/>
  <c r="AP220" i="15" a="1"/>
  <c r="AD222" i="15" a="1"/>
  <c r="H215" i="15" a="1"/>
  <c r="AJ222" i="15" a="1"/>
  <c r="BP223" i="15" a="1"/>
  <c r="R222" i="15" a="1"/>
  <c r="BT223" i="15" a="1"/>
  <c r="S214" i="15" a="1"/>
  <c r="V211" i="15" a="1"/>
  <c r="AV208" i="15" a="1"/>
  <c r="BI206" i="15" a="1"/>
  <c r="AP202" i="15" a="1"/>
  <c r="BF217" i="15" a="1"/>
  <c r="BL216" i="15" a="1"/>
  <c r="Y224" i="15" a="1"/>
  <c r="BF221" i="15" a="1"/>
  <c r="BD217" i="15" a="1"/>
  <c r="P200" i="15" a="1"/>
  <c r="BA207" i="15" a="1"/>
  <c r="AE210" i="15" a="1"/>
  <c r="BQ217" i="15" a="1"/>
  <c r="S209" i="15" a="1"/>
  <c r="BO221" i="15" a="1"/>
  <c r="N221" i="15" a="1"/>
  <c r="AT206" i="15" a="1"/>
  <c r="S212" i="15" a="1"/>
  <c r="BS190" i="15" a="1"/>
  <c r="R225" i="15" a="1"/>
  <c r="O221" i="15" a="1"/>
  <c r="O192" i="15" a="1"/>
  <c r="BQ206" i="15" a="1"/>
  <c r="H198" i="15" a="1"/>
  <c r="AF184" i="15" a="1"/>
  <c r="V222" i="15" a="1"/>
  <c r="AG225" i="15" a="1"/>
  <c r="T221" i="15" a="1"/>
  <c r="AM224" i="15" a="1"/>
  <c r="K221" i="15" a="1"/>
  <c r="BN215" i="15" a="1"/>
  <c r="R223" i="15" a="1"/>
  <c r="BH213" i="15" a="1"/>
  <c r="BT210" i="15" a="1"/>
  <c r="BB194" i="15" a="1"/>
  <c r="AF218" i="15" a="1"/>
  <c r="AO206" i="15" a="1"/>
  <c r="O201" i="15" a="1"/>
  <c r="U220" i="15" a="1"/>
  <c r="AB210" i="15" a="1"/>
  <c r="H221" i="15" a="1"/>
  <c r="R208" i="15" a="1"/>
  <c r="E215" i="15" a="1"/>
  <c r="BV199" i="15" a="1"/>
  <c r="BK216" i="15" a="1"/>
  <c r="AE208" i="15" a="1"/>
  <c r="W206" i="15" a="1"/>
  <c r="AY207" i="15" a="1"/>
  <c r="BH198" i="15" a="1"/>
  <c r="H194" i="15" a="1"/>
  <c r="AG176" i="15" a="1"/>
  <c r="AT210" i="15" a="1"/>
  <c r="BU221" i="15" a="1"/>
  <c r="AQ216" i="15" a="1"/>
  <c r="AA207" i="15" a="1"/>
  <c r="BG194" i="15" a="1"/>
  <c r="AK181" i="15" a="1"/>
  <c r="AU218" i="15" a="1"/>
  <c r="U222" i="15" a="1"/>
  <c r="W213" i="15" a="1"/>
  <c r="J222" i="15" a="1"/>
  <c r="Z218" i="15" a="1"/>
  <c r="J216" i="15" a="1"/>
  <c r="AP217" i="15" a="1"/>
  <c r="AH192" i="15" a="1"/>
  <c r="AC211" i="15" a="1"/>
  <c r="AG202" i="15" a="1"/>
  <c r="AB212" i="15" a="1"/>
  <c r="Z207" i="15" a="1"/>
  <c r="BI196" i="15" a="1"/>
  <c r="BU212" i="15" a="1"/>
  <c r="J204" i="15" a="1"/>
  <c r="AI220" i="15" a="1"/>
  <c r="BJ212" i="15" a="1"/>
  <c r="Q223" i="15" a="1"/>
  <c r="U192" i="15" a="1"/>
  <c r="AG214" i="15" a="1"/>
  <c r="BN200" i="15" a="1"/>
  <c r="AZ212" i="15" a="1"/>
  <c r="AE219" i="15" a="1"/>
  <c r="AA206" i="15" a="1"/>
  <c r="BF180" i="15" a="1"/>
  <c r="BR216" i="15" a="1"/>
  <c r="AK202" i="15" a="1"/>
  <c r="BI210" i="15" a="1"/>
  <c r="AW211" i="15" a="1"/>
  <c r="BM199" i="15" a="1"/>
  <c r="N193" i="15" a="1"/>
  <c r="AM175" i="15" a="1"/>
  <c r="BS213" i="15" a="1"/>
  <c r="K218" i="15" a="1"/>
  <c r="AK218" i="15" a="1"/>
  <c r="E219" i="15" a="1"/>
  <c r="BI203" i="15" a="1"/>
  <c r="AX219" i="15" a="1"/>
  <c r="AR209" i="15" a="1"/>
  <c r="BA198" i="15" a="1"/>
  <c r="G222" i="15" a="1"/>
  <c r="P224" i="15" a="1"/>
  <c r="AF190" i="15" a="1"/>
  <c r="BR215" i="15" a="1"/>
  <c r="AT212" i="15" a="1"/>
  <c r="BE204" i="15" a="1"/>
  <c r="K224" i="15" a="1"/>
  <c r="AR193" i="15" a="1"/>
  <c r="AQ215" i="15" a="1"/>
  <c r="AP188" i="15" a="1"/>
  <c r="AO222" i="15" a="1"/>
  <c r="M205" i="15" a="1"/>
  <c r="AO207" i="15" a="1"/>
  <c r="BI216" i="15" a="1"/>
  <c r="BN208" i="15" a="1"/>
  <c r="K216" i="15" a="1"/>
  <c r="AX224" i="15" a="1"/>
  <c r="BC215" i="15" a="1"/>
  <c r="AT205" i="15" a="1"/>
  <c r="BG224" i="15" a="1"/>
  <c r="L216" i="15" a="1"/>
  <c r="O223" i="15" a="1"/>
  <c r="U212" i="15" a="1"/>
  <c r="T224" i="15" a="1"/>
  <c r="AO213" i="15" a="1"/>
  <c r="AN219" i="15" a="1"/>
  <c r="BR208" i="15" a="1"/>
  <c r="BF202" i="15" a="1"/>
  <c r="AQ219" i="15" a="1"/>
  <c r="E225" i="15" a="1"/>
  <c r="AI197" i="15" a="1"/>
  <c r="P225" i="15" a="1"/>
  <c r="K212" i="15" a="1"/>
  <c r="AT218" i="15" a="1"/>
  <c r="BP208" i="15" a="1"/>
  <c r="U218" i="15" a="1"/>
  <c r="S221" i="15" a="1"/>
  <c r="AA190" i="15" a="1"/>
  <c r="AF210" i="15" a="1"/>
  <c r="AF223" i="15" a="1"/>
  <c r="V194" i="15" a="1"/>
  <c r="BN207" i="15" a="1"/>
  <c r="H191" i="15" a="1"/>
  <c r="BB186" i="15" a="1"/>
  <c r="BK205" i="15" a="1"/>
  <c r="AX212" i="15" a="1"/>
  <c r="AS192" i="15" a="1"/>
  <c r="BM217" i="15" a="1"/>
  <c r="H217" i="15" a="1"/>
  <c r="AA216" i="15" a="1"/>
  <c r="AA208" i="15" a="1"/>
  <c r="O213" i="15" a="1"/>
  <c r="BO217" i="15" a="1"/>
  <c r="AT223" i="15" a="1"/>
  <c r="BH199" i="15" a="1"/>
  <c r="BN210" i="15" a="1"/>
  <c r="BM220" i="15" a="1"/>
  <c r="AO193" i="15" a="1"/>
  <c r="BP206" i="15" a="1"/>
  <c r="BQ181" i="15" a="1"/>
  <c r="BV215" i="15" a="1"/>
  <c r="AM197" i="15" a="1"/>
  <c r="BH185" i="15" a="1"/>
  <c r="W207" i="15" a="1"/>
  <c r="AZ222" i="15" a="1"/>
  <c r="F220" i="15" a="1"/>
  <c r="BP189" i="15" a="1"/>
  <c r="H212" i="15" a="1"/>
  <c r="BG172" i="15" a="1"/>
  <c r="E221" i="15" a="1"/>
  <c r="BF200" i="15" a="1"/>
  <c r="AT203" i="15" a="1"/>
  <c r="W217" i="15" a="1"/>
  <c r="BE220" i="15" a="1"/>
  <c r="S220" i="15" a="1"/>
  <c r="BM182" i="15" a="1"/>
  <c r="AE201" i="15" a="1"/>
  <c r="BC198" i="15" a="1"/>
  <c r="AG216" i="15" a="1"/>
  <c r="AX201" i="15" a="1"/>
  <c r="AR185" i="15" a="1"/>
  <c r="AW203" i="15" a="1"/>
  <c r="AA189" i="15" a="1"/>
  <c r="J182" i="15" a="1"/>
  <c r="AZ165" i="15" a="1"/>
  <c r="AB171" i="15" a="1"/>
  <c r="AC217" i="15" a="1"/>
  <c r="AF200" i="15" a="1"/>
  <c r="R184" i="15" a="1"/>
  <c r="AO201" i="15" a="1"/>
  <c r="AF221" i="15" a="1"/>
  <c r="AI216" i="15" a="1"/>
  <c r="AN191" i="15" a="1"/>
  <c r="V217" i="15" a="1"/>
  <c r="BF205" i="15" a="1"/>
  <c r="H183" i="15" a="1"/>
  <c r="H208" i="15" a="1"/>
  <c r="AC213" i="15" a="1"/>
  <c r="BL198" i="15" a="1"/>
  <c r="R214" i="15" a="1"/>
  <c r="AC196" i="15" a="1"/>
  <c r="BN209" i="15" a="1"/>
  <c r="BN184" i="15" a="1"/>
  <c r="BP224" i="15" a="1"/>
  <c r="N206" i="15" a="1"/>
  <c r="BG206" i="15" a="1"/>
  <c r="AZ211" i="15" a="1"/>
  <c r="AL178" i="15" a="1"/>
  <c r="AB199" i="15" a="1"/>
  <c r="M197" i="15" a="1"/>
  <c r="BT212" i="15" a="1"/>
  <c r="S204" i="15" a="1"/>
  <c r="AJ181" i="15" a="1"/>
  <c r="I198" i="15" a="1"/>
  <c r="AL185" i="15" a="1"/>
  <c r="AS184" i="15" a="1"/>
  <c r="I165" i="15" a="1"/>
  <c r="AD218" i="15" a="1"/>
  <c r="AZ221" i="15" a="1"/>
  <c r="AF211" i="15" a="1"/>
  <c r="AJ218" i="15" a="1"/>
  <c r="BK207" i="15" a="1"/>
  <c r="BN199" i="15" a="1"/>
  <c r="E204" i="15" a="1"/>
  <c r="BN224" i="15" a="1"/>
  <c r="V202" i="15" a="1"/>
  <c r="BT215" i="15" a="1"/>
  <c r="AG208" i="15" a="1"/>
  <c r="AC197" i="15" a="1"/>
  <c r="BK188" i="15" a="1"/>
  <c r="BS170" i="15" a="1"/>
  <c r="AG211" i="15" a="1"/>
  <c r="AM215" i="15" a="1"/>
  <c r="AG215" i="15" a="1"/>
  <c r="BT194" i="15" a="1"/>
  <c r="F207" i="15" a="1"/>
  <c r="BO200" i="15" a="1"/>
  <c r="Y206" i="15" a="1"/>
  <c r="N207" i="15" a="1"/>
  <c r="AE188" i="15" a="1"/>
  <c r="BO206" i="15" a="1"/>
  <c r="BL180" i="15" a="1"/>
  <c r="AD189" i="15" a="1"/>
  <c r="AI170" i="15" a="1"/>
  <c r="BR167" i="15" a="1"/>
  <c r="I222" i="15" a="1"/>
  <c r="N210" i="15" a="1"/>
  <c r="AV216" i="15" a="1"/>
  <c r="U199" i="15" a="1"/>
  <c r="BT216" i="15" a="1"/>
  <c r="I204" i="15" a="1"/>
  <c r="AJ201" i="15" a="1"/>
  <c r="AN205" i="15" a="1"/>
  <c r="S205" i="15" a="1"/>
  <c r="F219" i="15" a="1"/>
  <c r="AF214" i="15" a="1"/>
  <c r="R200" i="15" a="1"/>
  <c r="AL189" i="15" a="1"/>
  <c r="AH210" i="15" a="1"/>
  <c r="N220" i="15" a="1"/>
  <c r="AU216" i="15" a="1"/>
  <c r="BF212" i="15" a="1"/>
  <c r="J207" i="15" a="1"/>
  <c r="BP217" i="15" a="1"/>
  <c r="AW216" i="15" a="1"/>
  <c r="F203" i="15" a="1"/>
  <c r="BG218" i="15" a="1"/>
  <c r="G214" i="15" a="1"/>
  <c r="BQ200" i="15" a="1"/>
  <c r="AA209" i="15" a="1"/>
  <c r="BU188" i="15" a="1"/>
  <c r="AY215" i="15" a="1"/>
  <c r="Q197" i="15" a="1"/>
  <c r="K186" i="15" a="1"/>
  <c r="AK210" i="15" a="1"/>
  <c r="BM204" i="15" a="1"/>
  <c r="P217" i="15" a="1"/>
  <c r="AU208" i="15" a="1"/>
  <c r="AE199" i="15" a="1"/>
  <c r="X211" i="15" a="1"/>
  <c r="J224" i="15" a="1"/>
  <c r="AB220" i="15" a="1"/>
  <c r="E202" i="15" a="1"/>
  <c r="K225" i="15" a="1"/>
  <c r="BP225" i="15" a="1"/>
  <c r="O202" i="15" a="1"/>
  <c r="U170" i="15" a="1"/>
  <c r="S215" i="15" a="1"/>
  <c r="AS209" i="15" a="1"/>
  <c r="H188" i="15" a="1"/>
  <c r="AD217" i="15" a="1"/>
  <c r="AN209" i="15" a="1"/>
  <c r="AY220" i="15" a="1"/>
  <c r="AF219" i="15" a="1"/>
  <c r="AA198" i="15" a="1"/>
  <c r="BT209" i="15" a="1"/>
  <c r="AS208" i="15" a="1"/>
  <c r="T225" i="15" a="1"/>
  <c r="H197" i="15" a="1"/>
  <c r="AE214" i="15" a="1"/>
  <c r="AS203" i="15" a="1"/>
  <c r="E223" i="15" a="1"/>
  <c r="N219" i="15" a="1"/>
  <c r="AZ220" i="15" a="1"/>
  <c r="BT208" i="15" a="1"/>
  <c r="AU217" i="15" a="1"/>
  <c r="BM212" i="15" a="1"/>
  <c r="F183" i="15" a="1"/>
  <c r="BJ194" i="15" a="1"/>
  <c r="BD177" i="15" a="1"/>
  <c r="BM172" i="15" a="1"/>
  <c r="AY166" i="15" a="1"/>
  <c r="AU209" i="15" a="1"/>
  <c r="AS215" i="15" a="1"/>
  <c r="AJ212" i="15" a="1"/>
  <c r="BI181" i="15" a="1"/>
  <c r="AI218" i="15" a="1"/>
  <c r="BM223" i="15" a="1"/>
  <c r="BC205" i="15" a="1"/>
  <c r="V219" i="15" a="1"/>
  <c r="BF210" i="15" a="1"/>
  <c r="BO205" i="15" a="1"/>
  <c r="T222" i="15" a="1"/>
  <c r="AA199" i="15" a="1"/>
  <c r="BJ213" i="15" a="1"/>
  <c r="M196" i="15" a="1"/>
  <c r="J199" i="15" a="1"/>
  <c r="BK209" i="15" a="1"/>
  <c r="AW200" i="15" a="1"/>
  <c r="N187" i="15" a="1"/>
  <c r="BD225" i="15" a="1"/>
  <c r="W218" i="15" a="1"/>
  <c r="M200" i="15" a="1"/>
  <c r="BH212" i="15" a="1"/>
  <c r="BG212" i="15" a="1"/>
  <c r="AG210" i="15" a="1"/>
  <c r="BG204" i="15" a="1"/>
  <c r="Z211" i="15" a="1"/>
  <c r="BT205" i="15" a="1"/>
  <c r="S180" i="15" a="1"/>
  <c r="BT189" i="15" a="1"/>
  <c r="H174" i="15" a="1"/>
  <c r="AJ180" i="15" a="1"/>
  <c r="AV165" i="15" a="1"/>
  <c r="AP219" i="15" a="1"/>
  <c r="N213" i="15" a="1"/>
  <c r="J213" i="15" a="1"/>
  <c r="W214" i="15" a="1"/>
  <c r="AH198" i="15" a="1"/>
  <c r="Z185" i="15" a="1"/>
  <c r="AA222" i="15" a="1"/>
  <c r="BK203" i="15" a="1"/>
  <c r="S225" i="15" a="1"/>
  <c r="AV222" i="15" a="1"/>
  <c r="AH222" i="15" a="1"/>
  <c r="S217" i="15" a="1"/>
  <c r="AS221" i="15" a="1"/>
  <c r="AQ223" i="15" a="1"/>
  <c r="Y205" i="15" a="1"/>
  <c r="AC183" i="15" a="1"/>
  <c r="AP216" i="15" a="1"/>
  <c r="N205" i="15" a="1"/>
  <c r="BU172" i="15" a="1"/>
  <c r="BD222" i="15" a="1"/>
  <c r="AU222" i="15" a="1"/>
  <c r="BL217" i="15" a="1"/>
  <c r="AX198" i="15" a="1"/>
  <c r="E208" i="15" a="1"/>
  <c r="BD211" i="15" a="1"/>
  <c r="BA221" i="15" a="1"/>
  <c r="BF219" i="15" a="1"/>
  <c r="BC209" i="15" a="1"/>
  <c r="U219" i="15" a="1"/>
  <c r="AJ216" i="15" a="1"/>
  <c r="Y214" i="15" a="1"/>
  <c r="V220" i="15" a="1"/>
  <c r="AD202" i="15" a="1"/>
  <c r="AK201" i="15" a="1"/>
  <c r="AF169" i="15" a="1"/>
  <c r="BU223" i="15" a="1"/>
  <c r="AA223" i="15" a="1"/>
  <c r="AY225" i="15" a="1"/>
  <c r="K223" i="15" a="1"/>
  <c r="AO223" i="15" a="1"/>
  <c r="BL209" i="15" a="1"/>
  <c r="AH204" i="15" a="1"/>
  <c r="BV222" i="15" a="1"/>
  <c r="V209" i="15" a="1"/>
  <c r="BO223" i="15" a="1"/>
  <c r="M217" i="15" a="1"/>
  <c r="AU196" i="15" a="1"/>
  <c r="BL218" i="15" a="1"/>
  <c r="U200" i="15" a="1"/>
  <c r="AV210" i="15" a="1"/>
  <c r="BH225" i="15" a="1"/>
  <c r="AM205" i="15" a="1"/>
  <c r="BV196" i="15" a="1"/>
  <c r="AC218" i="15" a="1"/>
  <c r="AP222" i="15" a="1"/>
  <c r="Q218" i="15" a="1"/>
  <c r="K205" i="15" a="1"/>
  <c r="BT191" i="15" a="1"/>
  <c r="E214" i="15" a="1"/>
  <c r="BG183" i="15" a="1"/>
  <c r="X217" i="15" a="1"/>
  <c r="BQ191" i="15" a="1"/>
  <c r="O212" i="15" a="1"/>
  <c r="BG217" i="15" a="1"/>
  <c r="J206" i="15" a="1"/>
  <c r="Z217" i="15" a="1"/>
  <c r="BE201" i="15" a="1"/>
  <c r="AJ199" i="15" a="1"/>
  <c r="N167" i="15" a="1"/>
  <c r="T194" i="15" a="1"/>
  <c r="BS207" i="15" a="1"/>
  <c r="BP178" i="15" a="1"/>
  <c r="AE204" i="15" a="1"/>
  <c r="AY223" i="15" a="1"/>
  <c r="E200" i="15" a="1"/>
  <c r="O196" i="15" a="1"/>
  <c r="BA178" i="15" a="1"/>
  <c r="AR214" i="15" a="1"/>
  <c r="BC223" i="15" a="1"/>
  <c r="AA218" i="15" a="1"/>
  <c r="U210" i="15" a="1"/>
  <c r="BO195" i="15" a="1"/>
  <c r="BA192" i="15" a="1"/>
  <c r="BT203" i="15" a="1"/>
  <c r="BH196" i="15" a="1"/>
  <c r="O208" i="15" a="1"/>
  <c r="BG220" i="15" a="1"/>
  <c r="BE214" i="15" a="1"/>
  <c r="AB204" i="15" a="1"/>
  <c r="N192" i="15" a="1"/>
  <c r="BD175" i="15" a="1"/>
  <c r="BE225" i="15" a="1"/>
  <c r="AC210" i="15" a="1"/>
  <c r="AV195" i="15" a="1"/>
  <c r="AP201" i="15" a="1"/>
  <c r="AF212" i="15" a="1"/>
  <c r="E207" i="15" a="1"/>
  <c r="Q216" i="15" a="1"/>
  <c r="BS197" i="15" a="1"/>
  <c r="Y191" i="15" a="1"/>
  <c r="W175" i="15" a="1"/>
  <c r="AR190" i="15" a="1"/>
  <c r="N200" i="15" a="1"/>
  <c r="V175" i="15" a="1"/>
  <c r="X219" i="15" a="1"/>
  <c r="L209" i="15" a="1"/>
  <c r="AK219" i="15" a="1"/>
  <c r="BB205" i="15" a="1"/>
  <c r="R210" i="15" a="1"/>
  <c r="AZ189" i="15" a="1"/>
  <c r="AV223" i="15" a="1"/>
  <c r="AJ221" i="15" a="1"/>
  <c r="S211" i="15" a="1"/>
  <c r="AF215" i="15" a="1"/>
  <c r="BC196" i="15" a="1"/>
  <c r="BN219" i="15" a="1"/>
  <c r="BU193" i="15" a="1"/>
  <c r="AF225" i="15" a="1"/>
  <c r="P213" i="15" a="1"/>
  <c r="BJ221" i="15" a="1"/>
  <c r="AU185" i="15" a="1"/>
  <c r="Z209" i="15" a="1"/>
  <c r="AD198" i="15" a="1"/>
  <c r="BM171" i="15" a="1"/>
  <c r="W224" i="15" a="1"/>
  <c r="AK223" i="15" a="1"/>
  <c r="BB212" i="15" a="1"/>
  <c r="BN214" i="15" a="1"/>
  <c r="BF223" i="15" a="1"/>
  <c r="AO218" i="15" a="1"/>
  <c r="BT207" i="15" a="1"/>
  <c r="BH220" i="15" a="1"/>
  <c r="BS211" i="15" a="1"/>
  <c r="BS206" i="15" a="1"/>
  <c r="BI195" i="15" a="1"/>
  <c r="U203" i="15" a="1"/>
  <c r="BO218" i="15" a="1"/>
  <c r="BC210" i="15" a="1"/>
  <c r="AU194" i="15" a="1"/>
  <c r="BI167" i="15" a="1"/>
  <c r="BG221" i="15" a="1"/>
  <c r="L222" i="15" a="1"/>
  <c r="BL225" i="15" a="1"/>
  <c r="BB223" i="15" a="1"/>
  <c r="X222" i="15" a="1"/>
  <c r="AZ201" i="15" a="1"/>
  <c r="AY212" i="15" a="1"/>
  <c r="AB213" i="15" a="1"/>
  <c r="BB203" i="15" a="1"/>
  <c r="AY213" i="15" a="1"/>
  <c r="BP201" i="15" a="1"/>
  <c r="BG193" i="15" a="1"/>
  <c r="AB218" i="15" a="1"/>
  <c r="BG225" i="15" a="1"/>
  <c r="AQ201" i="15" a="1"/>
  <c r="BF215" i="15" a="1"/>
  <c r="BI200" i="15" a="1"/>
  <c r="AG218" i="15" a="1"/>
  <c r="AY224" i="15" a="1"/>
  <c r="BE209" i="15" a="1"/>
  <c r="AC204" i="15" a="1"/>
  <c r="BE189" i="15" a="1"/>
  <c r="BC221" i="15" a="1"/>
  <c r="AY203" i="15" a="1"/>
  <c r="AF179" i="15" a="1"/>
  <c r="W212" i="15" a="1"/>
  <c r="AS224" i="15" a="1"/>
  <c r="BF201" i="15" a="1"/>
  <c r="G216" i="15" a="1"/>
  <c r="L204" i="15" a="1"/>
  <c r="AN211" i="15" a="1"/>
  <c r="BJ220" i="15" a="1"/>
  <c r="AI189" i="15" a="1"/>
  <c r="Q210" i="15" a="1"/>
  <c r="BN186" i="15" a="1"/>
  <c r="AA197" i="15" a="1"/>
  <c r="BE177" i="15" a="1"/>
  <c r="AI183" i="15" a="1"/>
  <c r="BN211" i="15" a="1"/>
  <c r="AZ216" i="15" a="1"/>
  <c r="AB196" i="15" a="1"/>
  <c r="AQ210" i="15" a="1"/>
  <c r="AO217" i="15" a="1"/>
  <c r="BO194" i="15" a="1"/>
  <c r="BS212" i="15" a="1"/>
  <c r="S218" i="15" a="1"/>
  <c r="BU213" i="15" a="1"/>
  <c r="F209" i="15" a="1"/>
  <c r="Y212" i="15" a="1"/>
  <c r="O179" i="15" a="1"/>
  <c r="BT206" i="15" a="1"/>
  <c r="BE223" i="15" a="1"/>
  <c r="AG222" i="15" a="1"/>
  <c r="BS198" i="15" a="1"/>
  <c r="T192" i="15" a="1"/>
  <c r="AU174" i="15" a="1"/>
  <c r="L212" i="15" a="1"/>
  <c r="BP214" i="15" a="1"/>
  <c r="AN218" i="15" a="1"/>
  <c r="BH195" i="15" a="1"/>
  <c r="AO211" i="15" a="1"/>
  <c r="BE203" i="15" a="1"/>
  <c r="AH208" i="15" a="1"/>
  <c r="AA211" i="15" a="1"/>
  <c r="BP192" i="15" a="1"/>
  <c r="BM209" i="15" a="1"/>
  <c r="T183" i="15" a="1"/>
  <c r="AZ196" i="15" a="1"/>
  <c r="K174" i="15" a="1"/>
  <c r="AR217" i="15" a="1"/>
  <c r="R211" i="15" a="1"/>
  <c r="AM221" i="15" a="1"/>
  <c r="U198" i="15" a="1"/>
  <c r="BI223" i="15" a="1"/>
  <c r="BC208" i="15" a="1"/>
  <c r="AZ217" i="15" a="1"/>
  <c r="AI182" i="15" a="1"/>
  <c r="AU224" i="15" a="1"/>
  <c r="AB219" i="15" a="1"/>
  <c r="BJ211" i="15" a="1"/>
  <c r="BU203" i="15" a="1"/>
  <c r="U196" i="15" a="1"/>
  <c r="I172" i="15" a="1"/>
  <c r="AB217" i="15" a="1"/>
  <c r="AP207" i="15" a="1"/>
  <c r="BJ190" i="15" a="1"/>
  <c r="BB199" i="15" a="1"/>
  <c r="N211" i="15" a="1"/>
  <c r="AL202" i="15" a="1"/>
  <c r="BM211" i="15" a="1"/>
  <c r="K190" i="15" a="1"/>
  <c r="H193" i="15" a="1"/>
  <c r="AM170" i="15" a="1"/>
  <c r="Q187" i="15" a="1"/>
  <c r="BI199" i="15" a="1"/>
  <c r="AT171" i="15" a="1"/>
  <c r="AV194" i="15" a="1"/>
  <c r="AP225" i="15" a="1"/>
  <c r="BL195" i="15" a="1"/>
  <c r="R198" i="15" a="1"/>
  <c r="Q190" i="15" a="1"/>
  <c r="AZ181" i="15" a="1"/>
  <c r="AA205" i="15" a="1"/>
  <c r="O215" i="15" a="1"/>
  <c r="AW189" i="15" a="1"/>
  <c r="AI210" i="15" a="1"/>
  <c r="BK185" i="15" a="1"/>
  <c r="E182" i="15" a="1"/>
  <c r="Y179" i="15" a="1"/>
  <c r="BP205" i="15" a="1"/>
  <c r="E206" i="15" a="1"/>
  <c r="BG186" i="15" a="1"/>
  <c r="N204" i="15" a="1"/>
  <c r="BV214" i="15" a="1"/>
  <c r="V200" i="15" a="1"/>
  <c r="K206" i="15" a="1"/>
  <c r="AC212" i="15" a="1"/>
  <c r="J210" i="15" a="1"/>
  <c r="AU171" i="15" a="1"/>
  <c r="G215" i="15" a="1"/>
  <c r="J205" i="15" a="1"/>
  <c r="E170" i="15" a="1"/>
  <c r="AH203" i="15" a="1"/>
  <c r="BC218" i="15" a="1"/>
  <c r="BQ216" i="15" a="1"/>
  <c r="BA211" i="15" a="1"/>
  <c r="BK223" i="15" a="1"/>
  <c r="O211" i="15" a="1"/>
  <c r="AV203" i="15" a="1"/>
  <c r="BR178" i="15" a="1"/>
  <c r="AK196" i="15" a="1"/>
  <c r="T172" i="15" a="1"/>
  <c r="AU177" i="15" a="1"/>
  <c r="BJ165" i="15" a="1"/>
  <c r="BV220" i="15" a="1"/>
  <c r="I207" i="15" a="1"/>
  <c r="W203" i="15" a="1"/>
  <c r="AB177" i="15" a="1"/>
  <c r="BQ194" i="15" a="1"/>
  <c r="BV204" i="15" a="1"/>
  <c r="Z225" i="15" a="1"/>
  <c r="BO213" i="15" a="1"/>
  <c r="AN202" i="15" a="1"/>
  <c r="BU217" i="15" a="1"/>
  <c r="BH168" i="15" a="1"/>
  <c r="AN213" i="15" a="1"/>
  <c r="BV188" i="15" a="1"/>
  <c r="AS189" i="15" a="1"/>
  <c r="AN215" i="15" a="1"/>
  <c r="AV197" i="15" a="1"/>
  <c r="AO209" i="15" a="1"/>
  <c r="BA173" i="15" a="1"/>
  <c r="BQ187" i="15" a="1"/>
  <c r="BH203" i="15" a="1"/>
  <c r="F200" i="15" a="1"/>
  <c r="BD204" i="15" a="1"/>
  <c r="AX206" i="15" a="1"/>
  <c r="BM185" i="15" a="1"/>
  <c r="Z202" i="15" a="1"/>
  <c r="AU187" i="15" a="1"/>
  <c r="BU185" i="15" a="1"/>
  <c r="T168" i="15" a="1"/>
  <c r="AT215" i="15" a="1"/>
  <c r="K191" i="15" a="1"/>
  <c r="AE206" i="15" a="1"/>
  <c r="AL183" i="15" a="1"/>
  <c r="F212" i="15" a="1"/>
  <c r="AD215" i="15" a="1"/>
  <c r="BM208" i="15" a="1"/>
  <c r="BR204" i="15" a="1"/>
  <c r="AH176" i="15" a="1"/>
  <c r="AF170" i="15" a="1"/>
  <c r="E165" i="15" a="1"/>
  <c r="BQ209" i="15" a="1"/>
  <c r="AB198" i="15" a="1"/>
  <c r="U184" i="15" a="1"/>
  <c r="Y217" i="15" a="1"/>
  <c r="T201" i="15" a="1"/>
  <c r="AI213" i="15" a="1"/>
  <c r="AG193" i="15" a="1"/>
  <c r="BS196" i="15" a="1"/>
  <c r="BF218" i="15" a="1"/>
  <c r="BN197" i="15" a="1"/>
  <c r="U176" i="15" a="1"/>
  <c r="AT204" i="15" a="1"/>
  <c r="T200" i="15" a="1"/>
  <c r="BR190" i="15" a="1"/>
  <c r="I203" i="15" a="1"/>
  <c r="BA214" i="15" a="1"/>
  <c r="W205" i="15" a="1"/>
  <c r="U215" i="15" a="1"/>
  <c r="M195" i="15" a="1"/>
  <c r="AH196" i="15" a="1"/>
  <c r="E173" i="15" a="1"/>
  <c r="I189" i="15" a="1"/>
  <c r="AI201" i="15" a="1"/>
  <c r="AH173" i="15" a="1"/>
  <c r="AS194" i="15" a="1"/>
  <c r="O214" i="15" a="1"/>
  <c r="BA191" i="15" a="1"/>
  <c r="Z194" i="15" a="1"/>
  <c r="AG171" i="15" a="1"/>
  <c r="BM187" i="15" a="1"/>
  <c r="BR203" i="15" a="1"/>
  <c r="AX223" i="15" a="1"/>
  <c r="AG212" i="15" a="1"/>
  <c r="BN225" i="15" a="1"/>
  <c r="AS205" i="15" a="1"/>
  <c r="BB215" i="15" a="1"/>
  <c r="Y209" i="15" a="1"/>
  <c r="AU195" i="15" a="1"/>
  <c r="AC168" i="15" a="1"/>
  <c r="J212" i="15" a="1"/>
  <c r="M189" i="15" a="1"/>
  <c r="K207" i="15" a="1"/>
  <c r="BO212" i="15" a="1"/>
  <c r="G170" i="15" a="1"/>
  <c r="L193" i="15" a="1"/>
  <c r="R217" i="15" a="1"/>
  <c r="BH210" i="15" a="1"/>
  <c r="Q199" i="15" a="1"/>
  <c r="AA183" i="15" a="1"/>
  <c r="AW193" i="15" a="1"/>
  <c r="K181" i="15" a="1"/>
  <c r="AG181" i="15" a="1"/>
  <c r="AW175" i="15" a="1"/>
  <c r="AO167" i="15" a="1"/>
  <c r="AH207" i="15" a="1"/>
  <c r="BJ198" i="15" a="1"/>
  <c r="BD188" i="15" a="1"/>
  <c r="K192" i="15" a="1"/>
  <c r="AO186" i="15" a="1"/>
  <c r="S196" i="15" a="1"/>
  <c r="AE202" i="15" a="1"/>
  <c r="AJ198" i="15" a="1"/>
  <c r="BE182" i="15" a="1"/>
  <c r="X176" i="15" a="1"/>
  <c r="BG200" i="15" a="1"/>
  <c r="AZ225" i="15" a="1"/>
  <c r="BC206" i="15" a="1"/>
  <c r="BI208" i="15" a="1"/>
  <c r="AF205" i="15" a="1"/>
  <c r="AL221" i="15" a="1"/>
  <c r="BC203" i="15" a="1"/>
  <c r="AA177" i="15" a="1"/>
  <c r="BF224" i="15" a="1"/>
  <c r="AW198" i="15" a="1"/>
  <c r="E197" i="15" a="1"/>
  <c r="X184" i="15" a="1"/>
  <c r="BH170" i="15" a="1"/>
  <c r="S206" i="15" a="1"/>
  <c r="AN204" i="15" a="1"/>
  <c r="H175" i="15" a="1"/>
  <c r="BF220" i="15" a="1"/>
  <c r="P219" i="15" a="1"/>
  <c r="BM214" i="15" a="1"/>
  <c r="E181" i="15" a="1"/>
  <c r="R192" i="15" a="1"/>
  <c r="AR201" i="15" a="1"/>
  <c r="N215" i="15" a="1"/>
  <c r="I223" i="15" a="1"/>
  <c r="BS199" i="15" a="1"/>
  <c r="BD212" i="15" a="1"/>
  <c r="BJ174" i="15" a="1"/>
  <c r="G195" i="15" a="1"/>
  <c r="BB209" i="15" a="1"/>
  <c r="BQ201" i="15" a="1"/>
  <c r="AF206" i="15" a="1"/>
  <c r="BG209" i="15" a="1"/>
  <c r="AV190" i="15" a="1"/>
  <c r="BQ205" i="15" a="1"/>
  <c r="BF181" i="15" a="1"/>
  <c r="F193" i="15" a="1"/>
  <c r="W172" i="15" a="1"/>
  <c r="BC171" i="15" a="1"/>
  <c r="BO204" i="15" a="1"/>
  <c r="BQ208" i="15" a="1"/>
  <c r="F189" i="15" a="1"/>
  <c r="BN205" i="15" a="1"/>
  <c r="R181" i="15" a="1"/>
  <c r="W208" i="15" a="1"/>
  <c r="AH200" i="15" a="1"/>
  <c r="AR225" i="15" a="1"/>
  <c r="BA184" i="15" a="1"/>
  <c r="E201" i="15" a="1"/>
  <c r="G207" i="15" a="1"/>
  <c r="AH201" i="15" a="1"/>
  <c r="U216" i="15" a="1"/>
  <c r="AB195" i="15" a="1"/>
  <c r="AM196" i="15" a="1"/>
  <c r="BQ173" i="15" a="1"/>
  <c r="G198" i="15" a="1"/>
  <c r="AC200" i="15" a="1"/>
  <c r="AB209" i="15" a="1"/>
  <c r="AE209" i="15" a="1"/>
  <c r="AX222" i="15" a="1"/>
  <c r="BI204" i="15" a="1"/>
  <c r="AZ202" i="15" a="1"/>
  <c r="M174" i="15" a="1"/>
  <c r="AU191" i="15" a="1"/>
  <c r="BT168" i="15" a="1"/>
  <c r="BB172" i="15" a="1"/>
  <c r="C192" i="15" a="1"/>
  <c r="AS220" i="15" a="1"/>
  <c r="AI203" i="15" a="1"/>
  <c r="BG202" i="15" a="1"/>
  <c r="AO172" i="15" a="1"/>
  <c r="I190" i="15" a="1"/>
  <c r="BU210" i="15" a="1"/>
  <c r="BG216" i="15" a="1"/>
  <c r="AK189" i="15" a="1"/>
  <c r="AX189" i="15" a="1"/>
  <c r="AB174" i="15" a="1"/>
  <c r="BB213" i="15" a="1"/>
  <c r="N196" i="15" a="1"/>
  <c r="BH217" i="15" a="1"/>
  <c r="P212" i="15" a="1"/>
  <c r="BE190" i="15" a="1"/>
  <c r="BH187" i="15" a="1"/>
  <c r="AY178" i="15" a="1"/>
  <c r="AD210" i="15" a="1"/>
  <c r="AL197" i="15" a="1"/>
  <c r="BS204" i="15" a="1"/>
  <c r="BJ206" i="15" a="1"/>
  <c r="U187" i="15" a="1"/>
  <c r="AO188" i="15" a="1"/>
  <c r="AO169" i="15" a="1"/>
  <c r="AH205" i="15" a="1"/>
  <c r="AF198" i="15" a="1"/>
  <c r="AW176" i="15" a="1"/>
  <c r="AC202" i="15" a="1"/>
  <c r="M191" i="15" a="1"/>
  <c r="L199" i="15" a="1"/>
  <c r="G175" i="15" a="1"/>
  <c r="BC165" i="15" a="1"/>
  <c r="BD196" i="15" a="1"/>
  <c r="AG191" i="15" a="1"/>
  <c r="BR194" i="15" a="1"/>
  <c r="W168" i="15" a="1"/>
  <c r="AE196" i="15" a="1"/>
  <c r="C210" i="15" a="1"/>
  <c r="V198" i="15" a="1"/>
  <c r="AW170" i="15" a="1"/>
  <c r="G177" i="15" a="1"/>
  <c r="AJ173" i="15" a="1"/>
  <c r="AE216" i="15" a="1"/>
  <c r="AM214" i="15" a="1"/>
  <c r="AX200" i="15" a="1"/>
  <c r="Q185" i="15" a="1"/>
  <c r="AF217" i="15" a="1"/>
  <c r="O203" i="15" a="1"/>
  <c r="BG185" i="15" a="1"/>
  <c r="K220" i="15" a="1"/>
  <c r="I195" i="15" a="1"/>
  <c r="BL215" i="15" a="1"/>
  <c r="BT183" i="15" a="1"/>
  <c r="BS205" i="15" a="1"/>
  <c r="AC207" i="15" a="1"/>
  <c r="AN200" i="15" a="1"/>
  <c r="Z213" i="15" a="1"/>
  <c r="BQ192" i="15" a="1"/>
  <c r="Y192" i="15" a="1"/>
  <c r="BE212" i="15" a="1"/>
  <c r="BB188" i="15" a="1"/>
  <c r="T193" i="15" a="1"/>
  <c r="AT179" i="15" a="1"/>
  <c r="X181" i="15" a="1"/>
  <c r="BP213" i="15" a="1"/>
  <c r="AA191" i="15" a="1"/>
  <c r="S198" i="15" a="1"/>
  <c r="AH218" i="15" a="1"/>
  <c r="BA199" i="15" a="1"/>
  <c r="AH212" i="15" a="1"/>
  <c r="BL220" i="15" a="1"/>
  <c r="AF201" i="15" a="1"/>
  <c r="E194" i="15" a="1"/>
  <c r="O175" i="15" a="1"/>
  <c r="AC225" i="15" a="1"/>
  <c r="AF195" i="15" a="1"/>
  <c r="T191" i="15" a="1"/>
  <c r="AM168" i="15" a="1"/>
  <c r="BO224" i="15" a="1"/>
  <c r="BS221" i="15" a="1"/>
  <c r="P222" i="15" a="1"/>
  <c r="AV215" i="15" a="1"/>
  <c r="BU206" i="15" a="1"/>
  <c r="AA201" i="15" a="1"/>
  <c r="Z170" i="15" a="1"/>
  <c r="L225" i="15" a="1"/>
  <c r="G189" i="15" a="1"/>
  <c r="AD206" i="15" a="1"/>
  <c r="AC205" i="15" a="1"/>
  <c r="O171" i="15" a="1"/>
  <c r="AI194" i="15" a="1"/>
  <c r="Y195" i="15" a="1"/>
  <c r="Y210" i="15" a="1"/>
  <c r="M201" i="15" a="1"/>
  <c r="M188" i="15" a="1"/>
  <c r="AU198" i="15" a="1"/>
  <c r="AX183" i="15" a="1"/>
  <c r="BR187" i="15" a="1"/>
  <c r="C173" i="15" a="1"/>
  <c r="AJ174" i="15" a="1"/>
  <c r="BI211" i="15" a="1"/>
  <c r="BG199" i="15" a="1"/>
  <c r="BE186" i="15" a="1"/>
  <c r="AL198" i="15" a="1"/>
  <c r="AW202" i="15" a="1"/>
  <c r="AL199" i="15" a="1"/>
  <c r="AM206" i="15" a="1"/>
  <c r="BV216" i="15" a="1"/>
  <c r="AS212" i="15" a="1"/>
  <c r="AE191" i="15" a="1"/>
  <c r="BE194" i="15" a="1"/>
  <c r="BA215" i="15" a="1"/>
  <c r="AO183" i="15" a="1"/>
  <c r="L178" i="15" a="1"/>
  <c r="BA201" i="15" a="1"/>
  <c r="BU199" i="15" a="1"/>
  <c r="Z191" i="15" a="1"/>
  <c r="AI196" i="15" a="1"/>
  <c r="BS209" i="15" a="1"/>
  <c r="AA203" i="15" a="1"/>
  <c r="AT224" i="15" a="1"/>
  <c r="BH193" i="15" a="1"/>
  <c r="F190" i="15" a="1"/>
  <c r="AN223" i="15" a="1"/>
  <c r="AC185" i="15" a="1"/>
  <c r="AQ194" i="15" a="1"/>
  <c r="BF169" i="15" a="1"/>
  <c r="G188" i="15" a="1"/>
  <c r="S219" i="15" a="1"/>
  <c r="AD190" i="15" a="1"/>
  <c r="BM196" i="15" a="1"/>
  <c r="H220" i="15" a="1"/>
  <c r="S184" i="15" a="1"/>
  <c r="AS195" i="15" a="1"/>
  <c r="X213" i="15" a="1"/>
  <c r="BN180" i="15" a="1"/>
  <c r="AR184" i="15" a="1"/>
  <c r="C223" i="15" a="1"/>
  <c r="AC214" i="15" a="1"/>
  <c r="BO187" i="15" a="1"/>
  <c r="E222" i="15" a="1"/>
  <c r="BQ221" i="15" a="1"/>
  <c r="P184" i="15" a="1"/>
  <c r="AX178" i="15" a="1"/>
  <c r="X167" i="15" a="1"/>
  <c r="AR218" i="15" a="1"/>
  <c r="BH182" i="15" a="1"/>
  <c r="M209" i="15" a="1"/>
  <c r="AE207" i="15" a="1"/>
  <c r="X175" i="15" a="1"/>
  <c r="AL169" i="15" a="1"/>
  <c r="W184" i="15" a="1"/>
  <c r="N198" i="15" a="1"/>
  <c r="BD202" i="15" a="1"/>
  <c r="BO199" i="15" a="1"/>
  <c r="AG186" i="15" a="1"/>
  <c r="Z180" i="15" a="1"/>
  <c r="AO203" i="15" a="1"/>
  <c r="BJ199" i="15" a="1"/>
  <c r="AP214" i="15" a="1"/>
  <c r="Y188" i="15" a="1"/>
  <c r="BA183" i="15" a="1"/>
  <c r="L198" i="15" a="1"/>
  <c r="W194" i="15" a="1"/>
  <c r="AR186" i="15" a="1"/>
  <c r="J211" i="15" a="1"/>
  <c r="BE187" i="15" a="1"/>
  <c r="AP204" i="15" a="1"/>
  <c r="BM165" i="15" a="1"/>
  <c r="BL196" i="15" a="1"/>
  <c r="U213" i="15" a="1"/>
  <c r="BD189" i="15" a="1"/>
  <c r="P216" i="15" a="1"/>
  <c r="AP224" i="15" a="1"/>
  <c r="AV187" i="15" a="1"/>
  <c r="AU207" i="15" a="1"/>
  <c r="AA182" i="15" a="1"/>
  <c r="V215" i="15" a="1"/>
  <c r="AM193" i="15" a="1"/>
  <c r="AR199" i="15" a="1"/>
  <c r="BV225" i="15" a="1"/>
  <c r="T181" i="15" a="1"/>
  <c r="AR202" i="15" a="1"/>
  <c r="AR198" i="15" a="1"/>
  <c r="X221" i="15" a="1"/>
  <c r="L203" i="15" a="1"/>
  <c r="J188" i="15" a="1"/>
  <c r="BV203" i="15" a="1"/>
  <c r="BS183" i="15" a="1"/>
  <c r="AZ185" i="15" a="1"/>
  <c r="BV166" i="15" a="1"/>
  <c r="AW178" i="15" a="1"/>
  <c r="AS202" i="15" a="1"/>
  <c r="O174" i="15" a="1"/>
  <c r="AQ211" i="15" a="1"/>
  <c r="W216" i="15" a="1"/>
  <c r="BA174" i="15" a="1"/>
  <c r="AV212" i="15" a="1"/>
  <c r="AR223" i="15" a="1"/>
  <c r="BI192" i="15" a="1"/>
  <c r="AQ198" i="15" a="1"/>
  <c r="F182" i="15" a="1"/>
  <c r="BU165" i="15" a="1"/>
  <c r="AB181" i="15" a="1"/>
  <c r="AP203" i="15" a="1"/>
  <c r="BA209" i="15" a="1"/>
  <c r="AA181" i="15" a="1"/>
  <c r="J173" i="15" a="1"/>
  <c r="BJ179" i="15" a="1"/>
  <c r="BD192" i="15" a="1"/>
  <c r="BR218" i="15" a="1"/>
  <c r="BP209" i="15" a="1"/>
  <c r="AD201" i="15" a="1"/>
  <c r="AO194" i="15" a="1"/>
  <c r="Z208" i="15" a="1"/>
  <c r="AU203" i="15" a="1"/>
  <c r="AX220" i="15" a="1"/>
  <c r="M198" i="15" a="1"/>
  <c r="H196" i="15" a="1"/>
  <c r="AQ167" i="15" a="1"/>
  <c r="BR211" i="15" a="1"/>
  <c r="AY219" i="15" a="1"/>
  <c r="AQ218" i="15" a="1"/>
  <c r="BR183" i="15" a="1"/>
  <c r="BD195" i="15" a="1"/>
  <c r="BD223" i="15" a="1"/>
  <c r="Z212" i="15" a="1"/>
  <c r="BE195" i="15" a="1"/>
  <c r="BU189" i="15" a="1"/>
  <c r="AD178" i="15" a="1"/>
  <c r="AS217" i="15" a="1"/>
  <c r="BD221" i="15" a="1"/>
  <c r="AQ214" i="15" a="1"/>
  <c r="BS222" i="15" a="1"/>
  <c r="BO203" i="15" a="1"/>
  <c r="W195" i="15" a="1"/>
  <c r="AC176" i="15" a="1"/>
  <c r="H219" i="15" a="1"/>
  <c r="BR200" i="15" a="1"/>
  <c r="BP215" i="15" a="1"/>
  <c r="R215" i="15" a="1"/>
  <c r="I197" i="15" a="1"/>
  <c r="Z193" i="15" a="1"/>
  <c r="BV177" i="15" a="1"/>
  <c r="AJ189" i="15" a="1"/>
  <c r="M208" i="15" a="1"/>
  <c r="R182" i="15" a="1"/>
  <c r="AW180" i="15" a="1"/>
  <c r="BH173" i="15" a="1"/>
  <c r="I209" i="15" a="1"/>
  <c r="AT187" i="15" a="1"/>
  <c r="L182" i="15" a="1"/>
  <c r="AQ196" i="15" a="1"/>
  <c r="BA210" i="15" a="1"/>
  <c r="Y193" i="15" a="1"/>
  <c r="Q180" i="15" a="1"/>
  <c r="T186" i="15" a="1"/>
  <c r="Y211" i="15" a="1"/>
  <c r="H185" i="15" a="1"/>
  <c r="BS210" i="15" a="1"/>
  <c r="BP183" i="15" a="1"/>
  <c r="AK170" i="15" a="1"/>
  <c r="AL209" i="15" a="1"/>
  <c r="AV217" i="15" a="1"/>
  <c r="AU192" i="15" a="1"/>
  <c r="W199" i="15" a="1"/>
  <c r="AZ197" i="15" a="1"/>
  <c r="R203" i="15" a="1"/>
  <c r="AK211" i="15" a="1"/>
  <c r="BL206" i="15" a="1"/>
  <c r="BA203" i="15" a="1"/>
  <c r="AO171" i="15" a="1"/>
  <c r="K201" i="15" a="1"/>
  <c r="G194" i="15" a="1"/>
  <c r="AI224" i="15" a="1"/>
  <c r="BD183" i="15" a="1"/>
  <c r="AY193" i="15" a="1"/>
  <c r="BQ190" i="15" a="1"/>
  <c r="BE178" i="15" a="1"/>
  <c r="G173" i="15" a="1"/>
  <c r="AM173" i="15" a="1"/>
  <c r="AM198" i="15" a="1"/>
  <c r="V185" i="15" a="1"/>
  <c r="AC221" i="15" a="1"/>
  <c r="AA202" i="15" a="1"/>
  <c r="BK189" i="15" a="1"/>
  <c r="AH168" i="15" a="1"/>
  <c r="BB193" i="15" a="1"/>
  <c r="Q188" i="15" a="1"/>
  <c r="BP196" i="15" a="1"/>
  <c r="BU166" i="15" a="1"/>
  <c r="BC178" i="15" a="1"/>
  <c r="C217" i="15" a="1"/>
  <c r="BE206" i="15" a="1"/>
  <c r="AU188" i="15" a="1"/>
  <c r="BT180" i="15" a="1"/>
  <c r="AX173" i="15" a="1"/>
  <c r="R195" i="15" a="1"/>
  <c r="AI181" i="15" a="1"/>
  <c r="X215" i="15" a="1"/>
  <c r="AB197" i="15" a="1"/>
  <c r="R189" i="15" a="1"/>
  <c r="AC173" i="15" a="1"/>
  <c r="AQ187" i="15" a="1"/>
  <c r="H186" i="15" a="1"/>
  <c r="AJ185" i="15" a="1"/>
  <c r="AR194" i="15" a="1"/>
  <c r="V207" i="15" a="1"/>
  <c r="AZ187" i="15" a="1"/>
  <c r="AZ215" i="15" a="1"/>
  <c r="AN183" i="15" a="1"/>
  <c r="AP187" i="15" a="1"/>
  <c r="BO167" i="15" a="1"/>
  <c r="BD203" i="15" a="1"/>
  <c r="BD180" i="15" a="1"/>
  <c r="AO185" i="15" a="1"/>
  <c r="AQ199" i="15" a="1"/>
  <c r="BQ197" i="15" a="1"/>
  <c r="BI225" i="15" a="1"/>
  <c r="T208" i="15" a="1"/>
  <c r="AR182" i="15" a="1"/>
  <c r="AR204" i="15" a="1"/>
  <c r="U188" i="15" a="1"/>
  <c r="H202" i="15" a="1"/>
  <c r="BK202" i="15" a="1"/>
  <c r="Z182" i="15" a="1"/>
  <c r="Q208" i="15" a="1"/>
  <c r="S202" i="15" a="1"/>
  <c r="BR186" i="15" a="1"/>
  <c r="AA166" i="15" a="1"/>
  <c r="AB185" i="15" a="1"/>
  <c r="BE208" i="15" a="1"/>
  <c r="AQ181" i="15" a="1"/>
  <c r="AZ204" i="15" a="1"/>
  <c r="O209" i="15" a="1"/>
  <c r="BK180" i="15" a="1"/>
  <c r="BS208" i="15" a="1"/>
  <c r="Y183" i="15" a="1"/>
  <c r="BF213" i="15" a="1"/>
  <c r="AR203" i="15" a="1"/>
  <c r="BA176" i="15" a="1"/>
  <c r="AX218" i="15" a="1"/>
  <c r="F174" i="15" a="1"/>
  <c r="BK206" i="15" a="1"/>
  <c r="T173" i="15" a="1"/>
  <c r="X205" i="15" a="1"/>
  <c r="P170" i="15" a="1"/>
  <c r="K215" i="15" a="1"/>
  <c r="BH181" i="15" a="1"/>
  <c r="BR185" i="15" a="1"/>
  <c r="AN180" i="15" a="1"/>
  <c r="U167" i="15" a="1"/>
  <c r="AM177" i="15" a="1"/>
  <c r="AL171" i="15" a="1"/>
  <c r="J194" i="15" a="1"/>
  <c r="BP167" i="15" a="1"/>
  <c r="BM183" i="15" a="1"/>
  <c r="BU201" i="15" a="1"/>
  <c r="AD167" i="15" a="1"/>
  <c r="BD206" i="15" a="1"/>
  <c r="T165" i="15" a="1"/>
  <c r="AU200" i="15" a="1"/>
  <c r="BB210" i="15" a="1"/>
  <c r="AC206" i="15" a="1"/>
  <c r="BV185" i="15" a="1"/>
  <c r="AL180" i="15" a="1"/>
  <c r="BM173" i="15" a="1"/>
  <c r="AK168" i="15" a="1"/>
  <c r="AJ171" i="15" a="1"/>
  <c r="AS210" i="15" a="1"/>
  <c r="BM188" i="15" a="1"/>
  <c r="BQ174" i="15" a="1"/>
  <c r="B56" i="8"/>
  <c r="F194" i="15" a="1"/>
  <c r="G168" i="15" a="1"/>
  <c r="AK195" i="15" a="1"/>
  <c r="C194" i="15" a="1"/>
  <c r="AY173" i="15" a="1"/>
  <c r="AB179" i="15" a="1"/>
  <c r="AZ213" i="15" a="1"/>
  <c r="BO189" i="15" a="1"/>
  <c r="AB187" i="15" a="1"/>
  <c r="AE223" i="15" a="1"/>
  <c r="AJ209" i="15" a="1"/>
  <c r="BU216" i="15" a="1"/>
  <c r="AR211" i="15" a="1"/>
  <c r="AB169" i="15" a="1"/>
  <c r="BU207" i="15" a="1"/>
  <c r="AT208" i="15" a="1"/>
  <c r="BM184" i="15" a="1"/>
  <c r="BM219" i="15" a="1"/>
  <c r="BG190" i="15" a="1"/>
  <c r="BU186" i="15" a="1"/>
  <c r="C202" i="15" a="1"/>
  <c r="AE185" i="15" a="1"/>
  <c r="X216" i="15" a="1"/>
  <c r="BJ176" i="15" a="1"/>
  <c r="K199" i="15" a="1"/>
  <c r="S203" i="15" a="1"/>
  <c r="AI177" i="15" a="1"/>
  <c r="N201" i="15" a="1"/>
  <c r="BJ184" i="15" a="1"/>
  <c r="BM205" i="15" a="1"/>
  <c r="Y201" i="15" a="1"/>
  <c r="AP177" i="15" a="1"/>
  <c r="R206" i="15" a="1"/>
  <c r="C200" i="15" a="1"/>
  <c r="AI176" i="15" a="1"/>
  <c r="B80" i="8"/>
  <c r="Q203" i="15" a="1"/>
  <c r="AH213" i="15" a="1"/>
  <c r="R207" i="15" a="1"/>
  <c r="AN188" i="15" a="1"/>
  <c r="AG180" i="15" a="1"/>
  <c r="U175" i="15" a="1"/>
  <c r="AB170" i="15" a="1"/>
  <c r="AY172" i="15" a="1"/>
  <c r="AW223" i="15" a="1"/>
  <c r="Z186" i="15" a="1"/>
  <c r="BV183" i="15" a="1"/>
  <c r="B76" i="8"/>
  <c r="AO204" i="15" a="1"/>
  <c r="BT225" i="15" a="1"/>
  <c r="BU204" i="15" a="1"/>
  <c r="H200" i="15" a="1"/>
  <c r="BK214" i="15" a="1"/>
  <c r="AW186" i="15" a="1"/>
  <c r="AQ200" i="15" a="1"/>
  <c r="X208" i="15" a="1"/>
  <c r="BI187" i="15" a="1"/>
  <c r="P220" i="15" a="1"/>
  <c r="AL191" i="15" a="1"/>
  <c r="BR217" i="15" a="1"/>
  <c r="W191" i="15" a="1"/>
  <c r="AO180" i="15" a="1"/>
  <c r="AX190" i="15" a="1"/>
  <c r="BT169" i="15" a="1"/>
  <c r="AF182" i="15" a="1"/>
  <c r="W181" i="15" a="1"/>
  <c r="P203" i="15" a="1"/>
  <c r="AE192" i="15" a="1"/>
  <c r="AB201" i="15" a="1"/>
  <c r="BA166" i="15" a="1"/>
  <c r="AJ186" i="15" a="1"/>
  <c r="AB193" i="15" a="1"/>
  <c r="AK192" i="15" a="1"/>
  <c r="AL208" i="15" a="1"/>
  <c r="AP185" i="15" a="1"/>
  <c r="AR179" i="15" a="1"/>
  <c r="P168" i="15" a="1"/>
  <c r="AS216" i="15" a="1"/>
  <c r="M203" i="15" a="1"/>
  <c r="M199" i="15" a="1"/>
  <c r="J168" i="15" a="1"/>
  <c r="BP194" i="15" a="1"/>
  <c r="AY205" i="15" a="1"/>
  <c r="BS216" i="15" a="1"/>
  <c r="M194" i="15" a="1"/>
  <c r="AU182" i="15" a="1"/>
  <c r="AG167" i="15" a="1"/>
  <c r="BH211" i="15" a="1"/>
  <c r="BS191" i="15" a="1"/>
  <c r="BL205" i="15" a="1"/>
  <c r="BI205" i="15" a="1"/>
  <c r="V189" i="15" a="1"/>
  <c r="Z181" i="15" a="1"/>
  <c r="AC171" i="15" a="1"/>
  <c r="AE205" i="15" a="1"/>
  <c r="O188" i="15" a="1"/>
  <c r="O199" i="15" a="1"/>
  <c r="Q219" i="15" a="1"/>
  <c r="AH184" i="15" a="1"/>
  <c r="T188" i="15" a="1"/>
  <c r="K208" i="15" a="1"/>
  <c r="M202" i="15" a="1"/>
  <c r="X191" i="15" a="1"/>
  <c r="AT221" i="15" a="1"/>
  <c r="G192" i="15" a="1"/>
  <c r="AE184" i="15" a="1"/>
  <c r="G197" i="15" a="1"/>
  <c r="BT218" i="15" a="1"/>
  <c r="BT197" i="15" a="1"/>
  <c r="AB190" i="15" a="1"/>
  <c r="R190" i="15" a="1"/>
  <c r="AI187" i="15" a="1"/>
  <c r="AM203" i="15" a="1"/>
  <c r="AP198" i="15" a="1"/>
  <c r="AB215" i="15" a="1"/>
  <c r="AG192" i="15" a="1"/>
  <c r="AD214" i="15" a="1"/>
  <c r="AQ213" i="15" a="1"/>
  <c r="BT196" i="15" a="1"/>
  <c r="AQ222" i="15" a="1"/>
  <c r="BO210" i="15" a="1"/>
  <c r="BN194" i="15" a="1"/>
  <c r="AN172" i="15" a="1"/>
  <c r="BF192" i="15" a="1"/>
  <c r="G213" i="15" a="1"/>
  <c r="BT185" i="15" a="1"/>
  <c r="AT207" i="15" a="1"/>
  <c r="BE172" i="15" a="1"/>
  <c r="BI215" i="15" a="1"/>
  <c r="AE171" i="15" a="1"/>
  <c r="Q196" i="15" a="1"/>
  <c r="BO216" i="15" a="1"/>
  <c r="BP210" i="15" a="1"/>
  <c r="M170" i="15" a="1"/>
  <c r="AN169" i="15" a="1"/>
  <c r="AA167" i="15" a="1"/>
  <c r="BQ171" i="15" a="1"/>
  <c r="AM176" i="15" a="1"/>
  <c r="AK225" i="15" a="1"/>
  <c r="BJ173" i="15" a="1"/>
  <c r="Y204" i="15" a="1"/>
  <c r="G184" i="15" a="1"/>
  <c r="U186" i="15" a="1"/>
  <c r="AD171" i="15" a="1"/>
  <c r="AH174" i="15" a="1"/>
  <c r="Z169" i="15" a="1"/>
  <c r="BH178" i="15" a="1"/>
  <c r="BK212" i="15" a="1"/>
  <c r="BD165" i="15" a="1"/>
  <c r="BC166" i="15" a="1"/>
  <c r="U205" i="15" a="1"/>
  <c r="BN176" i="15" a="1"/>
  <c r="AV170" i="15" a="1"/>
  <c r="L167" i="15" a="1"/>
  <c r="V206" i="15" a="1"/>
  <c r="AD169" i="15" a="1"/>
  <c r="AI211" i="15" a="1"/>
  <c r="BI188" i="15" a="1"/>
  <c r="L184" i="15" a="1"/>
  <c r="BO178" i="15" a="1"/>
  <c r="AX177" i="15" a="1"/>
  <c r="Y176" i="15" a="1"/>
  <c r="AX169" i="15" a="1"/>
  <c r="W193" i="15" a="1"/>
  <c r="AP165" i="15" a="1"/>
  <c r="Y171" i="15" a="1"/>
  <c r="BQ198" i="15" a="1"/>
  <c r="E178" i="15" a="1"/>
  <c r="BK204" i="15" a="1"/>
  <c r="G165" i="15" a="1"/>
  <c r="AW185" i="15" a="1"/>
  <c r="BU180" i="15" a="1"/>
  <c r="AK213" i="15" a="1"/>
  <c r="BT193" i="15" a="1"/>
  <c r="AY202" i="15" a="1"/>
  <c r="Q220" i="15" a="1"/>
  <c r="AP191" i="15" a="1"/>
  <c r="F198" i="15" a="1"/>
  <c r="X183" i="15" a="1"/>
  <c r="BN165" i="15" a="1"/>
  <c r="BP181" i="15" a="1"/>
  <c r="AU212" i="15" a="1"/>
  <c r="BL194" i="15" a="1"/>
  <c r="G211" i="15" a="1"/>
  <c r="AW199" i="15" a="1"/>
  <c r="P202" i="15" a="1"/>
  <c r="AT172" i="15" a="1"/>
  <c r="BJ167" i="15" a="1"/>
  <c r="F199" i="15" a="1"/>
  <c r="AJ182" i="15" a="1"/>
  <c r="AP209" i="15" a="1"/>
  <c r="N184" i="15" a="1"/>
  <c r="AB207" i="15" a="1"/>
  <c r="AH189" i="15" a="1"/>
  <c r="BD174" i="15" a="1"/>
  <c r="AQ205" i="15" a="1"/>
  <c r="BL192" i="15" a="1"/>
  <c r="AS171" i="15" a="1"/>
  <c r="BI194" i="15" a="1"/>
  <c r="BE185" i="15" a="1"/>
  <c r="BC181" i="15" a="1"/>
  <c r="J189" i="15" a="1"/>
  <c r="BC193" i="15" a="1"/>
  <c r="BO198" i="15" a="1"/>
  <c r="E199" i="15" a="1"/>
  <c r="BS175" i="15" a="1"/>
  <c r="H201" i="15" a="1"/>
  <c r="R165" i="15" a="1"/>
  <c r="AG201" i="15" a="1"/>
  <c r="AE173" i="15" a="1"/>
  <c r="G181" i="15" a="1"/>
  <c r="P180" i="15" a="1"/>
  <c r="AG165" i="15" a="1"/>
  <c r="V224" i="15" a="1"/>
  <c r="BK201" i="15" a="1"/>
  <c r="K204" i="15" a="1"/>
  <c r="AL182" i="15" a="1"/>
  <c r="BH166" i="15" a="1"/>
  <c r="J193" i="15" a="1"/>
  <c r="H195" i="15" a="1"/>
  <c r="Y194" i="15" a="1"/>
  <c r="AX214" i="15" a="1"/>
  <c r="AH194" i="15" a="1"/>
  <c r="AQ176" i="15" a="1"/>
  <c r="BU191" i="15" a="1"/>
  <c r="O169" i="15" a="1"/>
  <c r="O167" i="15" a="1"/>
  <c r="BH169" i="15" a="1"/>
  <c r="BT165" i="15" a="1"/>
  <c r="AH214" i="15" a="1"/>
  <c r="AG199" i="15" a="1"/>
  <c r="BQ193" i="15" a="1"/>
  <c r="AX185" i="15" a="1"/>
  <c r="AX210" i="15" a="1"/>
  <c r="O198" i="15" a="1"/>
  <c r="P209" i="15" a="1"/>
  <c r="BD220" i="15" a="1"/>
  <c r="BB183" i="15" a="1"/>
  <c r="AH225" i="15" a="1"/>
  <c r="W197" i="15" a="1"/>
  <c r="N180" i="15" a="1"/>
  <c r="X214" i="15" a="1"/>
  <c r="AC181" i="15" a="1"/>
  <c r="AD166" i="15" a="1"/>
  <c r="AY180" i="15" a="1"/>
  <c r="Q205" i="15" a="1"/>
  <c r="AN187" i="15" a="1"/>
  <c r="R202" i="15" a="1"/>
  <c r="AE194" i="15" a="1"/>
  <c r="BR198" i="15" a="1"/>
  <c r="AV172" i="15" a="1"/>
  <c r="U225" i="15" a="1"/>
  <c r="V210" i="15" a="1"/>
  <c r="G171" i="15" a="1"/>
  <c r="N202" i="15" a="1"/>
  <c r="BA186" i="15" a="1"/>
  <c r="U202" i="15" a="1"/>
  <c r="M185" i="15" a="1"/>
  <c r="J171" i="15" a="1"/>
  <c r="X200" i="15" a="1"/>
  <c r="AN185" i="15" a="1"/>
  <c r="AS166" i="15" a="1"/>
  <c r="BH194" i="15" a="1"/>
  <c r="I181" i="15" a="1"/>
  <c r="M173" i="15" a="1"/>
  <c r="AK177" i="15" a="1"/>
  <c r="BJ195" i="15" a="1"/>
  <c r="AN197" i="15" a="1"/>
  <c r="N190" i="15" a="1"/>
  <c r="BJ216" i="15" a="1"/>
  <c r="BK190" i="15" a="1"/>
  <c r="BK178" i="15" a="1"/>
  <c r="AM194" i="15" a="1"/>
  <c r="BC169" i="15" a="1"/>
  <c r="S172" i="15" a="1"/>
  <c r="AV171" i="15" a="1"/>
  <c r="E171" i="15" a="1"/>
  <c r="J223" i="15" a="1"/>
  <c r="J200" i="15" a="1"/>
  <c r="U211" i="15" a="1"/>
  <c r="BF214" i="15" a="1"/>
  <c r="AA194" i="15" a="1"/>
  <c r="J177" i="15" a="1"/>
  <c r="AM192" i="15" a="1"/>
  <c r="AD209" i="15" a="1"/>
  <c r="N173" i="15" a="1"/>
  <c r="BH208" i="15" a="1"/>
  <c r="AK207" i="15" a="1"/>
  <c r="Z168" i="15" a="1"/>
  <c r="BG201" i="15" a="1"/>
  <c r="L219" i="15" a="1"/>
  <c r="Z196" i="15" a="1"/>
  <c r="Z198" i="15" a="1"/>
  <c r="Y207" i="15" a="1"/>
  <c r="P191" i="15" a="1"/>
  <c r="BC204" i="15" a="1"/>
  <c r="AP194" i="15" a="1"/>
  <c r="P186" i="15" a="1"/>
  <c r="BK199" i="15" a="1"/>
  <c r="BV192" i="15" a="1"/>
  <c r="BD172" i="15" a="1"/>
  <c r="BP204" i="15" a="1"/>
  <c r="BQ195" i="15" a="1"/>
  <c r="AB206" i="15" a="1"/>
  <c r="BH205" i="15" a="1"/>
  <c r="AL190" i="15" a="1"/>
  <c r="I211" i="15" a="1"/>
  <c r="F196" i="15" a="1"/>
  <c r="BQ211" i="15" a="1"/>
  <c r="BD210" i="15" a="1"/>
  <c r="Z205" i="15" a="1"/>
  <c r="BT173" i="15" a="1"/>
  <c r="BR212" i="15" a="1"/>
  <c r="AF186" i="15" a="1"/>
  <c r="BE211" i="15" a="1"/>
  <c r="AX186" i="15" a="1"/>
  <c r="O217" i="15" a="1"/>
  <c r="E184" i="15" a="1"/>
  <c r="AE176" i="15" a="1"/>
  <c r="BL173" i="15" a="1"/>
  <c r="AU186" i="15" a="1"/>
  <c r="BL219" i="15" a="1"/>
  <c r="BT222" i="15" a="1"/>
  <c r="Q198" i="15" a="1"/>
  <c r="BD187" i="15" a="1"/>
  <c r="AR215" i="15" a="1"/>
  <c r="BA220" i="15" a="1"/>
  <c r="AK206" i="15" a="1"/>
  <c r="V203" i="15" a="1"/>
  <c r="X169" i="15" a="1"/>
  <c r="P210" i="15" a="1"/>
  <c r="AY206" i="15" a="1"/>
  <c r="BT213" i="15" a="1"/>
  <c r="H223" i="15" a="1"/>
  <c r="AK190" i="15" a="1"/>
  <c r="AJ213" i="15" a="1"/>
  <c r="AR187" i="15" a="1"/>
  <c r="AU193" i="15" a="1"/>
  <c r="AN208" i="15" a="1"/>
  <c r="AZ186" i="15" a="1"/>
  <c r="BC179" i="15" a="1"/>
  <c r="N170" i="15" a="1"/>
  <c r="M207" i="15" a="1"/>
  <c r="J185" i="15" a="1"/>
  <c r="AD211" i="15" a="1"/>
  <c r="H206" i="15" a="1"/>
  <c r="BH177" i="15" a="1"/>
  <c r="Z171" i="15" a="1"/>
  <c r="BQ165" i="15" a="1"/>
  <c r="AZ206" i="15" a="1"/>
  <c r="R176" i="15" a="1"/>
  <c r="BJ204" i="15" a="1"/>
  <c r="AK200" i="15" a="1"/>
  <c r="BQ178" i="15" a="1"/>
  <c r="AX205" i="15" a="1"/>
  <c r="BR225" i="15" a="1"/>
  <c r="AZ214" i="15" a="1"/>
  <c r="AN199" i="15" a="1"/>
  <c r="AI192" i="15" a="1"/>
  <c r="AM180" i="15" a="1"/>
  <c r="AQ178" i="15" a="1"/>
  <c r="BO196" i="15" a="1"/>
  <c r="AC193" i="15" a="1"/>
  <c r="BF199" i="15" a="1"/>
  <c r="BI182" i="15" a="1"/>
  <c r="AT222" i="15" a="1"/>
  <c r="BH202" i="15" a="1"/>
  <c r="BE205" i="15" a="1"/>
  <c r="X212" i="15" a="1"/>
  <c r="AH195" i="15" a="1"/>
  <c r="BQ175" i="15" a="1"/>
  <c r="BJ193" i="15" a="1"/>
  <c r="R209" i="15" a="1"/>
  <c r="BN212" i="15" a="1"/>
  <c r="AB202" i="15" a="1"/>
  <c r="AZ203" i="15" a="1"/>
  <c r="AW171" i="15" a="1"/>
  <c r="BG189" i="15" a="1"/>
  <c r="W211" i="15" a="1"/>
  <c r="E216" i="15" a="1"/>
  <c r="BM194" i="15" a="1"/>
  <c r="G220" i="15" a="1"/>
  <c r="AC190" i="15" a="1"/>
  <c r="BB216" i="15" a="1"/>
  <c r="AE197" i="15" a="1"/>
  <c r="AN182" i="15" a="1"/>
  <c r="BS218" i="15" a="1"/>
  <c r="Q192" i="15" a="1"/>
  <c r="M168" i="15" a="1"/>
  <c r="AR195" i="15" a="1"/>
  <c r="BE192" i="15" a="1"/>
  <c r="BM195" i="15" a="1"/>
  <c r="S169" i="15" a="1"/>
  <c r="X193" i="15" a="1"/>
  <c r="X204" i="15" a="1"/>
  <c r="K203" i="15" a="1"/>
  <c r="Y172" i="15" a="1"/>
  <c r="L218" i="15" a="1"/>
  <c r="AT166" i="15" a="1"/>
  <c r="BU205" i="15" a="1"/>
  <c r="F177" i="15" a="1"/>
  <c r="U185" i="15" a="1"/>
  <c r="BM167" i="15" a="1"/>
  <c r="B14" i="8"/>
  <c r="AW214" i="15" a="1"/>
  <c r="AD207" i="15" a="1"/>
  <c r="AI207" i="15" a="1"/>
  <c r="BJ189" i="15" a="1"/>
  <c r="AI166" i="15" a="1"/>
  <c r="AO192" i="15" a="1"/>
  <c r="Y197" i="15" a="1"/>
  <c r="W196" i="15" a="1"/>
  <c r="AK173" i="15" a="1"/>
  <c r="E203" i="15" a="1"/>
  <c r="C197" i="15" a="1"/>
  <c r="S199" i="15" a="1"/>
  <c r="AK172" i="15" a="1"/>
  <c r="BH175" i="15" a="1"/>
  <c r="M177" i="15" a="1"/>
  <c r="C182" i="15" a="1"/>
  <c r="AJ214" i="15" a="1"/>
  <c r="BQ204" i="15" a="1"/>
  <c r="I201" i="15" a="1"/>
  <c r="BA188" i="15" a="1"/>
  <c r="BA165" i="15" a="1"/>
  <c r="BD201" i="15" a="1"/>
  <c r="J225" i="15" a="1"/>
  <c r="AS211" i="15" a="1"/>
  <c r="Y186" i="15" a="1"/>
  <c r="BO173" i="15" a="1"/>
  <c r="AS197" i="15" a="1"/>
  <c r="N225" i="15" a="1"/>
  <c r="H199" i="15" a="1"/>
  <c r="BK200" i="15" a="1"/>
  <c r="S168" i="15" a="1"/>
  <c r="AI199" i="15" a="1"/>
  <c r="BF191" i="15" a="1"/>
  <c r="Q173" i="15" a="1"/>
  <c r="P190" i="15" a="1"/>
  <c r="BJ219" i="15" a="1"/>
  <c r="G183" i="15" a="1"/>
  <c r="R219" i="15" a="1"/>
  <c r="AL194" i="15" a="1"/>
  <c r="AK184" i="15" a="1"/>
  <c r="BM189" i="15" a="1"/>
  <c r="BL212" i="15" a="1"/>
  <c r="E190" i="15" a="1"/>
  <c r="AE215" i="15" a="1"/>
  <c r="O170" i="15" a="1"/>
  <c r="AQ189" i="15" a="1"/>
  <c r="BA195" i="15" a="1"/>
  <c r="AD176" i="15" a="1"/>
  <c r="AR166" i="15" a="1"/>
  <c r="BA182" i="15" a="1"/>
  <c r="BC200" i="15" a="1"/>
  <c r="C171" i="15" a="1"/>
  <c r="AB221" i="15" a="1"/>
  <c r="BV182" i="15" a="1"/>
  <c r="AG189" i="15" a="1"/>
  <c r="BJ201" i="15" a="1"/>
  <c r="BU198" i="15" a="1"/>
  <c r="BM186" i="15" a="1"/>
  <c r="C193" i="15" a="1"/>
  <c r="BT192" i="15" a="1"/>
  <c r="AL219" i="15" a="1"/>
  <c r="BF166" i="15" a="1"/>
  <c r="T198" i="15" a="1"/>
  <c r="BG184" i="15" a="1"/>
  <c r="T218" i="15" a="1"/>
  <c r="BP199" i="15" a="1"/>
  <c r="AJ194" i="15" a="1"/>
  <c r="BO177" i="15" a="1"/>
  <c r="BB211" i="15" a="1"/>
  <c r="AQ185" i="15" a="1"/>
  <c r="H187" i="15" a="1"/>
  <c r="BK194" i="15" a="1"/>
  <c r="BL197" i="15" a="1"/>
  <c r="BM181" i="15" a="1"/>
  <c r="Q204" i="15" a="1"/>
  <c r="K184" i="15" a="1"/>
  <c r="AY201" i="15" a="1"/>
  <c r="C198" i="15" a="1"/>
  <c r="AM182" i="15" a="1"/>
  <c r="AJ176" i="15" a="1"/>
  <c r="AB225" i="15" a="1"/>
  <c r="Z190" i="15" a="1"/>
  <c r="AS185" i="15" a="1"/>
  <c r="BA169" i="15" a="1"/>
  <c r="C211" i="15" a="1"/>
  <c r="P192" i="15" a="1"/>
  <c r="AT192" i="15" a="1"/>
  <c r="AQ224" i="15" a="1"/>
  <c r="R212" i="15" a="1"/>
  <c r="BM210" i="15" a="1"/>
  <c r="BJ187" i="15" a="1"/>
  <c r="BV210" i="15" a="1"/>
  <c r="L208" i="15" a="1"/>
  <c r="AD192" i="15" a="1"/>
  <c r="BH206" i="15" a="1"/>
  <c r="BN190" i="15" a="1"/>
  <c r="S182" i="15" a="1"/>
  <c r="BJ166" i="15" a="1"/>
  <c r="BL187" i="15" a="1"/>
  <c r="BC212" i="15" a="1"/>
  <c r="BD182" i="15" a="1"/>
  <c r="AZ210" i="15" a="1"/>
  <c r="V216" i="15" a="1"/>
  <c r="G182" i="15" a="1"/>
  <c r="J220" i="15" a="1"/>
  <c r="BR207" i="15" a="1"/>
  <c r="O184" i="15" a="1"/>
  <c r="BB206" i="15" a="1"/>
  <c r="AN221" i="15" a="1"/>
  <c r="BD190" i="15" a="1"/>
  <c r="L196" i="15" a="1"/>
  <c r="V169" i="15" a="1"/>
  <c r="N165" i="15" a="1"/>
  <c r="Z178" i="15" a="1"/>
  <c r="X192" i="15" a="1"/>
  <c r="AB200" i="15" a="1"/>
  <c r="AM209" i="15" a="1"/>
  <c r="AK186" i="15" a="1"/>
  <c r="BN188" i="15" a="1"/>
  <c r="AT198" i="15" a="1"/>
  <c r="BI191" i="15" a="1"/>
  <c r="BJ183" i="15" a="1"/>
  <c r="BA205" i="15" a="1"/>
  <c r="BQ185" i="15" a="1"/>
  <c r="AD200" i="15" a="1"/>
  <c r="C219" i="15" a="1"/>
  <c r="AP189" i="15" a="1"/>
  <c r="BP171" i="15" a="1"/>
  <c r="X203" i="15" a="1"/>
  <c r="BI213" i="15" a="1"/>
  <c r="BB208" i="15" a="1"/>
  <c r="AW206" i="15" a="1"/>
  <c r="BG177" i="15" a="1"/>
  <c r="BK196" i="15" a="1"/>
  <c r="Q176" i="15" a="1"/>
  <c r="BR206" i="15" a="1"/>
  <c r="BI178" i="15" a="1"/>
  <c r="BV202" i="15" a="1"/>
  <c r="K219" i="15" a="1"/>
  <c r="N195" i="15" a="1"/>
  <c r="BE217" i="15" a="1"/>
  <c r="E209" i="15" a="1"/>
  <c r="AR191" i="15" a="1"/>
  <c r="AZ170" i="15" a="1"/>
  <c r="AM184" i="15" a="1"/>
  <c r="AG197" i="15" a="1"/>
  <c r="S194" i="15" a="1"/>
  <c r="AW190" i="15" a="1"/>
  <c r="BF190" i="15" a="1"/>
  <c r="AR220" i="15" a="1"/>
  <c r="AI200" i="15" a="1"/>
  <c r="BT204" i="15" a="1"/>
  <c r="BM213" i="15" a="1"/>
  <c r="BG192" i="15" a="1"/>
  <c r="P176" i="15" a="1"/>
  <c r="AY190" i="15" a="1"/>
  <c r="BJ182" i="15" a="1"/>
  <c r="AV224" i="15" a="1"/>
  <c r="BI185" i="15" a="1"/>
  <c r="BT184" i="15" a="1"/>
  <c r="E188" i="15" a="1"/>
  <c r="AK194" i="15" a="1"/>
  <c r="AI225" i="15" a="1"/>
  <c r="AZ208" i="15" a="1"/>
  <c r="AS183" i="15" a="1"/>
  <c r="AS206" i="15" a="1"/>
  <c r="S195" i="15" a="1"/>
  <c r="L220" i="15" a="1"/>
  <c r="AE213" i="15" a="1"/>
  <c r="AO225" i="15" a="1"/>
  <c r="X197" i="15" a="1"/>
  <c r="AP176" i="15" a="1"/>
  <c r="BI173" i="15" a="1"/>
  <c r="AD216" i="15" a="1"/>
  <c r="G203" i="15" a="1"/>
  <c r="AL186" i="15" a="1"/>
  <c r="BB201" i="15" a="1"/>
  <c r="AW219" i="15" a="1"/>
  <c r="BT200" i="15" a="1"/>
  <c r="AI195" i="15" a="1"/>
  <c r="AY216" i="15" a="1"/>
  <c r="AZ195" i="15" a="1"/>
  <c r="J184" i="15" a="1"/>
  <c r="E192" i="15" a="1"/>
  <c r="BN204" i="15" a="1"/>
  <c r="AC201" i="15" a="1"/>
  <c r="AR210" i="15" a="1"/>
  <c r="AJ206" i="15" a="1"/>
  <c r="R191" i="15" a="1"/>
  <c r="T169" i="15" a="1"/>
  <c r="AW209" i="15" a="1"/>
  <c r="M190" i="15" a="1"/>
  <c r="BT199" i="15" a="1"/>
  <c r="BD200" i="15" a="1"/>
  <c r="BI201" i="15" a="1"/>
  <c r="P181" i="15" a="1"/>
  <c r="T211" i="15" a="1"/>
  <c r="Z220" i="15" a="1"/>
  <c r="O197" i="15" a="1"/>
  <c r="AI184" i="15" a="1"/>
  <c r="Q169" i="15" a="1"/>
  <c r="AH217" i="15" a="1"/>
  <c r="AA195" i="15" a="1"/>
  <c r="BV193" i="15" a="1"/>
  <c r="P169" i="15" a="1"/>
  <c r="AH178" i="15" a="1"/>
  <c r="BD219" i="15" a="1"/>
  <c r="BU209" i="15" a="1"/>
  <c r="BK217" i="15" a="1"/>
  <c r="X202" i="15" a="1"/>
  <c r="AM211" i="15" a="1"/>
  <c r="N183" i="15" a="1"/>
  <c r="U208" i="15" a="1"/>
  <c r="Q200" i="15" a="1"/>
  <c r="AY168" i="15" a="1"/>
  <c r="AH199" i="15" a="1"/>
  <c r="BP211" i="15" a="1"/>
  <c r="K188" i="15" a="1"/>
  <c r="J214" i="15" a="1"/>
  <c r="AO212" i="15" a="1"/>
  <c r="AR196" i="15" a="1"/>
  <c r="BK176" i="15" a="1"/>
  <c r="AW204" i="15" a="1"/>
  <c r="BB218" i="15" a="1"/>
  <c r="L201" i="15" a="1"/>
  <c r="BC183" i="15" a="1"/>
  <c r="AC198" i="15" a="1"/>
  <c r="H204" i="15" a="1"/>
  <c r="BF187" i="15" a="1"/>
  <c r="AN171" i="15" a="1"/>
  <c r="N181" i="15" a="1"/>
  <c r="Z173" i="15" a="1"/>
  <c r="BT166" i="15" a="1"/>
  <c r="U169" i="15" a="1"/>
  <c r="AE182" i="15" a="1"/>
  <c r="T196" i="15" a="1"/>
  <c r="BV205" i="15" a="1"/>
  <c r="BS201" i="15" a="1"/>
  <c r="U183" i="15" a="1"/>
  <c r="F166" i="15" a="1"/>
  <c r="AC192" i="15" a="1"/>
  <c r="R172" i="15" a="1"/>
  <c r="I173" i="15" a="1"/>
  <c r="C212" i="15" a="1"/>
  <c r="F211" i="15" a="1"/>
  <c r="K222" i="15" a="1"/>
  <c r="AV201" i="15" a="1"/>
  <c r="AC194" i="15" a="1"/>
  <c r="BS171" i="15" a="1"/>
  <c r="X209" i="15" a="1"/>
  <c r="AX181" i="15" a="1"/>
  <c r="AC187" i="15" a="1"/>
  <c r="AS201" i="15" a="1"/>
  <c r="AO199" i="15" a="1"/>
  <c r="M184" i="15" a="1"/>
  <c r="C224" i="15" a="1"/>
  <c r="N191" i="15" a="1"/>
  <c r="BP212" i="15" a="1"/>
  <c r="W166" i="15" a="1"/>
  <c r="BI189" i="15" a="1"/>
  <c r="G187" i="15" a="1"/>
  <c r="R224" i="15" a="1"/>
  <c r="U195" i="15" a="1"/>
  <c r="AV192" i="15" a="1"/>
  <c r="I176" i="15" a="1"/>
  <c r="BP185" i="15" a="1"/>
  <c r="AX197" i="15" a="1"/>
  <c r="BM193" i="15" a="1"/>
  <c r="AK191" i="15" a="1"/>
  <c r="Q171" i="15" a="1"/>
  <c r="AI208" i="15" a="1"/>
  <c r="AS179" i="15" a="1"/>
  <c r="AE211" i="15" a="1"/>
  <c r="AJ215" i="15" a="1"/>
  <c r="Z187" i="15" a="1"/>
  <c r="BC211" i="15" a="1"/>
  <c r="BK211" i="15" a="1"/>
  <c r="U206" i="15" a="1"/>
  <c r="AF175" i="15" a="1"/>
  <c r="S192" i="15" a="1"/>
  <c r="BS203" i="15" a="1"/>
  <c r="BL183" i="15" a="1"/>
  <c r="Z201" i="15" a="1"/>
  <c r="BN216" i="15" a="1"/>
  <c r="Q195" i="15" a="1"/>
  <c r="T212" i="15" a="1"/>
  <c r="X194" i="15" a="1"/>
  <c r="E175" i="15" a="1"/>
  <c r="AZ192" i="15" a="1"/>
  <c r="W170" i="15" a="1"/>
  <c r="BH224" i="15" a="1"/>
  <c r="BA181" i="15" a="1"/>
  <c r="BO186" i="15" a="1"/>
  <c r="BJ186" i="15" a="1"/>
  <c r="AU168" i="15" a="1"/>
  <c r="BO174" i="15" a="1"/>
  <c r="AE166" i="15" a="1"/>
  <c r="AF189" i="15" a="1"/>
  <c r="BO181" i="15" a="1"/>
  <c r="BI218" i="15" a="1"/>
  <c r="BM191" i="15" a="1"/>
  <c r="F191" i="15" a="1"/>
  <c r="BM174" i="15" a="1"/>
  <c r="V182" i="15" a="1"/>
  <c r="BN187" i="15" a="1"/>
  <c r="W189" i="15" a="1"/>
  <c r="BA197" i="15" a="1"/>
  <c r="Q165" i="15" a="1"/>
  <c r="F195" i="15" a="1"/>
  <c r="BM216" i="15" a="1"/>
  <c r="F186" i="15" a="1"/>
  <c r="AC182" i="15" a="1"/>
  <c r="G169" i="15" a="1"/>
  <c r="U181" i="15" a="1"/>
  <c r="AU179" i="15" a="1"/>
  <c r="BH214" i="15" a="1"/>
  <c r="N178" i="15" a="1"/>
  <c r="AX187" i="15" a="1"/>
  <c r="S181" i="15" a="1"/>
  <c r="T185" i="15" a="1"/>
  <c r="BT171" i="15" a="1"/>
  <c r="I214" i="15" a="1"/>
  <c r="AQ180" i="15" a="1"/>
  <c r="AN207" i="15" a="1"/>
  <c r="AB167" i="15" a="1"/>
  <c r="AS174" i="15" a="1"/>
  <c r="T167" i="15" a="1"/>
  <c r="BE218" i="15" a="1"/>
  <c r="Y181" i="15" a="1"/>
  <c r="O189" i="15" a="1"/>
  <c r="Q191" i="15" a="1"/>
  <c r="BA222" i="15" a="1"/>
  <c r="AT216" i="15" a="1"/>
  <c r="AT180" i="15" a="1"/>
  <c r="BB178" i="15" a="1"/>
  <c r="BL207" i="15" a="1"/>
  <c r="AS204" i="15" a="1"/>
  <c r="BJ214" i="15" a="1"/>
  <c r="BG180" i="15" a="1"/>
  <c r="AU210" i="15" a="1"/>
  <c r="BN203" i="15" a="1"/>
  <c r="AJ205" i="15" a="1"/>
  <c r="I188" i="15" a="1"/>
  <c r="AI198" i="15" a="1"/>
  <c r="Y174" i="15" a="1"/>
  <c r="C220" i="15" a="1"/>
  <c r="G166" i="15" a="1"/>
  <c r="BC194" i="15" a="1"/>
  <c r="Z206" i="15" a="1"/>
  <c r="AU213" i="15" a="1"/>
  <c r="AI180" i="15" a="1"/>
  <c r="AF176" i="15" a="1"/>
  <c r="BR170" i="15" a="1"/>
  <c r="AB222" i="15" a="1"/>
  <c r="BO197" i="15" a="1"/>
  <c r="J192" i="15" a="1"/>
  <c r="AF204" i="15" a="1"/>
  <c r="BK213" i="15" a="1"/>
  <c r="Y202" i="15" a="1"/>
  <c r="BR184" i="15" a="1"/>
  <c r="W178" i="15" a="1"/>
  <c r="BV206" i="15" a="1"/>
  <c r="AI186" i="15" a="1"/>
  <c r="U214" i="15" a="1"/>
  <c r="BA218" i="15" a="1"/>
  <c r="J181" i="15" a="1"/>
  <c r="N175" i="15" a="1"/>
  <c r="Q201" i="15" a="1"/>
  <c r="N208" i="15" a="1"/>
  <c r="BG182" i="15" a="1"/>
  <c r="R177" i="15" a="1"/>
  <c r="E176" i="15" a="1"/>
  <c r="AC169" i="15" a="1"/>
  <c r="V181" i="15" a="1"/>
  <c r="M193" i="15" a="1"/>
  <c r="AI175" i="15" a="1"/>
  <c r="AB188" i="15" a="1"/>
  <c r="BE198" i="15" a="1"/>
  <c r="L197" i="15" a="1"/>
  <c r="R186" i="15" a="1"/>
  <c r="P188" i="15" a="1"/>
  <c r="BH191" i="15" a="1"/>
  <c r="AO189" i="15" a="1"/>
  <c r="T203" i="15" a="1"/>
  <c r="AP223" i="15" a="1"/>
  <c r="AW181" i="15" a="1"/>
  <c r="K178" i="15" a="1"/>
  <c r="BQ169" i="15" a="1"/>
  <c r="V201" i="15" a="1"/>
  <c r="C209" i="15" a="1"/>
  <c r="BB189" i="15" a="1"/>
  <c r="AD213" i="15" a="1"/>
  <c r="BL166" i="15" a="1"/>
  <c r="I186" i="15" a="1"/>
  <c r="Y177" i="15" a="1"/>
  <c r="AT176" i="15" a="1"/>
  <c r="J191" i="15" a="1"/>
  <c r="F175" i="15" a="1"/>
  <c r="AV174" i="15" a="1"/>
  <c r="AM166" i="15" a="1"/>
  <c r="Q182" i="15" a="1"/>
  <c r="AS181" i="15" a="1"/>
  <c r="M171" i="15" a="1"/>
  <c r="J187" i="15" a="1"/>
  <c r="I202" i="15" a="1"/>
  <c r="AR208" i="15" a="1"/>
  <c r="AQ171" i="15" a="1"/>
  <c r="AJ167" i="15" a="1"/>
  <c r="X188" i="15" a="1"/>
  <c r="BG174" i="15" a="1"/>
  <c r="AC191" i="15" a="1"/>
  <c r="BU168" i="15" a="1"/>
  <c r="AH179" i="15" a="1"/>
  <c r="BB220" i="15" a="1"/>
  <c r="L210" i="15" a="1"/>
  <c r="AZ169" i="15" a="1"/>
  <c r="BR179" i="15" a="1"/>
  <c r="Z166" i="15" a="1"/>
  <c r="E166" i="15" a="1"/>
  <c r="BI171" i="15" a="1"/>
  <c r="AX171" i="15" a="1"/>
  <c r="E169" i="15" a="1"/>
  <c r="R199" i="15" a="1"/>
  <c r="AO166" i="15" a="1"/>
  <c r="AQ169" i="15" a="1"/>
  <c r="S166" i="15" a="1"/>
  <c r="AW196" i="15" a="1"/>
  <c r="AG175" i="15" a="1"/>
  <c r="AI174" i="15" a="1"/>
  <c r="BI214" i="15" a="1"/>
  <c r="AF199" i="15" a="1"/>
  <c r="F222" i="15" a="1"/>
  <c r="X207" i="15" a="1"/>
  <c r="BV190" i="15" a="1"/>
  <c r="G176" i="15" a="1"/>
  <c r="AO184" i="15" a="1"/>
  <c r="AL168" i="15" a="1"/>
  <c r="BB196" i="15" a="1"/>
  <c r="H173" i="15" a="1"/>
  <c r="BL203" i="15" a="1"/>
  <c r="BH176" i="15" a="1"/>
  <c r="AG183" i="15" a="1"/>
  <c r="C204" i="15" a="1"/>
  <c r="AV184" i="15" a="1"/>
  <c r="BS172" i="15" a="1"/>
  <c r="AP170" i="15" a="1"/>
  <c r="AE183" i="15" a="1"/>
  <c r="AL172" i="15" a="1"/>
  <c r="G185" i="15" a="1"/>
  <c r="L166" i="15" a="1"/>
  <c r="AO200" i="15" a="1"/>
  <c r="K198" i="15" a="1"/>
  <c r="E167" i="15" a="1"/>
  <c r="AE186" i="15" a="1"/>
  <c r="AZ166" i="15" a="1"/>
  <c r="BO170" i="15" a="1"/>
  <c r="S193" i="15" a="1"/>
  <c r="AK180" i="15" a="1"/>
  <c r="AG177" i="15" a="1"/>
  <c r="O176" i="15" a="1"/>
  <c r="BC216" i="15" a="1"/>
  <c r="BD214" i="15" a="1"/>
  <c r="AG223" i="15" a="1"/>
  <c r="S200" i="15" a="1"/>
  <c r="AV193" i="15" a="1"/>
  <c r="M183" i="15" a="1"/>
  <c r="AC189" i="15" a="1"/>
  <c r="J170" i="15" a="1"/>
  <c r="AO196" i="15" a="1"/>
  <c r="AE181" i="15" a="1"/>
  <c r="R180" i="15" a="1"/>
  <c r="H179" i="15" a="1"/>
  <c r="AK198" i="15" a="1"/>
  <c r="AK199" i="15" a="1"/>
  <c r="AY197" i="15" a="1"/>
  <c r="AY221" i="15" a="1"/>
  <c r="J180" i="15" a="1"/>
  <c r="E212" i="15" a="1"/>
  <c r="AP212" i="15" a="1"/>
  <c r="BV174" i="15" a="1"/>
  <c r="BB207" i="15" a="1"/>
  <c r="BR196" i="15" a="1"/>
  <c r="AP211" i="15" a="1"/>
  <c r="F206" i="15" a="1"/>
  <c r="BO175" i="15" a="1"/>
  <c r="AY167" i="15" a="1"/>
  <c r="I170" i="15" a="1"/>
  <c r="BT190" i="15" a="1"/>
  <c r="BG188" i="15" a="1"/>
  <c r="BA196" i="15" a="1"/>
  <c r="BD213" i="15" a="1"/>
  <c r="AL207" i="15" a="1"/>
  <c r="AX167" i="15" a="1"/>
  <c r="AC172" i="15" a="1"/>
  <c r="AY189" i="15" a="1"/>
  <c r="AJ178" i="15" a="1"/>
  <c r="AB184" i="15" a="1"/>
  <c r="G199" i="15" a="1"/>
  <c r="BN179" i="15" a="1"/>
  <c r="AC186" i="15" a="1"/>
  <c r="BK165" i="15" a="1"/>
  <c r="F214" i="15" a="1"/>
  <c r="AA186" i="15" a="1"/>
  <c r="X172" i="15" a="1"/>
  <c r="BD185" i="15" a="1"/>
  <c r="BE202" i="15" a="1"/>
  <c r="BL170" i="15" a="1"/>
  <c r="K175" i="15" a="1"/>
  <c r="BR201" i="15" a="1"/>
  <c r="BI183" i="15" a="1"/>
  <c r="N171" i="15" a="1"/>
  <c r="Y198" i="15" a="1"/>
  <c r="U172" i="15" a="1"/>
  <c r="BR173" i="15" a="1"/>
  <c r="I169" i="15" a="1"/>
  <c r="BM176" i="15" a="1"/>
  <c r="AH165" i="15" a="1"/>
  <c r="AU173" i="15" a="1"/>
  <c r="BA167" i="15" a="1"/>
  <c r="AL173" i="15" a="1"/>
  <c r="BF177" i="15" a="1"/>
  <c r="AI168" i="15" a="1"/>
  <c r="Q181" i="15" a="1"/>
  <c r="Y168" i="15" a="1"/>
  <c r="BP207" i="15" a="1"/>
  <c r="BF185" i="15" a="1"/>
  <c r="AW173" i="15" a="1"/>
  <c r="AF197" i="15" a="1"/>
  <c r="I168" i="15" a="1"/>
  <c r="BF175" i="15" a="1"/>
  <c r="AH220" i="15" a="1"/>
  <c r="AW207" i="15" a="1"/>
  <c r="AM167" i="15" a="1"/>
  <c r="I217" i="15" a="1"/>
  <c r="AK197" i="15" a="1"/>
  <c r="BH186" i="15" a="1"/>
  <c r="U194" i="15" a="1"/>
  <c r="U207" i="15" a="1"/>
  <c r="AN167" i="15" a="1"/>
  <c r="BQ177" i="15" a="1"/>
  <c r="H165" i="15" a="1"/>
  <c r="AP199" i="15" a="1"/>
  <c r="BB192" i="15" a="1"/>
  <c r="BF198" i="15" a="1"/>
  <c r="BB202" i="15" a="1"/>
  <c r="L177" i="15" a="1"/>
  <c r="BR182" i="15" a="1"/>
  <c r="BL168" i="15" a="1"/>
  <c r="AB208" i="15" a="1"/>
  <c r="AO191" i="15" a="1"/>
  <c r="C208" i="15" a="1"/>
  <c r="AW183" i="15" a="1"/>
  <c r="BE200" i="15" a="1"/>
  <c r="C190" i="15" a="1"/>
  <c r="BV200" i="15" a="1"/>
  <c r="AD184" i="15" a="1"/>
  <c r="V168" i="15" a="1"/>
  <c r="BA179" i="15" a="1"/>
  <c r="Q174" i="15" a="1"/>
  <c r="R213" i="15" a="1"/>
  <c r="BQ168" i="15" a="1"/>
  <c r="AO175" i="15" a="1"/>
  <c r="BC180" i="15" a="1"/>
  <c r="AS180" i="15" a="1"/>
  <c r="BR222" i="15" a="1"/>
  <c r="X196" i="15" a="1"/>
  <c r="BQ189" i="15" a="1"/>
  <c r="BJ181" i="15" a="1"/>
  <c r="AG196" i="15" a="1"/>
  <c r="I175" i="15" a="1"/>
  <c r="N212" i="15" a="1"/>
  <c r="BT182" i="15" a="1"/>
  <c r="BJ175" i="15" a="1"/>
  <c r="BA168" i="15" a="1"/>
  <c r="AV211" i="15" a="1"/>
  <c r="AO205" i="15" a="1"/>
  <c r="N189" i="15" a="1"/>
  <c r="R166" i="15" a="1"/>
  <c r="U173" i="15" a="1"/>
  <c r="C181" i="15" a="1"/>
  <c r="BC191" i="15" a="1"/>
  <c r="BD171" i="15" a="1"/>
  <c r="BG170" i="15" a="1"/>
  <c r="Y208" i="15" a="1"/>
  <c r="AD196" i="15" a="1"/>
  <c r="BP202" i="15" a="1"/>
  <c r="BI198" i="15" a="1"/>
  <c r="F184" i="15" a="1"/>
  <c r="F181" i="15" a="1"/>
  <c r="C187" i="15" a="1"/>
  <c r="W192" i="15" a="1"/>
  <c r="AX165" i="15" a="1"/>
  <c r="AT200" i="15" a="1"/>
  <c r="BI165" i="15" a="1"/>
  <c r="C175" i="15" a="1"/>
  <c r="AL174" i="15" a="1"/>
  <c r="AP197" i="15" a="1"/>
  <c r="AT174" i="15" a="1"/>
  <c r="AI193" i="15" a="1"/>
  <c r="AA193" i="15" a="1"/>
  <c r="AM179" i="15" a="1"/>
  <c r="H177" i="15" a="1"/>
  <c r="AG203" i="15" a="1"/>
  <c r="AT184" i="15" a="1"/>
  <c r="AH185" i="15" a="1"/>
  <c r="BT187" i="15" a="1"/>
  <c r="AT199" i="15" a="1"/>
  <c r="AH197" i="15" a="1"/>
  <c r="BN174" i="15" a="1"/>
  <c r="AC175" i="15" a="1"/>
  <c r="AF172" i="15" a="1"/>
  <c r="R185" i="15" a="1"/>
  <c r="AX208" i="15" a="1"/>
  <c r="BK184" i="15" a="1"/>
  <c r="P193" i="15" a="1"/>
  <c r="J178" i="15" a="1"/>
  <c r="V183" i="15" a="1"/>
  <c r="AM172" i="15" a="1"/>
  <c r="BP172" i="15" a="1"/>
  <c r="BF188" i="15" a="1"/>
  <c r="T170" i="15" a="1"/>
  <c r="F168" i="15" a="1"/>
  <c r="AB205" i="15" a="1"/>
  <c r="BP165" i="15" a="1"/>
  <c r="AC174" i="15" a="1"/>
  <c r="AK166" i="15" a="1"/>
  <c r="AH183" i="15" a="1"/>
  <c r="AY198" i="15" a="1"/>
  <c r="AX199" i="15" a="1"/>
  <c r="AX207" i="15" a="1"/>
  <c r="Z175" i="15" a="1"/>
  <c r="BK171" i="15" a="1"/>
  <c r="AL166" i="15" a="1"/>
  <c r="J190" i="15" a="1"/>
  <c r="U177" i="15" a="1"/>
  <c r="W176" i="15" a="1"/>
  <c r="AN216" i="15" a="1"/>
  <c r="O200" i="15" a="1"/>
  <c r="U165" i="15" a="1"/>
  <c r="BU218" i="15" a="1"/>
  <c r="AY199" i="15" a="1"/>
  <c r="F173" i="15" a="1"/>
  <c r="AH172" i="15" a="1"/>
  <c r="AU166" i="15" a="1"/>
  <c r="BA175" i="15" a="1"/>
  <c r="AT183" i="15" a="1"/>
  <c r="BF225" i="15" a="1"/>
  <c r="BV213" i="15" a="1"/>
  <c r="K176" i="15" a="1"/>
  <c r="AA192" i="15" a="1"/>
  <c r="AY179" i="15" a="1"/>
  <c r="AZ193" i="15" a="1"/>
  <c r="T171" i="15" a="1"/>
  <c r="BV187" i="15" a="1"/>
  <c r="L205" i="15" a="1"/>
  <c r="P175" i="15" a="1"/>
  <c r="BH183" i="15" a="1"/>
  <c r="AY171" i="15" a="1"/>
  <c r="BR168" i="15" a="1"/>
  <c r="AX195" i="15" a="1"/>
  <c r="Z177" i="15" a="1"/>
  <c r="G186" i="15" a="1"/>
  <c r="AK208" i="15" a="1"/>
  <c r="R178" i="15" a="1"/>
  <c r="T184" i="15" a="1"/>
  <c r="BS178" i="15" a="1"/>
  <c r="BS195" i="15" a="1"/>
  <c r="BG167" i="15" a="1"/>
  <c r="AL201" i="15" a="1"/>
  <c r="BN175" i="15" a="1"/>
  <c r="L183" i="15" a="1"/>
  <c r="S174" i="15" a="1"/>
  <c r="BO180" i="15" a="1"/>
  <c r="AY170" i="15" a="1"/>
  <c r="BC167" i="15" a="1"/>
  <c r="BV178" i="15" a="1"/>
  <c r="X168" i="15" a="1"/>
  <c r="BI179" i="15" a="1"/>
  <c r="C214" i="15" a="1"/>
  <c r="F192" i="15" a="1"/>
  <c r="R170" i="15" a="1"/>
  <c r="BP195" i="15" a="1"/>
  <c r="Z188" i="15" a="1"/>
  <c r="BV169" i="15" a="1"/>
  <c r="BK198" i="15" a="1"/>
  <c r="AA171" i="15" a="1"/>
  <c r="AP167" i="15" a="1"/>
  <c r="C188" i="15" a="1"/>
  <c r="K172" i="15" a="1"/>
  <c r="C215" i="15" a="1"/>
  <c r="BG171" i="15" a="1"/>
  <c r="BE175" i="15" a="1"/>
  <c r="R179" i="15" a="1"/>
  <c r="L200" i="15" a="1"/>
  <c r="BM166" i="15" a="1"/>
  <c r="U201" i="15" a="1"/>
  <c r="AY183" i="15" a="1"/>
  <c r="BN169" i="15" a="1"/>
  <c r="AD172" i="15" a="1"/>
  <c r="BG215" i="15" a="1"/>
  <c r="AE172" i="15" a="1"/>
  <c r="G191" i="15" a="1"/>
  <c r="N179" i="15" a="1"/>
  <c r="BG179" i="15" a="1"/>
  <c r="W173" i="15" a="1"/>
  <c r="BD169" i="15" a="1"/>
  <c r="BH184" i="15" a="1"/>
  <c r="G167" i="15" a="1"/>
  <c r="AQ188" i="15" a="1"/>
  <c r="BL171" i="15" a="1"/>
  <c r="AR173" i="15" a="1"/>
  <c r="BJ205" i="15" a="1"/>
  <c r="Z195" i="15" a="1"/>
  <c r="AE189" i="15" a="1"/>
  <c r="V187" i="15" a="1"/>
  <c r="BG208" i="15" a="1"/>
  <c r="AJ203" i="15" a="1"/>
  <c r="AJ195" i="15" a="1"/>
  <c r="K214" i="15" a="1"/>
  <c r="AJ200" i="15" a="1"/>
  <c r="L186" i="15" a="1"/>
  <c r="Q202" i="15" a="1"/>
  <c r="BI209" i="15" a="1"/>
  <c r="AJ169" i="15" a="1"/>
  <c r="K183" i="15" a="1"/>
  <c r="BU183" i="15" a="1"/>
  <c r="BO183" i="15" a="1"/>
  <c r="X223" i="15" a="1"/>
  <c r="AM199" i="15" a="1"/>
  <c r="AF192" i="15" a="1"/>
  <c r="V191" i="15" a="1"/>
  <c r="AY165" i="15" a="1"/>
  <c r="G204" i="15" a="1"/>
  <c r="W201" i="15" a="1"/>
  <c r="BS168" i="15" a="1"/>
  <c r="BR210" i="15" a="1"/>
  <c r="N168" i="15" a="1"/>
  <c r="BU179" i="15" a="1"/>
  <c r="AN201" i="15" a="1"/>
  <c r="AQ186" i="15" a="1"/>
  <c r="BP179" i="15" a="1"/>
  <c r="AJ187" i="15" a="1"/>
  <c r="R187" i="15" a="1"/>
  <c r="L188" i="15" a="1"/>
  <c r="BN192" i="15" a="1"/>
  <c r="BP188" i="15" a="1"/>
  <c r="BL181" i="15" a="1"/>
  <c r="X206" i="15" a="1"/>
  <c r="AP190" i="15" a="1"/>
  <c r="AL176" i="15" a="1"/>
  <c r="AF196" i="15" a="1"/>
  <c r="K211" i="15" a="1"/>
  <c r="AB173" i="15" a="1"/>
  <c r="BQ203" i="15" a="1"/>
  <c r="BG169" i="15" a="1"/>
  <c r="H166" i="15" a="1"/>
  <c r="L176" i="15" a="1"/>
  <c r="AD177" i="15" a="1"/>
  <c r="H209" i="15" a="1"/>
  <c r="BR202" i="15" a="1"/>
  <c r="AJ166" i="15" a="1"/>
  <c r="BV171" i="15" a="1"/>
  <c r="V186" i="15" a="1"/>
  <c r="X190" i="15" a="1"/>
  <c r="U168" i="15" a="1"/>
  <c r="AG207" i="15" a="1"/>
  <c r="AT201" i="15" a="1"/>
  <c r="Q166" i="15" a="1"/>
  <c r="AZ190" i="15" a="1"/>
  <c r="O210" i="15" a="1"/>
  <c r="AP178" i="15" a="1"/>
  <c r="BK208" i="15" a="1"/>
  <c r="BB191" i="15" a="1"/>
  <c r="P183" i="15" a="1"/>
  <c r="E183" i="15" a="1"/>
  <c r="J165" i="15" a="1"/>
  <c r="BI177" i="15" a="1"/>
  <c r="AD180" i="15" a="1"/>
  <c r="BD173" i="15" a="1"/>
  <c r="BF208" i="15" a="1"/>
  <c r="AZ176" i="15" a="1"/>
  <c r="BN202" i="15" a="1"/>
  <c r="AR197" i="15" a="1"/>
  <c r="H216" i="15" a="1"/>
  <c r="BJ188" i="15" a="1"/>
  <c r="AC199" i="15" a="1"/>
  <c r="BD197" i="15" a="1"/>
  <c r="G201" i="15" a="1"/>
  <c r="AN174" i="15" a="1"/>
  <c r="AK193" i="15" a="1"/>
  <c r="AY210" i="15" a="1"/>
  <c r="M182" i="15" a="1"/>
  <c r="AQ177" i="15" a="1"/>
  <c r="BF207" i="15" a="1"/>
  <c r="BV181" i="15" a="1"/>
  <c r="W179" i="15" a="1"/>
  <c r="BL175" i="15" a="1"/>
  <c r="BO176" i="15" a="1"/>
  <c r="BU214" i="15" a="1"/>
  <c r="N176" i="15" a="1"/>
  <c r="BD205" i="15" a="1"/>
  <c r="BO222" i="15" a="1"/>
  <c r="AW194" i="15" a="1"/>
  <c r="C205" i="15" a="1"/>
  <c r="Y175" i="15" a="1"/>
  <c r="Z210" i="15" a="1"/>
  <c r="Y180" i="15" a="1"/>
  <c r="T177" i="15" a="1"/>
  <c r="U180" i="15" a="1"/>
  <c r="AB186" i="15" a="1"/>
  <c r="BI172" i="15" a="1"/>
  <c r="AG213" i="15" a="1"/>
  <c r="AS190" i="15" a="1"/>
  <c r="BD193" i="15" a="1"/>
  <c r="Y170" i="15" a="1"/>
  <c r="BS174" i="15" a="1"/>
  <c r="O182" i="15" a="1"/>
  <c r="BO168" i="15" a="1"/>
  <c r="BD194" i="15" a="1"/>
  <c r="AQ202" i="15" a="1"/>
  <c r="P182" i="15" a="1"/>
  <c r="AL203" i="15" a="1"/>
  <c r="BV211" i="15" a="1"/>
  <c r="O177" i="15" a="1"/>
  <c r="AB172" i="15" a="1"/>
  <c r="W171" i="15" a="1"/>
  <c r="U166" i="15" a="1"/>
  <c r="AA200" i="15" a="1"/>
  <c r="Y182" i="15" a="1"/>
  <c r="BF189" i="15" a="1"/>
  <c r="L165" i="15" a="1"/>
  <c r="AS187" i="15" a="1"/>
  <c r="Q178" i="15" a="1"/>
  <c r="C183" i="15" a="1"/>
  <c r="BB214" i="15" a="1"/>
  <c r="BT188" i="15" a="1"/>
  <c r="BG195" i="15" a="1"/>
  <c r="BC187" i="15" a="1"/>
  <c r="BV195" i="15" a="1"/>
  <c r="BN221" i="15" a="1"/>
  <c r="G206" i="15" a="1"/>
  <c r="BN178" i="15" a="1"/>
  <c r="AK179" i="15" a="1"/>
  <c r="AQ206" i="15" a="1"/>
  <c r="BV175" i="15" a="1"/>
  <c r="BU195" i="15" a="1"/>
  <c r="AT191" i="15" a="1"/>
  <c r="AX192" i="15" a="1"/>
  <c r="BU196" i="15" a="1"/>
  <c r="AU175" i="15" a="1"/>
  <c r="BD199" i="15" a="1"/>
  <c r="H181" i="15" a="1"/>
  <c r="C203" i="15" a="1"/>
  <c r="J169" i="15" a="1"/>
  <c r="BU208" i="15" a="1"/>
  <c r="BR169" i="15" a="1"/>
  <c r="AM208" i="15" a="1"/>
  <c r="AD174" i="15" a="1"/>
  <c r="AA174" i="15" a="1"/>
  <c r="AI188" i="15" a="1"/>
  <c r="AR174" i="15" a="1"/>
  <c r="AN178" i="15" a="1"/>
  <c r="AO190" i="15" a="1"/>
  <c r="AW169" i="15" a="1"/>
  <c r="AL167" i="15" a="1"/>
  <c r="AQ217" i="15" a="1"/>
  <c r="AR213" i="15" a="1"/>
  <c r="F187" i="15" a="1"/>
  <c r="X173" i="15" a="1"/>
  <c r="AJ183" i="15" a="1"/>
  <c r="BJ191" i="15" a="1"/>
  <c r="AO179" i="15" a="1"/>
  <c r="L202" i="15" a="1"/>
  <c r="L195" i="15" a="1"/>
  <c r="BA206" i="15" a="1"/>
  <c r="AF194" i="15" a="1"/>
  <c r="O205" i="15" a="1"/>
  <c r="AF165" i="15" a="1"/>
  <c r="AD170" i="15" a="1"/>
  <c r="F216" i="15" a="1"/>
  <c r="BN222" i="15" a="1"/>
  <c r="BO191" i="15" a="1"/>
  <c r="AD197" i="15" a="1"/>
  <c r="BU200" i="15" a="1"/>
  <c r="AT167" i="15" a="1"/>
  <c r="BL188" i="15" a="1"/>
  <c r="AU165" i="15" a="1"/>
  <c r="AJ219" i="15" a="1"/>
  <c r="AU189" i="15" a="1"/>
  <c r="S201" i="15" a="1"/>
  <c r="AB183" i="15" a="1"/>
  <c r="Z192" i="15" a="1"/>
  <c r="BP176" i="15" a="1"/>
  <c r="L217" i="15" a="1"/>
  <c r="AV186" i="15" a="1"/>
  <c r="AI167" i="15" a="1"/>
  <c r="BR171" i="15" a="1"/>
  <c r="AQ170" i="15" a="1"/>
  <c r="K213" i="15" a="1"/>
  <c r="AQ192" i="15" a="1"/>
  <c r="AR224" i="15" a="1"/>
  <c r="AZ178" i="15" a="1"/>
  <c r="AO170" i="15" a="1"/>
  <c r="AT213" i="15" a="1"/>
  <c r="BR188" i="15" a="1"/>
  <c r="BS188" i="15" a="1"/>
  <c r="AV185" i="15" a="1"/>
  <c r="BV172" i="15" a="1"/>
  <c r="BC170" i="15" a="1"/>
  <c r="C191" i="15" a="1"/>
  <c r="S207" i="15" a="1"/>
  <c r="AZ179" i="15" a="1"/>
  <c r="AX168" i="15" a="1"/>
  <c r="BT179" i="15" a="1"/>
  <c r="BJ169" i="15" a="1"/>
  <c r="F217" i="15" a="1"/>
  <c r="AQ209" i="15" a="1"/>
  <c r="H171" i="15" a="1"/>
  <c r="AZ175" i="15" a="1"/>
  <c r="Q189" i="15" a="1"/>
  <c r="AR189" i="15" a="1"/>
  <c r="BT181" i="15" a="1"/>
  <c r="BC224" i="15" a="1"/>
  <c r="E218" i="15" a="1"/>
  <c r="AE178" i="15" a="1"/>
  <c r="AM189" i="15" a="1"/>
  <c r="BP169" i="15" a="1"/>
  <c r="AP168" i="15" a="1"/>
  <c r="AM225" i="15" a="1"/>
  <c r="AJ191" i="15" a="1"/>
  <c r="AS193" i="15" a="1"/>
  <c r="BE191" i="15" a="1"/>
  <c r="AM181" i="15" a="1"/>
  <c r="S167" i="15" a="1"/>
  <c r="AB203" i="15" a="1"/>
  <c r="AA184" i="15" a="1"/>
  <c r="C186" i="15" a="1"/>
  <c r="F202" i="15" a="1"/>
  <c r="AN203" i="15" a="1"/>
  <c r="AJ204" i="15" a="1"/>
  <c r="P165" i="15" a="1"/>
  <c r="Y189" i="15" a="1"/>
  <c r="BN206" i="15" a="1"/>
  <c r="BT178" i="15" a="1"/>
  <c r="AX217" i="15" a="1"/>
  <c r="AA188" i="15" a="1"/>
  <c r="AC184" i="15" a="1"/>
  <c r="BB182" i="15" a="1"/>
  <c r="AA204" i="15" a="1"/>
  <c r="B54" i="8"/>
  <c r="R175" i="15" a="1"/>
  <c r="AY177" i="15" a="1"/>
  <c r="AS188" i="15" a="1"/>
  <c r="AI178" i="15" a="1"/>
  <c r="BI193" i="15" a="1"/>
  <c r="AM169" i="15" a="1"/>
  <c r="BV170" i="15" a="1"/>
  <c r="BJ218" i="15" a="1"/>
  <c r="AN212" i="15" a="1"/>
  <c r="BB174" i="15" a="1"/>
  <c r="AO168" i="15" a="1"/>
  <c r="H168" i="15" a="1"/>
  <c r="BB170" i="15" a="1"/>
  <c r="AU176" i="15" a="1"/>
  <c r="AL181" i="15" a="1"/>
  <c r="BG175" i="15" a="1"/>
  <c r="BC175" i="15" a="1"/>
  <c r="AU172" i="15" a="1"/>
  <c r="AP180" i="15" a="1"/>
  <c r="BD179" i="15" a="1"/>
  <c r="AQ183" i="15" a="1"/>
  <c r="AW184" i="15" a="1"/>
  <c r="AK215" i="15" a="1"/>
  <c r="BP175" i="15" a="1"/>
  <c r="BU174" i="15" a="1"/>
  <c r="BV197" i="15" a="1"/>
  <c r="BC184" i="15" a="1"/>
  <c r="AX211" i="15" a="1"/>
  <c r="BR177" i="15" a="1"/>
  <c r="I180" i="15" a="1"/>
  <c r="K168" i="15" a="1"/>
  <c r="AS178" i="15" a="1"/>
  <c r="BH201" i="15" a="1"/>
  <c r="P205" i="15" a="1"/>
  <c r="BP203" i="15" a="1"/>
  <c r="AV207" i="15" a="1"/>
  <c r="AW225" i="15" a="1"/>
  <c r="AS199" i="15" a="1"/>
  <c r="BV198" i="15" a="1"/>
  <c r="W186" i="15" a="1"/>
  <c r="BR209" i="15" a="1"/>
  <c r="Y166" i="15" a="1"/>
  <c r="AE187" i="15" a="1"/>
  <c r="AF183" i="15" a="1"/>
  <c r="AK178" i="15" a="1"/>
  <c r="W165" i="15" a="1"/>
  <c r="BT170" i="15" a="1"/>
  <c r="BM178" i="15" a="1"/>
  <c r="AF167" i="15" a="1"/>
  <c r="L180" i="15" a="1"/>
  <c r="AN177" i="15" a="1"/>
  <c r="BH209" i="15" a="1"/>
  <c r="AT193" i="15" a="1"/>
  <c r="AZ183" i="15" a="1"/>
  <c r="AN179" i="15" a="1"/>
  <c r="BL211" i="15" a="1"/>
  <c r="L187" i="15" a="1"/>
  <c r="W210" i="15" a="1"/>
  <c r="AH224" i="15" a="1"/>
  <c r="AN196" i="15" a="1"/>
  <c r="AT189" i="15" a="1"/>
  <c r="V193" i="15" a="1"/>
  <c r="BE173" i="15" a="1"/>
  <c r="R205" i="15" a="1"/>
  <c r="BK187" i="15" a="1"/>
  <c r="AX221" i="15" a="1"/>
  <c r="AR192" i="15" a="1"/>
  <c r="AQ204" i="15" a="1"/>
  <c r="AO177" i="15" a="1"/>
  <c r="AX193" i="15" a="1"/>
  <c r="AE203" i="15" a="1"/>
  <c r="E186" i="15" a="1"/>
  <c r="BC185" i="15" a="1"/>
  <c r="AT185" i="15" a="1"/>
  <c r="AP184" i="15" a="1"/>
  <c r="BD186" i="15" a="1"/>
  <c r="AM204" i="15" a="1"/>
  <c r="AQ203" i="15" a="1"/>
  <c r="G202" i="15" a="1"/>
  <c r="BS181" i="15" a="1"/>
  <c r="AF178" i="15" a="1"/>
  <c r="F197" i="15" a="1"/>
  <c r="BA180" i="15" a="1"/>
  <c r="T209" i="15" a="1"/>
  <c r="V174" i="15" a="1"/>
  <c r="AV167" i="15" a="1"/>
  <c r="AI205" i="15" a="1"/>
  <c r="F180" i="15" a="1"/>
  <c r="K173" i="15" a="1"/>
  <c r="BH179" i="15" a="1"/>
  <c r="AZ182" i="15" a="1"/>
  <c r="AA169" i="15" a="1"/>
  <c r="AL211" i="15" a="1"/>
  <c r="S170" i="15" a="1"/>
  <c r="P177" i="15" a="1"/>
  <c r="BM198" i="15" a="1"/>
  <c r="AF188" i="15" a="1"/>
  <c r="BS186" i="15" a="1"/>
  <c r="BG210" i="15" a="1"/>
  <c r="BR193" i="15" a="1"/>
  <c r="BB190" i="15" a="1"/>
  <c r="Q179" i="15" a="1"/>
  <c r="Q168" i="15" a="1"/>
  <c r="AV209" i="15" a="1"/>
  <c r="X179" i="15" a="1"/>
  <c r="BA189" i="15" a="1"/>
  <c r="AH206" i="15" a="1"/>
  <c r="AS182" i="15" a="1"/>
  <c r="BE199" i="15" a="1"/>
  <c r="AK176" i="15" a="1"/>
  <c r="BI197" i="15" a="1"/>
  <c r="AD183" i="15" a="1"/>
  <c r="E168" i="15" a="1"/>
  <c r="L171" i="15" a="1"/>
  <c r="AG209" i="15" a="1"/>
  <c r="BH165" i="15" a="1"/>
  <c r="AN194" i="15" a="1"/>
  <c r="AV176" i="15" a="1"/>
  <c r="BR176" i="15" a="1"/>
  <c r="Z172" i="15" a="1"/>
  <c r="BS167" i="15" a="1"/>
  <c r="BK179" i="15" a="1"/>
  <c r="BQ214" i="15" a="1"/>
  <c r="V188" i="15" a="1"/>
  <c r="W182" i="15" a="1"/>
  <c r="BI190" i="15" a="1"/>
  <c r="AS198" i="15" a="1"/>
  <c r="AI179" i="15" a="1"/>
  <c r="AP210" i="15" a="1"/>
  <c r="AV178" i="15" a="1"/>
  <c r="BF197" i="15" a="1"/>
  <c r="AU169" i="15" a="1"/>
  <c r="S187" i="15" a="1"/>
  <c r="BU177" i="15" a="1"/>
  <c r="AE175" i="15" a="1"/>
  <c r="AL195" i="15" a="1"/>
  <c r="AH166" i="15" a="1"/>
  <c r="Y185" i="15" a="1"/>
  <c r="BF168" i="15" a="1"/>
  <c r="AC195" i="15" a="1"/>
  <c r="K202" i="15" a="1"/>
  <c r="J174" i="15" a="1"/>
  <c r="H169" i="15" a="1"/>
  <c r="AB178" i="15" a="1"/>
  <c r="C196" i="15" a="1"/>
  <c r="I218" i="15" a="1"/>
  <c r="BS180" i="15" a="1"/>
  <c r="BC182" i="15" a="1"/>
  <c r="AV182" i="15" a="1"/>
  <c r="BU181" i="15" a="1"/>
  <c r="AW195" i="15" a="1"/>
  <c r="AY211" i="15" a="1"/>
  <c r="BQ222" i="15" a="1"/>
  <c r="AE170" i="15" a="1"/>
  <c r="AN170" i="15" a="1"/>
  <c r="BD184" i="15" a="1"/>
  <c r="I205" i="15" a="1"/>
  <c r="AI173" i="15" a="1"/>
  <c r="M166" i="15" a="1"/>
  <c r="BB200" i="15" a="1"/>
  <c r="AM171" i="15" a="1"/>
  <c r="AT181" i="15" a="1"/>
  <c r="I221" i="15" a="1"/>
  <c r="BF222" i="15" a="1"/>
  <c r="BN167" i="15" a="1"/>
  <c r="AC178" i="15" a="1"/>
  <c r="AG168" i="15" a="1"/>
  <c r="BA171" i="15" a="1"/>
  <c r="BK169" i="15" a="1"/>
  <c r="BN191" i="15" a="1"/>
  <c r="W188" i="15" a="1"/>
  <c r="BK222" i="15" a="1"/>
  <c r="BQ188" i="15" a="1"/>
  <c r="BN173" i="15" a="1"/>
  <c r="AK183" i="15" a="1"/>
  <c r="AT197" i="15" a="1"/>
  <c r="AI169" i="15" a="1"/>
  <c r="AI219" i="15" a="1"/>
  <c r="BT177" i="15" a="1"/>
  <c r="AI215" i="15" a="1"/>
  <c r="AK222" i="15" a="1"/>
  <c r="AG184" i="15" a="1"/>
  <c r="BO172" i="15" a="1"/>
  <c r="BT176" i="15" a="1"/>
  <c r="C207" i="15" a="1"/>
  <c r="AX204" i="15" a="1"/>
  <c r="N169" i="15" a="1"/>
  <c r="T202" i="15" a="1"/>
  <c r="AC216" i="15" a="1"/>
  <c r="AZ194" i="15" a="1"/>
  <c r="AO221" i="15" a="1"/>
  <c r="AQ197" i="15" a="1"/>
  <c r="BO201" i="15" a="1"/>
  <c r="AW217" i="15" a="1"/>
  <c r="BU178" i="15" a="1"/>
  <c r="P174" i="15" a="1"/>
  <c r="BR174" i="15" a="1"/>
  <c r="P167" i="15" a="1"/>
  <c r="BT202" i="15" a="1"/>
  <c r="AA187" i="15" a="1"/>
  <c r="AH193" i="15" a="1"/>
  <c r="AG166" i="15" a="1"/>
  <c r="O195" i="15" a="1"/>
  <c r="AE212" i="15" a="1"/>
  <c r="AS167" i="15" a="1"/>
  <c r="M181" i="15" a="1"/>
  <c r="AQ173" i="15" a="1"/>
  <c r="BD170" i="15" a="1"/>
  <c r="AE193" i="15" a="1"/>
  <c r="BL193" i="15" a="1"/>
  <c r="BF170" i="15" a="1"/>
  <c r="AM190" i="15" a="1"/>
  <c r="AA212" i="15" a="1"/>
  <c r="AG187" i="15" a="1"/>
  <c r="AX213" i="15" a="1"/>
  <c r="BR180" i="15" a="1"/>
  <c r="K197" i="15" a="1"/>
  <c r="N194" i="15" a="1"/>
  <c r="AN193" i="15" a="1"/>
  <c r="AZ180" i="15" a="1"/>
  <c r="X210" i="15" a="1"/>
  <c r="X185" i="15" a="1"/>
  <c r="T180" i="15" a="1"/>
  <c r="K165" i="15" a="1"/>
  <c r="BP186" i="15" a="1"/>
  <c r="BE170" i="15" a="1"/>
  <c r="AB191" i="15" a="1"/>
  <c r="U182" i="15" a="1"/>
  <c r="W180" i="15" a="1"/>
  <c r="BS189" i="15" a="1"/>
  <c r="AY169" i="15" a="1"/>
  <c r="Z189" i="15" a="1"/>
  <c r="K210" i="15" a="1"/>
  <c r="AD182" i="15" a="1"/>
  <c r="N177" i="15" a="1"/>
  <c r="BB180" i="15" a="1"/>
  <c r="AJ177" i="15" a="1"/>
  <c r="BO190" i="15" a="1"/>
  <c r="V192" i="15" a="1"/>
  <c r="AQ172" i="15" a="1"/>
  <c r="AW187" i="15" a="1"/>
  <c r="Y199" i="15" a="1"/>
  <c r="S190" i="15" a="1"/>
  <c r="BB167" i="15" a="1"/>
  <c r="Q206" i="15" a="1"/>
  <c r="BP177" i="15" a="1"/>
  <c r="AR171" i="15" a="1"/>
  <c r="BP193" i="15" a="1"/>
  <c r="BO208" i="15" a="1"/>
  <c r="AI171" i="15" a="1"/>
  <c r="N186" i="15" a="1"/>
  <c r="BF174" i="15" a="1"/>
  <c r="BB176" i="15" a="1"/>
  <c r="N172" i="15" a="1"/>
  <c r="T187" i="15" a="1"/>
  <c r="AJ165" i="15" a="1"/>
  <c r="AO210" i="15" a="1"/>
  <c r="AE180" i="15" a="1"/>
  <c r="BU182" i="15" a="1"/>
  <c r="BM190" i="15" a="1"/>
  <c r="O190" i="15" a="1"/>
  <c r="BK167" i="15" a="1"/>
  <c r="R174" i="15" a="1"/>
  <c r="AU197" i="15" a="1"/>
  <c r="BC192" i="15" a="1"/>
  <c r="AE195" i="15" a="1"/>
  <c r="C170" i="15" a="1"/>
  <c r="BK197" i="15" a="1"/>
  <c r="C169" i="15" a="1"/>
  <c r="BV168" i="15" a="1"/>
  <c r="BE196" i="15" a="1"/>
  <c r="P185" i="15" a="1"/>
  <c r="M176" i="15" a="1"/>
  <c r="W183" i="15" a="1"/>
  <c r="AT175" i="15" a="1"/>
  <c r="AY195" i="15" a="1"/>
  <c r="F210" i="15" a="1"/>
  <c r="BR192" i="15" a="1"/>
  <c r="M186" i="15" a="1"/>
  <c r="E195" i="15" a="1"/>
  <c r="B15" i="8"/>
  <c r="AL187" i="15" a="1"/>
  <c r="Q213" i="15" a="1"/>
  <c r="K182" i="15" a="1"/>
  <c r="Y184" i="15" a="1"/>
  <c r="BU167" i="15" a="1"/>
  <c r="BL165" i="15" a="1"/>
  <c r="C195" i="15" a="1"/>
  <c r="AV169" i="15" a="1"/>
  <c r="AN165" i="15" a="1"/>
  <c r="AS176" i="15" a="1"/>
  <c r="BF172" i="15" a="1"/>
  <c r="AD185" i="15" a="1"/>
  <c r="BJ197" i="15" a="1"/>
  <c r="AM213" i="15" a="1"/>
  <c r="BQ179" i="15" a="1"/>
  <c r="BB169" i="15" a="1"/>
  <c r="O187" i="15" a="1"/>
  <c r="I208" i="15" a="1"/>
  <c r="AR167" i="15" a="1"/>
  <c r="H184" i="15" a="1"/>
  <c r="BD191" i="15" a="1"/>
  <c r="K171" i="15" a="1"/>
  <c r="X178" i="15" a="1"/>
  <c r="BE168" i="15" a="1"/>
  <c r="H207" i="15" a="1"/>
  <c r="X177" i="15" a="1"/>
  <c r="F225" i="15" a="1"/>
  <c r="AQ175" i="15" a="1"/>
  <c r="AJ170" i="15" a="1"/>
  <c r="AV199" i="15" a="1"/>
  <c r="AI172" i="15" a="1"/>
  <c r="L172" i="15" a="1"/>
  <c r="BV176" i="15" a="1"/>
  <c r="K194" i="15" a="1"/>
  <c r="M213" i="15" a="1"/>
  <c r="P194" i="15" a="1"/>
  <c r="BN182" i="15" a="1"/>
  <c r="BK172" i="15" a="1"/>
  <c r="L190" i="15" a="1"/>
  <c r="BJ180" i="15" a="1"/>
  <c r="BN189" i="15" a="1"/>
  <c r="BD218" i="15" a="1"/>
  <c r="AH182" i="15" a="1"/>
  <c r="BN177" i="15" a="1"/>
  <c r="AM202" i="15" a="1"/>
  <c r="BN181" i="15" a="1"/>
  <c r="AH187" i="15" a="1"/>
  <c r="AL184" i="15" a="1"/>
  <c r="AZ209" i="15" a="1"/>
  <c r="BH180" i="15" a="1"/>
  <c r="BL191" i="15" a="1"/>
  <c r="W198" i="15" a="1"/>
  <c r="E205" i="15" a="1"/>
  <c r="BJ192" i="15" a="1"/>
  <c r="AA175" i="15" a="1"/>
  <c r="AK212" i="15" a="1"/>
  <c r="BN170" i="15" a="1"/>
  <c r="X187" i="15" a="1"/>
  <c r="K167" i="15" a="1"/>
  <c r="AG217" i="15" a="1"/>
  <c r="AF180" i="15" a="1"/>
  <c r="P173" i="15" a="1"/>
  <c r="AV166" i="15" a="1"/>
  <c r="BV201" i="15" a="1"/>
  <c r="AM178" i="15" a="1"/>
  <c r="AV177" i="15" a="1"/>
  <c r="BD166" i="15" a="1"/>
  <c r="O165" i="15" a="1"/>
  <c r="I187" i="15" a="1"/>
  <c r="Q217" i="15" a="1"/>
  <c r="AK169" i="15" a="1"/>
  <c r="AS170" i="15" a="1"/>
  <c r="I185" i="15" a="1"/>
  <c r="L170" i="15" a="1"/>
  <c r="BG207" i="15" a="1"/>
  <c r="P172" i="15" a="1"/>
  <c r="BG197" i="15" a="1"/>
  <c r="AJ179" i="15" a="1"/>
  <c r="T176" i="15" a="1"/>
  <c r="BC199" i="15" a="1"/>
  <c r="AD208" i="15" a="1"/>
  <c r="H205" i="15" a="1"/>
  <c r="Z203" i="15" a="1"/>
  <c r="AC165" i="15" a="1"/>
  <c r="P166" i="15" a="1"/>
  <c r="Z174" i="15" a="1"/>
  <c r="S178" i="15" a="1"/>
  <c r="AW177" i="15" a="1"/>
  <c r="BU169" i="15" a="1"/>
  <c r="N222" i="15" a="1"/>
  <c r="C174" i="15" a="1"/>
  <c r="BF186" i="15" a="1"/>
  <c r="BB173" i="15" a="1"/>
  <c r="F170" i="15" a="1"/>
  <c r="BF182" i="15" a="1"/>
  <c r="F167" i="15" a="1"/>
  <c r="AY214" i="15" a="1"/>
  <c r="AM188" i="15" a="1"/>
  <c r="L174" i="15" a="1"/>
  <c r="X165" i="15" a="1"/>
  <c r="S165" i="15" a="1"/>
  <c r="AF207" i="15" a="1"/>
  <c r="Z167" i="15" a="1"/>
  <c r="AT178" i="15" a="1"/>
  <c r="U204" i="15" a="1"/>
  <c r="J197" i="15" a="1"/>
  <c r="AZ199" i="15" a="1"/>
  <c r="BM170" i="15" a="1"/>
  <c r="BS176" i="15" a="1"/>
  <c r="BE180" i="15" a="1"/>
  <c r="BB168" i="15" a="1"/>
  <c r="V167" i="15" a="1"/>
  <c r="K196" i="15" a="1"/>
  <c r="BU197" i="15" a="1"/>
  <c r="BT175" i="15" a="1"/>
  <c r="BE171" i="15" a="1"/>
  <c r="BA193" i="15" a="1"/>
  <c r="AP205" i="15" a="1"/>
  <c r="AT168" i="15" a="1"/>
  <c r="AL188" i="15" a="1"/>
  <c r="U171" i="15" a="1"/>
  <c r="AV189" i="15" a="1"/>
  <c r="BO192" i="15" a="1"/>
  <c r="AP179" i="15" a="1"/>
  <c r="Q167" i="15" a="1"/>
  <c r="V196" i="15" a="1"/>
  <c r="BK174" i="15" a="1"/>
  <c r="AU167" i="15" a="1"/>
  <c r="BV208" i="15" a="1"/>
  <c r="C177" i="15" a="1"/>
  <c r="BK191" i="15" a="1"/>
  <c r="BH171" i="15" a="1"/>
  <c r="AK216" i="15" a="1"/>
  <c r="BH192" i="15" a="1"/>
  <c r="AB192" i="15" a="1"/>
  <c r="X220" i="15" a="1"/>
  <c r="L215" i="15" a="1"/>
  <c r="BL167" i="15" a="1"/>
  <c r="AQ184" i="15" a="1"/>
  <c r="BC172" i="15" a="1"/>
  <c r="BH222" i="15" a="1"/>
  <c r="AV188" i="15" a="1"/>
  <c r="AN181" i="15" a="1"/>
  <c r="BK192" i="15" a="1"/>
  <c r="AZ198" i="15" a="1"/>
  <c r="BE174" i="15" a="1"/>
  <c r="AM187" i="15" a="1"/>
  <c r="I199" i="15" a="1"/>
  <c r="AK185" i="15" a="1"/>
  <c r="BN166" i="15" a="1"/>
  <c r="F188" i="15" a="1"/>
  <c r="AN184" i="15" a="1"/>
  <c r="BV209" i="15" a="1"/>
  <c r="BC189" i="15" a="1"/>
  <c r="BE165" i="15" a="1"/>
  <c r="X201" i="15" a="1"/>
  <c r="T204" i="15" a="1"/>
  <c r="F178" i="15" a="1"/>
  <c r="AA176" i="15" a="1"/>
  <c r="C178" i="15" a="1"/>
  <c r="AL165" i="15" a="1"/>
  <c r="U174" i="15" a="1"/>
  <c r="Y167" i="15" a="1"/>
  <c r="AF185" i="15" a="1"/>
  <c r="AG169" i="15" a="1"/>
  <c r="BL202" i="15" a="1"/>
  <c r="AJ202" i="15" a="1"/>
  <c r="R183" i="15" a="1"/>
  <c r="AM191" i="15" a="1"/>
  <c r="BT172" i="15" a="1"/>
  <c r="M178" i="15" a="1"/>
  <c r="BR199" i="15" a="1"/>
  <c r="C168" i="15" a="1"/>
  <c r="AK182" i="15" a="1"/>
  <c r="BO169" i="15" a="1"/>
  <c r="BL184" i="15" a="1"/>
  <c r="AV205" i="15" a="1"/>
  <c r="AH177" i="15" a="1"/>
  <c r="BO182" i="15" a="1"/>
  <c r="AS186" i="15" a="1"/>
  <c r="BU190" i="15" a="1"/>
  <c r="AY200" i="15" a="1"/>
  <c r="AD193" i="15" a="1"/>
  <c r="Q215" i="15" a="1"/>
  <c r="AH209" i="15" a="1"/>
  <c r="BA194" i="15" a="1"/>
  <c r="W187" i="15" a="1"/>
  <c r="BH207" i="15" a="1"/>
  <c r="BU171" i="15" a="1"/>
  <c r="BM197" i="15" a="1"/>
  <c r="BS177" i="15" a="1"/>
  <c r="I182" i="15" a="1"/>
  <c r="AY192" i="15" a="1"/>
  <c r="AX184" i="15" a="1"/>
  <c r="AG185" i="15" a="1"/>
  <c r="J175" i="15" a="1"/>
  <c r="BS214" i="15" a="1"/>
  <c r="G180" i="15" a="1"/>
  <c r="AD188" i="15" a="1"/>
  <c r="B77" i="8"/>
  <c r="BL169" i="15" a="1"/>
  <c r="BB179" i="15" a="1"/>
  <c r="W185" i="15" a="1"/>
  <c r="S197" i="15" a="1"/>
  <c r="K217" i="15" a="1"/>
  <c r="BS184" i="15" a="1"/>
  <c r="AB166" i="15" a="1"/>
  <c r="M175" i="15" a="1"/>
  <c r="L191" i="15" a="1"/>
  <c r="AS200" i="15" a="1"/>
  <c r="AD203" i="15" a="1"/>
  <c r="AM200" i="15" a="1"/>
  <c r="P196" i="15" a="1"/>
  <c r="AQ195" i="15" a="1"/>
  <c r="BL189" i="15" a="1"/>
  <c r="AS165" i="15" a="1"/>
  <c r="AQ165" i="15" a="1"/>
  <c r="BH174" i="15" a="1"/>
  <c r="O173" i="15" a="1"/>
  <c r="AC180" i="15" a="1"/>
  <c r="BR165" i="15" a="1"/>
  <c r="AW174" i="15" a="1"/>
  <c r="AV173" i="15" a="1"/>
  <c r="S183" i="15" a="1"/>
  <c r="AJ190" i="15" a="1"/>
  <c r="AQ179" i="15" a="1"/>
  <c r="AX175" i="15" a="1"/>
  <c r="AL192" i="15" a="1"/>
  <c r="BP166" i="15" a="1"/>
  <c r="BV189" i="15" a="1"/>
  <c r="R196" i="15" a="1"/>
  <c r="BE213" i="15" a="1"/>
  <c r="BB181" i="15" a="1"/>
  <c r="P208" i="15" a="1"/>
  <c r="BQ170" i="15" a="1"/>
  <c r="BG165" i="15" a="1"/>
  <c r="K179" i="15" a="1"/>
  <c r="AA172" i="15" a="1"/>
  <c r="AJ211" i="15" a="1"/>
  <c r="H222" i="15" a="1"/>
  <c r="BR166" i="15" a="1"/>
  <c r="AD187" i="15" a="1"/>
  <c r="AZ168" i="15" a="1"/>
  <c r="AD181" i="15" a="1"/>
  <c r="AQ193" i="15" a="1"/>
  <c r="AN195" i="15" a="1"/>
  <c r="B53" i="8"/>
  <c r="AS173" i="15" a="1"/>
  <c r="AE168" i="15" a="1"/>
  <c r="K193" i="15" a="1"/>
  <c r="AG204" i="15" a="1"/>
  <c r="BH200" i="15" a="1"/>
  <c r="J198" i="15" a="1"/>
  <c r="W177" i="15" a="1"/>
  <c r="AU183" i="15" a="1"/>
  <c r="AC208" i="15" a="1"/>
  <c r="AF202" i="15" a="1"/>
  <c r="B12" i="8"/>
  <c r="BD176" i="15" a="1"/>
  <c r="BM175" i="15" a="1"/>
  <c r="BV194" i="15" a="1"/>
  <c r="BG203" i="15" a="1"/>
  <c r="BS194" i="15" a="1"/>
  <c r="AC224" i="15" a="1"/>
  <c r="G174" i="15" a="1"/>
  <c r="AK214" i="15" a="1"/>
  <c r="BF195" i="15" a="1"/>
  <c r="BP191" i="15" a="1"/>
  <c r="BL200" i="15" a="1"/>
  <c r="AV191" i="15" a="1"/>
  <c r="I178" i="15" a="1"/>
  <c r="AZ173" i="15" a="1"/>
  <c r="C179" i="15" a="1"/>
  <c r="P179" i="15" a="1"/>
  <c r="AP192" i="15" a="1"/>
  <c r="BM168" i="15" a="1"/>
  <c r="AV202" i="15" a="1"/>
  <c r="BJ168" i="15" a="1"/>
  <c r="O186" i="15" a="1"/>
  <c r="V170" i="15" a="1"/>
  <c r="BH190" i="15" a="1"/>
  <c r="AA178" i="15" a="1"/>
  <c r="BF171" i="15" a="1"/>
  <c r="BC201" i="15" a="1"/>
  <c r="E198" i="15" a="1"/>
  <c r="BN171" i="15" a="1"/>
  <c r="BK182" i="15" a="1"/>
  <c r="BP173" i="15" a="1"/>
  <c r="AD194" i="15" a="1"/>
  <c r="AJ188" i="15" a="1"/>
  <c r="AG219" i="15" a="1"/>
  <c r="AX202" i="15" a="1"/>
  <c r="BK168" i="15" a="1"/>
  <c r="N214" i="15" a="1"/>
  <c r="BH172" i="15" a="1"/>
  <c r="C184" i="15" a="1"/>
  <c r="AW188" i="15" a="1"/>
  <c r="BP190" i="15" a="1"/>
  <c r="BA177" i="15" a="1"/>
  <c r="BQ166" i="15" a="1"/>
  <c r="AY191" i="15" a="1"/>
  <c r="BM200" i="15" a="1"/>
  <c r="AB165" i="15" a="1"/>
  <c r="J166" i="15" a="1"/>
  <c r="Z204" i="15" a="1"/>
  <c r="M204" i="15" a="1"/>
  <c r="BO202" i="15" a="1"/>
  <c r="BM201" i="15" a="1"/>
  <c r="BH189" i="15" a="1"/>
  <c r="BK177" i="15" a="1"/>
  <c r="O168" i="15" a="1"/>
  <c r="BM192" i="15" a="1"/>
  <c r="AQ190" i="15" a="1"/>
  <c r="AZ172" i="15" a="1"/>
  <c r="BH215" i="15" a="1"/>
  <c r="AY204" i="15" a="1"/>
  <c r="AO182" i="15" a="1"/>
  <c r="T189" i="15" a="1"/>
  <c r="V172" i="15" a="1"/>
  <c r="AN176" i="15" a="1"/>
  <c r="AU211" i="15" a="1"/>
  <c r="J186" i="15" a="1"/>
  <c r="AC170" i="15" a="1"/>
  <c r="AK203" i="15" a="1"/>
  <c r="E179" i="15" a="1"/>
  <c r="AF203" i="15" a="1"/>
  <c r="AZ174" i="15" a="1"/>
  <c r="BE167" i="15" a="1"/>
  <c r="T195" i="15" a="1"/>
  <c r="AZ184" i="15" a="1"/>
  <c r="AT188" i="15" a="1"/>
  <c r="BC173" i="15" a="1"/>
  <c r="BN183" i="15" a="1"/>
  <c r="O181" i="15" a="1"/>
  <c r="AX180" i="15" a="1"/>
  <c r="AF191" i="15" a="1"/>
  <c r="AT177" i="15" a="1"/>
  <c r="BQ184" i="15" a="1"/>
  <c r="L189" i="15" a="1"/>
  <c r="Q194" i="15" a="1"/>
  <c r="AD191" i="15" a="1"/>
  <c r="BT174" i="15" a="1"/>
  <c r="AX191" i="15" a="1"/>
  <c r="Q177" i="15" a="1"/>
  <c r="AN175" i="15" a="1"/>
  <c r="AO224" i="15" a="1"/>
  <c r="BJ200" i="15" a="1"/>
  <c r="BH197" i="15" a="1"/>
  <c r="N224" i="15" a="1"/>
  <c r="AZ171" i="15" a="1"/>
  <c r="R168" i="15" a="1"/>
  <c r="G200" i="15" a="1"/>
  <c r="AG172" i="15" a="1"/>
  <c r="I213" i="15" a="1"/>
  <c r="AV180" i="15" a="1"/>
  <c r="BA185" i="15" a="1"/>
  <c r="BI169" i="15" a="1"/>
  <c r="BI176" i="15" a="1"/>
  <c r="AR172" i="15" a="1"/>
  <c r="W169" i="15" a="1"/>
  <c r="S191" i="15" a="1"/>
  <c r="K169" i="15" a="1"/>
  <c r="AT195" i="15" a="1"/>
  <c r="AI214" i="15" a="1"/>
  <c r="AP182" i="15" a="1"/>
  <c r="U189" i="15" a="1"/>
  <c r="Z176" i="15" a="1"/>
  <c r="AF168" i="15" a="1"/>
  <c r="BA190" i="15" a="1"/>
  <c r="AY175" i="15" a="1"/>
  <c r="I183" i="15" a="1"/>
  <c r="BL174" i="15" a="1"/>
  <c r="L194" i="15" a="1"/>
  <c r="O180" i="15" a="1"/>
  <c r="AD179" i="15" a="1"/>
  <c r="AS213" i="15" a="1"/>
  <c r="K187" i="15" a="1"/>
  <c r="AG195" i="15" a="1"/>
  <c r="BI166" i="15" a="1"/>
  <c r="BL176" i="15" a="1"/>
  <c r="AN168" i="15" a="1"/>
  <c r="AB182" i="15" a="1"/>
  <c r="G172" i="15" a="1"/>
  <c r="I167" i="15" a="1"/>
  <c r="AY182" i="15" a="1"/>
  <c r="AD168" i="15" a="1"/>
  <c r="BT198" i="15" a="1"/>
  <c r="BH188" i="15" a="1"/>
  <c r="AR169" i="15" a="1"/>
  <c r="AA168" i="15" a="1"/>
  <c r="BJ171" i="15" a="1"/>
  <c r="AP193" i="15" a="1"/>
  <c r="AE200" i="15" a="1"/>
  <c r="AI190" i="15" a="1"/>
  <c r="AE190" i="15" a="1"/>
  <c r="W174" i="15" a="1"/>
  <c r="L168" i="15" a="1"/>
  <c r="C201" i="15" a="1"/>
  <c r="AA173" i="15" a="1"/>
  <c r="BM177" i="15" a="1"/>
  <c r="Y169" i="15" a="1"/>
  <c r="AV206" i="15" a="1"/>
  <c r="BD181" i="15" a="1"/>
  <c r="R188" i="15" a="1"/>
  <c r="AN206" i="15" a="1"/>
  <c r="AR200" i="15" a="1"/>
  <c r="BQ176" i="15" a="1"/>
  <c r="AN186" i="15" a="1"/>
  <c r="H182" i="15" a="1"/>
  <c r="AG182" i="15" a="1"/>
  <c r="C225" i="15" a="1"/>
  <c r="Z197" i="15" a="1"/>
  <c r="AW205" i="15" a="1"/>
  <c r="BV173" i="15" a="1"/>
  <c r="AP196" i="15" a="1"/>
  <c r="BE197" i="15" a="1"/>
  <c r="BJ178" i="15" a="1"/>
  <c r="B78" i="8"/>
  <c r="L169" i="15" a="1"/>
  <c r="AH188" i="15" a="1"/>
  <c r="AL175" i="15" a="1"/>
  <c r="AL177" i="15" a="1"/>
  <c r="BK186" i="15" a="1"/>
  <c r="AQ168" i="15" a="1"/>
  <c r="M220" i="15" a="1"/>
  <c r="Q211" i="15" a="1"/>
  <c r="BS179" i="15" a="1"/>
  <c r="AG179" i="15" a="1"/>
  <c r="Y173" i="15" a="1"/>
  <c r="AE198" i="15" a="1"/>
  <c r="BL204" i="15" a="1"/>
  <c r="AI204" i="15" a="1"/>
  <c r="U179" i="15" a="1"/>
  <c r="AU181" i="15" a="1"/>
  <c r="BT195" i="15" a="1"/>
  <c r="AT170" i="15" a="1"/>
  <c r="E211" i="15" a="1"/>
  <c r="AX179" i="15" a="1"/>
  <c r="BS165" i="15" a="1"/>
  <c r="AU178" i="15" a="1"/>
  <c r="BA170" i="15" a="1"/>
  <c r="AB176" i="15" a="1"/>
  <c r="AF187" i="15" a="1"/>
  <c r="AH167" i="15" a="1"/>
  <c r="AE167" i="15" a="1"/>
  <c r="M167" i="15" a="1"/>
  <c r="N166" i="15" a="1"/>
  <c r="BU211" i="15" a="1"/>
  <c r="AM183" i="15" a="1"/>
  <c r="BO179" i="15" a="1"/>
  <c r="AJ192" i="15" a="1"/>
  <c r="BB175" i="15" a="1"/>
  <c r="AR175" i="15" a="1"/>
  <c r="AA196" i="15" a="1"/>
  <c r="S213" i="15" a="1"/>
  <c r="V173" i="15" a="1"/>
  <c r="O172" i="15" a="1"/>
  <c r="BG205" i="15" a="1"/>
  <c r="AJ172" i="15" a="1"/>
  <c r="F176" i="15" a="1"/>
  <c r="P171" i="15" a="1"/>
  <c r="Z184" i="15" a="1"/>
  <c r="BM169" i="15" a="1"/>
  <c r="AS169" i="15" a="1"/>
  <c r="AW182" i="15" a="1"/>
  <c r="BP180" i="15" a="1"/>
  <c r="AU202" i="15" a="1"/>
  <c r="F201" i="15" a="1"/>
  <c r="AJ197" i="15" a="1"/>
  <c r="R173" i="15" a="1"/>
  <c r="W167" i="15" a="1"/>
  <c r="E177" i="15" a="1"/>
  <c r="BG191" i="15" a="1"/>
  <c r="BS192" i="15" a="1"/>
  <c r="G179" i="15" a="1"/>
  <c r="B13" i="8"/>
  <c r="BF203" i="15" a="1"/>
  <c r="AH202" i="15" a="1"/>
  <c r="BC195" i="15" a="1"/>
  <c r="AL213" i="15" a="1"/>
  <c r="K195" i="15" a="1"/>
  <c r="BM202" i="15" a="1"/>
  <c r="AS196" i="15" a="1"/>
  <c r="Q193" i="15" a="1"/>
  <c r="BN168" i="15" a="1"/>
  <c r="AP169" i="15" a="1"/>
  <c r="BJ185" i="15" a="1"/>
  <c r="BL178" i="15" a="1"/>
  <c r="U197" i="15" a="1"/>
  <c r="AV221" i="15" a="1"/>
  <c r="G178" i="15" a="1"/>
  <c r="B79" i="8"/>
  <c r="BE184" i="15" a="1"/>
  <c r="AT219" i="15" a="1"/>
  <c r="I196" i="15" a="1"/>
  <c r="BJ196" i="15" a="1"/>
  <c r="H178" i="15" a="1"/>
  <c r="AD165" i="15" a="1"/>
  <c r="AK221" i="15" a="1"/>
  <c r="C167" i="15" a="1"/>
  <c r="AR165" i="15" a="1"/>
  <c r="T206" i="15" a="1"/>
  <c r="BN198" i="15" a="1"/>
  <c r="AC166" i="15" a="1"/>
  <c r="O166" i="15" a="1"/>
  <c r="Z179" i="15" a="1"/>
  <c r="AX215" i="15" a="1"/>
  <c r="F185" i="15" a="1"/>
  <c r="F179" i="15" a="1"/>
  <c r="N199" i="15" a="1"/>
  <c r="BA172" i="15" a="1"/>
  <c r="V205" i="15" a="1"/>
  <c r="BF179" i="15" a="1"/>
  <c r="AP171" i="15" a="1"/>
  <c r="BO193" i="15" a="1"/>
  <c r="AG200" i="15" a="1"/>
  <c r="AC220" i="15" a="1"/>
  <c r="H167" i="15" a="1"/>
  <c r="BO214" i="15" a="1"/>
  <c r="BO209" i="15" a="1"/>
  <c r="S186" i="15" a="1"/>
  <c r="K170" i="15" a="1"/>
  <c r="AK188" i="15" a="1"/>
  <c r="AK165" i="15" a="1"/>
  <c r="AF171" i="15" a="1"/>
  <c r="BF176" i="15" a="1"/>
  <c r="AK167" i="15" a="1"/>
  <c r="O185" i="15" a="1"/>
  <c r="BB187" i="15" a="1"/>
  <c r="X195" i="15" a="1"/>
  <c r="BF178" i="15" a="1"/>
  <c r="AJ175" i="15" a="1"/>
  <c r="AB168" i="15" a="1"/>
  <c r="AP200" i="15" a="1"/>
  <c r="AA185" i="15" a="1"/>
  <c r="BJ207" i="15" a="1"/>
  <c r="M187" i="15" a="1"/>
  <c r="Q175" i="15" a="1"/>
  <c r="BR175" i="15" a="1"/>
  <c r="S173" i="15" a="1"/>
  <c r="T190" i="15" a="1"/>
  <c r="AU190" i="15" a="1"/>
  <c r="S189" i="15" a="1"/>
  <c r="BS193" i="15" a="1"/>
  <c r="L173" i="15" a="1"/>
  <c r="BM180" i="15" a="1"/>
  <c r="M214" i="15" a="1"/>
  <c r="J202" i="15" a="1"/>
  <c r="BE181" i="15" a="1"/>
  <c r="AV175" i="15" a="1"/>
  <c r="L192" i="15" a="1"/>
  <c r="AP175" i="15" a="1"/>
  <c r="L185" i="15" a="1"/>
  <c r="BI168" i="15" a="1"/>
  <c r="AA179" i="15" a="1"/>
  <c r="BQ172" i="15" a="1"/>
  <c r="AF177" i="15" a="1"/>
  <c r="BQ180" i="15" a="1"/>
  <c r="AA165" i="15" a="1"/>
  <c r="H214" i="15" a="1"/>
  <c r="AT186" i="15" a="1"/>
  <c r="N203" i="15" a="1"/>
  <c r="X182" i="15" a="1"/>
  <c r="BF167" i="15" a="1"/>
  <c r="BV179" i="15" a="1"/>
  <c r="AL196" i="15" a="1"/>
  <c r="L179" i="15" a="1"/>
  <c r="AV179" i="15" a="1"/>
  <c r="BD198" i="15" a="1"/>
  <c r="BG213" i="15" a="1"/>
  <c r="G193" i="15" a="1"/>
  <c r="AO208" i="15" a="1"/>
  <c r="AR183" i="15" a="1"/>
  <c r="BE183" i="15" a="1"/>
  <c r="BO185" i="15" a="1"/>
  <c r="W200" i="15" a="1"/>
  <c r="T175" i="15" a="1"/>
  <c r="BG196" i="15" a="1"/>
  <c r="AQ207" i="15" a="1"/>
  <c r="AL212" i="15" a="1"/>
  <c r="AR188" i="15" a="1"/>
  <c r="Q184" i="15" a="1"/>
  <c r="BF183" i="15" a="1"/>
  <c r="AB175" i="15" a="1"/>
  <c r="I200" i="15" a="1"/>
  <c r="X170" i="15" a="1"/>
  <c r="AK187" i="15" a="1"/>
  <c r="W209" i="15" a="1"/>
  <c r="C176" i="15" a="1"/>
  <c r="BJ203" i="15" a="1"/>
  <c r="AG206" i="15" a="1"/>
  <c r="AK174" i="15" a="1"/>
  <c r="V176" i="15" a="1"/>
  <c r="AR178" i="15" a="1"/>
  <c r="BV184" i="15" a="1"/>
  <c r="T207" i="15" a="1"/>
  <c r="C222" i="15" a="1"/>
  <c r="AY185" i="15" a="1"/>
  <c r="BG166" i="15" a="1"/>
  <c r="BB165" i="15" a="1"/>
  <c r="AV196" i="15" a="1"/>
  <c r="G205" i="15" a="1"/>
  <c r="AA214" i="15" a="1"/>
  <c r="I191" i="15" a="1"/>
  <c r="P187" i="15" a="1"/>
  <c r="J167" i="15" a="1"/>
  <c r="C180" i="15" a="1"/>
  <c r="Y178" i="15" a="1"/>
  <c r="Y216" i="15" a="1"/>
  <c r="V171" i="15" a="1"/>
  <c r="AU204" i="15" a="1"/>
  <c r="AJ193" i="15" a="1"/>
  <c r="E189" i="15" a="1"/>
  <c r="AY188" i="15" a="1"/>
  <c r="AM218" i="15" a="1"/>
  <c r="AG174" i="15" a="1"/>
  <c r="AZ191" i="15" a="1"/>
  <c r="G190" i="15" a="1"/>
  <c r="E172" i="15" a="1"/>
  <c r="I166" i="15" a="1"/>
  <c r="L175" i="15" a="1"/>
  <c r="AW166" i="15" a="1"/>
  <c r="BU173" i="15" a="1"/>
  <c r="AG178" i="15" a="1"/>
  <c r="AP195" i="15" a="1"/>
  <c r="AP172" i="15" a="1"/>
  <c r="AC167" i="15" a="1"/>
  <c r="AT202" i="15" a="1"/>
  <c r="F165" i="15" a="1"/>
  <c r="AU170" i="15" a="1"/>
  <c r="BU202" i="15" a="1"/>
  <c r="BB185" i="15" a="1"/>
  <c r="BE176" i="15" a="1"/>
  <c r="AF173" i="15" a="1"/>
  <c r="P178" i="15" a="1"/>
  <c r="BC190" i="15" a="1"/>
  <c r="V180" i="15" a="1"/>
  <c r="R194" i="15" a="1"/>
  <c r="Y200" i="15" a="1"/>
  <c r="BR195" i="15" a="1"/>
  <c r="K185" i="15" a="1"/>
  <c r="BF173" i="15" a="1"/>
  <c r="BR191" i="15" a="1"/>
  <c r="AV183" i="15" a="1"/>
  <c r="AU206" i="15" a="1"/>
  <c r="BR197" i="15" a="1"/>
  <c r="AT169" i="15" a="1"/>
  <c r="AN190" i="15" a="1"/>
  <c r="V166" i="15" a="1"/>
  <c r="AW201" i="15" a="1"/>
  <c r="BI174" i="15" a="1"/>
  <c r="AO165" i="15" a="1"/>
  <c r="AE174" i="15" a="1"/>
  <c r="AP166" i="15" a="1"/>
  <c r="X189" i="15" a="1"/>
  <c r="BJ172" i="15" a="1"/>
  <c r="AB180" i="15" a="1"/>
  <c r="BL190" i="15" a="1"/>
  <c r="BS200" i="15" a="1"/>
  <c r="M180" i="15" a="1"/>
  <c r="AR168" i="15" a="1"/>
  <c r="AH175" i="15" a="1"/>
  <c r="AX182" i="15" a="1"/>
  <c r="I192" i="15" a="1"/>
  <c r="AS191" i="15" a="1"/>
  <c r="BR172" i="15" a="1"/>
  <c r="BK195" i="15" a="1"/>
  <c r="S175" i="15" a="1"/>
  <c r="BG181" i="15" a="1"/>
  <c r="Z183" i="15" a="1"/>
  <c r="W190" i="15" a="1"/>
  <c r="AC177" i="15" a="1"/>
  <c r="K209" i="15" a="1"/>
  <c r="W202" i="15" a="1"/>
  <c r="AH191" i="15" a="1"/>
  <c r="AN173" i="15" a="1"/>
  <c r="O178" i="15" a="1"/>
  <c r="AY181" i="15" a="1"/>
  <c r="BC177" i="15" a="1"/>
  <c r="I174" i="15" a="1"/>
  <c r="O207" i="15" a="1"/>
  <c r="R193" i="15" a="1"/>
  <c r="AQ174" i="15" a="1"/>
  <c r="P211" i="15" a="1"/>
  <c r="M210" i="15" a="1"/>
  <c r="C218" i="15" a="1"/>
  <c r="BL179" i="15" a="1"/>
  <c r="BS185" i="15" a="1"/>
  <c r="AS172" i="15" a="1"/>
  <c r="R169" i="15" a="1"/>
  <c r="BF194" i="15" a="1"/>
  <c r="Q183" i="15" a="1"/>
  <c r="AG188" i="15" a="1"/>
  <c r="BF193" i="15" a="1"/>
  <c r="AQ182" i="15" a="1"/>
  <c r="BI175" i="15" a="1"/>
  <c r="BM206" i="15" a="1"/>
  <c r="K189" i="15" a="1"/>
  <c r="BL186" i="15" a="1"/>
  <c r="E174" i="15" a="1"/>
  <c r="AA180" i="15" a="1"/>
  <c r="M172" i="15" a="1"/>
  <c r="AX172" i="15" a="1"/>
  <c r="BH204" i="15" a="1"/>
  <c r="AV168" i="15" a="1"/>
  <c r="AJ184" i="15" a="1"/>
  <c r="G208" i="15" a="1"/>
  <c r="BT167" i="15" a="1"/>
  <c r="J195" i="15" a="1"/>
  <c r="I184" i="15" a="1"/>
  <c r="AH181" i="15" a="1"/>
  <c r="AW172" i="15" a="1"/>
  <c r="BT211" i="15" a="1"/>
  <c r="BU175" i="15" a="1"/>
  <c r="AJ168" i="15" a="1"/>
  <c r="I179" i="15" a="1"/>
  <c r="BL213" i="15" a="1"/>
  <c r="AI165" i="15" a="1"/>
  <c r="BA208" i="15" a="1"/>
  <c r="Y165" i="15" a="1"/>
  <c r="AW167" i="15" a="1"/>
  <c r="AF166" i="15" a="1"/>
  <c r="AH171" i="15" a="1"/>
  <c r="Y190" i="15" a="1"/>
  <c r="BA187" i="15" a="1"/>
  <c r="V212" i="15" a="1"/>
  <c r="AW192" i="15" a="1"/>
  <c r="BP187" i="15" a="1"/>
  <c r="AX196" i="15" a="1"/>
  <c r="AA170" i="15" a="1"/>
  <c r="C185" i="15" a="1"/>
  <c r="BP200" i="15" a="1"/>
  <c r="BV191" i="15" a="1"/>
  <c r="K166" i="15" a="1"/>
  <c r="BO184" i="15" a="1"/>
  <c r="N197" i="15" a="1"/>
  <c r="O204" i="15" a="1"/>
  <c r="BQ167" i="15" a="1"/>
  <c r="N217" i="15" a="1"/>
  <c r="AE169" i="15" a="1"/>
  <c r="AH180" i="15" a="1"/>
  <c r="H170" i="15" a="1"/>
  <c r="BL199" i="15" a="1"/>
  <c r="X186" i="15" a="1"/>
  <c r="AG170" i="15" a="1"/>
  <c r="C172" i="15" a="1"/>
  <c r="AD173" i="15" a="1"/>
  <c r="AP181" i="15" a="1"/>
  <c r="S185" i="15" a="1"/>
  <c r="V197" i="15" a="1"/>
  <c r="T178" i="15" a="1"/>
  <c r="T179" i="15" a="1"/>
  <c r="BI207" i="15" a="1"/>
  <c r="V195" i="15" a="1"/>
  <c r="BQ207" i="15" a="1"/>
  <c r="BS202" i="15" a="1"/>
  <c r="BC176" i="15" a="1"/>
  <c r="BV186" i="15" a="1"/>
  <c r="BQ186" i="15" a="1"/>
  <c r="AV198" i="15" a="1"/>
  <c r="AX203" i="15" a="1"/>
  <c r="BA204" i="15" a="1"/>
  <c r="Y203" i="15" a="1"/>
  <c r="AM185" i="15" a="1"/>
  <c r="H192" i="15" a="1"/>
  <c r="T166" i="15" a="1"/>
  <c r="AY187" i="15" a="1"/>
  <c r="AS177" i="15" a="1"/>
  <c r="BP174" i="15" a="1"/>
  <c r="BH167" i="15" a="1"/>
  <c r="S179" i="15" a="1"/>
  <c r="I171" i="15" a="1"/>
  <c r="AJ210" i="15" a="1"/>
  <c r="AL179" i="15" a="1"/>
  <c r="F171" i="15" a="1"/>
  <c r="AN198" i="15" a="1"/>
  <c r="BU184" i="15" a="1"/>
  <c r="Q212" i="15" a="1"/>
  <c r="AD186" i="15" a="1"/>
  <c r="BI180" i="15" a="1"/>
  <c r="AK175" i="15" a="1"/>
  <c r="AX209" i="15" a="1"/>
  <c r="S176" i="15" a="1"/>
  <c r="BC186" i="15" a="1"/>
  <c r="E196" i="15" a="1"/>
  <c r="AG194" i="15" a="1"/>
  <c r="BS173" i="15" a="1"/>
  <c r="BO166" i="15" a="1"/>
  <c r="P189" i="15" a="1"/>
  <c r="N185" i="15" a="1"/>
  <c r="X166" i="15" a="1"/>
  <c r="AO176" i="15" a="1"/>
  <c r="AP183" i="15" a="1"/>
  <c r="BG178" i="15" a="1"/>
  <c r="AB194" i="15" a="1"/>
  <c r="BB166" i="15" a="1"/>
  <c r="BS182" i="15" a="1"/>
  <c r="BP182" i="15" a="1"/>
  <c r="AE177" i="15" a="1"/>
  <c r="AH169" i="15" a="1"/>
  <c r="BP198" i="15" a="1"/>
  <c r="BK181" i="15" a="1"/>
  <c r="AO198" i="15" a="1"/>
  <c r="AS175" i="15" a="1"/>
  <c r="BI184" i="15" a="1"/>
  <c r="V184" i="15" a="1"/>
  <c r="BB171" i="15" a="1"/>
  <c r="AK171" i="15" a="1"/>
  <c r="BC202" i="15" a="1"/>
  <c r="AT165" i="15" a="1"/>
  <c r="V199" i="15" a="1"/>
  <c r="AJ196" i="15" a="1"/>
  <c r="Q186" i="15" a="1"/>
  <c r="BN196" i="15" a="1"/>
  <c r="BR189" i="15" a="1"/>
  <c r="AX174" i="15" a="1"/>
  <c r="B55" i="8"/>
  <c r="AX194" i="15" a="1"/>
  <c r="BD178" i="15" a="1"/>
  <c r="BI170" i="15" a="1"/>
  <c r="AF181" i="15" a="1"/>
  <c r="F205" i="15" a="1"/>
  <c r="V190" i="15" a="1"/>
  <c r="V179" i="15" a="1"/>
  <c r="H218" i="15" a="1"/>
  <c r="AD199" i="15" a="1"/>
  <c r="T174" i="15" a="1"/>
  <c r="X171" i="15" a="1"/>
  <c r="AK204" i="15" a="1"/>
  <c r="BD208" i="15" a="1"/>
  <c r="AL193" i="15" a="1"/>
  <c r="BU187" i="15" a="1"/>
  <c r="C189" i="15" a="1"/>
  <c r="E193" i="15" a="1"/>
  <c r="BE188" i="15" a="1"/>
  <c r="Q209" i="15" a="1"/>
  <c r="BF165" i="15" a="1"/>
  <c r="BB221" i="15" a="1"/>
  <c r="C216" i="15" a="1"/>
  <c r="BP184" i="15" a="1"/>
  <c r="U190" i="15" a="1"/>
  <c r="AW191" i="15" a="1"/>
  <c r="AY196" i="15" a="1"/>
  <c r="M192" i="15" a="1"/>
  <c r="AH190" i="15" a="1"/>
  <c r="Y187" i="15" a="1"/>
  <c r="O220" i="15" a="1"/>
  <c r="AW165" i="15" a="1"/>
  <c r="AV181" i="15" a="1"/>
  <c r="M165" i="15" a="1"/>
  <c r="BU176" i="15" a="1"/>
  <c r="E210" i="15" a="1"/>
  <c r="BG187" i="15" a="1"/>
  <c r="Y196" i="15" a="1"/>
  <c r="X174" i="15" a="1"/>
  <c r="AY176" i="15" a="1"/>
  <c r="AO173" i="15" a="1"/>
  <c r="AO174" i="15" a="1"/>
  <c r="AN189" i="15" a="1"/>
  <c r="BJ177" i="15" a="1"/>
  <c r="AB189" i="15" a="1"/>
  <c r="P197" i="15" a="1"/>
  <c r="BK183" i="15" a="1"/>
  <c r="M179" i="15" a="1"/>
  <c r="BT186" i="15" a="1"/>
  <c r="S188" i="15" a="1"/>
  <c r="AD221" i="15" a="1"/>
  <c r="AR170" i="15" a="1"/>
  <c r="J183" i="15" a="1"/>
  <c r="BK175" i="15" a="1"/>
  <c r="BL185" i="15" a="1"/>
  <c r="F169" i="15" a="1"/>
  <c r="BF184" i="15" a="1"/>
  <c r="Q170" i="15" a="1"/>
  <c r="AP206" i="15" a="1"/>
  <c r="H190" i="15" a="1"/>
  <c r="C206" i="15" a="1"/>
  <c r="AS168" i="15" a="1"/>
  <c r="BL172" i="15" a="1"/>
  <c r="H189" i="15" a="1"/>
  <c r="AO187" i="15" a="1"/>
  <c r="AZ177" i="15" a="1"/>
  <c r="J203" i="15" a="1"/>
  <c r="AU180" i="15" a="1"/>
  <c r="AM165" i="15" a="1"/>
  <c r="BM179" i="15" a="1"/>
  <c r="BV180" i="15" a="1"/>
  <c r="AO181" i="15" a="1"/>
  <c r="BP170" i="15" a="1"/>
  <c r="BM203" i="15" a="1"/>
  <c r="BK166" i="15" a="1"/>
  <c r="S171" i="15" a="1"/>
  <c r="AR181" i="15" a="1"/>
  <c r="BS169" i="15" a="1"/>
  <c r="T182" i="15" a="1"/>
  <c r="AA213" i="15" a="1"/>
  <c r="AT196" i="15" a="1"/>
  <c r="BJ170" i="15" a="1"/>
  <c r="BK173" i="15" a="1"/>
  <c r="O194" i="15" a="1"/>
  <c r="R167" i="15" a="1"/>
  <c r="AW168" i="15" a="1"/>
  <c r="AC179" i="15" a="1"/>
  <c r="AO197" i="15" a="1"/>
  <c r="BE166" i="15" a="1"/>
  <c r="AC209" i="15" a="1"/>
  <c r="AD175" i="15" a="1"/>
  <c r="AN192" i="15" a="1"/>
  <c r="AD195" i="15" a="1"/>
  <c r="BQ196" i="15" a="1"/>
  <c r="AP174" i="15" a="1"/>
  <c r="BG173" i="15" a="1"/>
  <c r="BC188" i="15" a="1"/>
  <c r="AM195" i="15" a="1"/>
  <c r="AP186" i="15" a="1"/>
  <c r="AX170" i="15" a="1"/>
  <c r="BS166" i="15" a="1"/>
  <c r="Q172" i="15" a="1"/>
  <c r="V177" i="15" a="1"/>
  <c r="AG205" i="15" a="1"/>
  <c r="BB204" i="15" a="1"/>
  <c r="C213" i="15" a="1"/>
  <c r="AF209" i="15" a="1"/>
  <c r="R171" i="15" a="1"/>
  <c r="U224" i="15" a="1"/>
  <c r="AH170" i="15" a="1"/>
  <c r="AL170" i="15" a="1"/>
  <c r="AX188" i="15" a="1"/>
  <c r="AX166" i="15" a="1"/>
  <c r="C166" i="15" a="1"/>
  <c r="AQ166" i="15" a="1"/>
  <c r="BP168" i="15" a="1"/>
  <c r="AQ208" i="15" a="1"/>
  <c r="AF208" i="15" a="1"/>
  <c r="BU170" i="15" a="1"/>
  <c r="BG176" i="15" a="1"/>
  <c r="BP216" i="15" a="1"/>
  <c r="AT173" i="15" a="1"/>
  <c r="BI212" i="15" a="1"/>
  <c r="BO171" i="15" a="1"/>
  <c r="Z165" i="15" a="1"/>
  <c r="AL204" i="15" a="1"/>
  <c r="D39" i="15" a="1"/>
  <c r="U193" i="15" a="1"/>
  <c r="BQ183" i="15" a="1"/>
  <c r="X180" i="15" a="1"/>
  <c r="AW210" i="15" a="1"/>
  <c r="BN172" i="15" a="1"/>
  <c r="BE193" i="15" a="1"/>
  <c r="L181" i="15" a="1"/>
  <c r="BB198" i="15" a="1"/>
  <c r="C199" i="15" a="1"/>
  <c r="N188" i="15" a="1"/>
  <c r="F172" i="15" a="1"/>
  <c r="O191" i="15" a="1"/>
  <c r="BR181" i="15" a="1"/>
  <c r="BV165" i="15" a="1"/>
  <c r="BK170" i="15" a="1"/>
  <c r="R197" i="15" a="1"/>
  <c r="BA223" i="15" a="1"/>
  <c r="BU192" i="15" a="1"/>
  <c r="AN166" i="15" a="1"/>
  <c r="BE169" i="15" a="1"/>
  <c r="BO188" i="15" a="1"/>
  <c r="BV167" i="15" a="1"/>
  <c r="BD167" i="15" a="1"/>
  <c r="BD168" i="15" a="1"/>
  <c r="BE179" i="15" a="1"/>
  <c r="AP173" i="15" a="1"/>
  <c r="H180" i="15" a="1"/>
  <c r="J172" i="15" a="1"/>
  <c r="E180" i="15" a="1"/>
  <c r="AH186" i="15" a="1"/>
  <c r="AY174" i="15" a="1"/>
  <c r="AZ167" i="15" a="1"/>
  <c r="M169" i="15" a="1"/>
  <c r="BS187" i="15" a="1"/>
  <c r="BI186" i="15" a="1"/>
  <c r="AE165" i="15" a="1"/>
  <c r="C221" i="15" a="1"/>
  <c r="T199" i="15" a="1"/>
  <c r="AK217" i="15" a="1"/>
  <c r="J179" i="15" a="1"/>
  <c r="BG168" i="15" a="1"/>
  <c r="S177" i="15" a="1"/>
  <c r="AO178" i="15" a="1"/>
  <c r="AM186" i="15" a="1"/>
  <c r="BB177" i="15" a="1"/>
  <c r="AI185" i="15" a="1"/>
  <c r="I177" i="15" a="1"/>
  <c r="X198" i="15" a="1"/>
  <c r="H176" i="15" a="1"/>
  <c r="AI206" i="15" a="1"/>
  <c r="V178" i="15" a="1"/>
  <c r="BO211" i="15" a="1"/>
  <c r="K177" i="15" a="1"/>
  <c r="E185" i="15" a="1"/>
  <c r="BO165" i="15" a="1"/>
  <c r="AI191" i="15" a="1"/>
  <c r="AY184" i="15" a="1"/>
  <c r="AK205" i="15" a="1"/>
  <c r="R201" i="15" a="1"/>
  <c r="BB195" i="15" a="1"/>
  <c r="AL200" i="15" a="1"/>
  <c r="O183" i="15" a="1"/>
  <c r="BL201" i="15" a="1"/>
  <c r="BN193" i="15" a="1"/>
  <c r="V165" i="15" a="1"/>
  <c r="BL177" i="15" a="1"/>
  <c r="AU184" i="15" a="1"/>
  <c r="AE179" i="15" a="1"/>
  <c r="AT182" i="15" a="1"/>
  <c r="N174" i="15" a="1"/>
  <c r="AR206" i="15" a="1"/>
  <c r="J176" i="15" a="1"/>
  <c r="BB184" i="15" a="1"/>
  <c r="BN185" i="15" a="1"/>
  <c r="AF174" i="15" a="1"/>
  <c r="AZ200" i="15" a="1"/>
  <c r="BC174" i="15" a="1"/>
  <c r="AM174" i="15" a="1"/>
  <c r="B52" i="8"/>
  <c r="BQ218" i="15" a="1"/>
  <c r="BQ182" i="15" a="1"/>
  <c r="P199" i="15" a="1"/>
  <c r="BL182" i="15" a="1"/>
  <c r="AZ188" i="15" a="1"/>
  <c r="AY186" i="15" a="1"/>
  <c r="BF211" i="15" a="1"/>
  <c r="H172" i="15" a="1"/>
  <c r="AR176" i="15" a="1"/>
  <c r="AG173" i="15" a="1"/>
  <c r="C43" i="15" a="1"/>
  <c r="E38" i="15"/>
  <c r="D43" i="15" a="1"/>
  <c r="P5" i="8"/>
  <c r="AG173" i="15" l="1"/>
  <c r="AR176" i="15"/>
  <c r="H172" i="15"/>
  <c r="BF211" i="15"/>
  <c r="AY186" i="15"/>
  <c r="AZ188" i="15"/>
  <c r="BL182" i="15"/>
  <c r="P199" i="15"/>
  <c r="BQ182" i="15"/>
  <c r="BQ218" i="15"/>
  <c r="AM174" i="15"/>
  <c r="BC174" i="15"/>
  <c r="AZ200" i="15"/>
  <c r="AF174" i="15"/>
  <c r="BN185" i="15"/>
  <c r="BB184" i="15"/>
  <c r="J176" i="15"/>
  <c r="AR206" i="15"/>
  <c r="N174" i="15"/>
  <c r="AT182" i="15"/>
  <c r="AE179" i="15"/>
  <c r="AU184" i="15"/>
  <c r="BL177" i="15"/>
  <c r="V165" i="15"/>
  <c r="BN193" i="15"/>
  <c r="BL201" i="15"/>
  <c r="O183" i="15"/>
  <c r="AL200" i="15"/>
  <c r="BB195" i="15"/>
  <c r="R201" i="15"/>
  <c r="AK205" i="15"/>
  <c r="AY184" i="15"/>
  <c r="AI191" i="15"/>
  <c r="BO165" i="15"/>
  <c r="E185" i="15"/>
  <c r="K177" i="15"/>
  <c r="BO211" i="15"/>
  <c r="V178" i="15"/>
  <c r="AI206" i="15"/>
  <c r="H176" i="15"/>
  <c r="X198" i="15"/>
  <c r="I177" i="15"/>
  <c r="AI185" i="15"/>
  <c r="BB177" i="15"/>
  <c r="AM186" i="15"/>
  <c r="AO178" i="15"/>
  <c r="S177" i="15"/>
  <c r="BG168" i="15"/>
  <c r="J179" i="15"/>
  <c r="AK217" i="15"/>
  <c r="T199" i="15"/>
  <c r="C221" i="15"/>
  <c r="AE165" i="15"/>
  <c r="BI186" i="15"/>
  <c r="BS187" i="15"/>
  <c r="M169" i="15"/>
  <c r="AZ167" i="15"/>
  <c r="AY174" i="15"/>
  <c r="AH186" i="15"/>
  <c r="E180" i="15"/>
  <c r="J172" i="15"/>
  <c r="H180" i="15"/>
  <c r="AP173" i="15"/>
  <c r="BE179" i="15"/>
  <c r="BD168" i="15"/>
  <c r="BD167" i="15"/>
  <c r="BV167" i="15"/>
  <c r="BO188" i="15"/>
  <c r="BE169" i="15"/>
  <c r="AN166" i="15"/>
  <c r="BU192" i="15"/>
  <c r="BA223" i="15"/>
  <c r="R197" i="15"/>
  <c r="BK170" i="15"/>
  <c r="BV165" i="15"/>
  <c r="BR181" i="15"/>
  <c r="O191" i="15"/>
  <c r="F172" i="15"/>
  <c r="N188" i="15"/>
  <c r="C199" i="15"/>
  <c r="BB198" i="15"/>
  <c r="L181" i="15"/>
  <c r="BE193" i="15"/>
  <c r="BN172" i="15"/>
  <c r="AW210" i="15"/>
  <c r="X180" i="15"/>
  <c r="BQ183" i="15"/>
  <c r="U193" i="15"/>
  <c r="D39" i="15"/>
  <c r="D165" i="15" s="1"/>
  <c r="AL204" i="15"/>
  <c r="Z165" i="15"/>
  <c r="BO171" i="15"/>
  <c r="BI212" i="15"/>
  <c r="AT173" i="15"/>
  <c r="BP216" i="15"/>
  <c r="BG176" i="15"/>
  <c r="BU170" i="15"/>
  <c r="AF208" i="15"/>
  <c r="AQ208" i="15"/>
  <c r="BP168" i="15"/>
  <c r="AQ166" i="15"/>
  <c r="C166" i="15"/>
  <c r="AX166" i="15"/>
  <c r="AX188" i="15"/>
  <c r="AL170" i="15"/>
  <c r="AH170" i="15"/>
  <c r="U224" i="15"/>
  <c r="R171" i="15"/>
  <c r="AF209" i="15"/>
  <c r="C213" i="15"/>
  <c r="BB204" i="15"/>
  <c r="AG205" i="15"/>
  <c r="V177" i="15"/>
  <c r="Q172" i="15"/>
  <c r="BS166" i="15"/>
  <c r="AX170" i="15"/>
  <c r="AP186" i="15"/>
  <c r="AM195" i="15"/>
  <c r="BC188" i="15"/>
  <c r="BG173" i="15"/>
  <c r="AP174" i="15"/>
  <c r="BQ196" i="15"/>
  <c r="AD195" i="15"/>
  <c r="AN192" i="15"/>
  <c r="AD175" i="15"/>
  <c r="AC209" i="15"/>
  <c r="BE166" i="15"/>
  <c r="AO197" i="15"/>
  <c r="AC179" i="15"/>
  <c r="AW168" i="15"/>
  <c r="R167" i="15"/>
  <c r="O194" i="15"/>
  <c r="BK173" i="15"/>
  <c r="BJ170" i="15"/>
  <c r="AT196" i="15"/>
  <c r="AA213" i="15"/>
  <c r="T182" i="15"/>
  <c r="BS169" i="15"/>
  <c r="AR181" i="15"/>
  <c r="S171" i="15"/>
  <c r="BK166" i="15"/>
  <c r="BM203" i="15"/>
  <c r="BP170" i="15"/>
  <c r="AO181" i="15"/>
  <c r="BV180" i="15"/>
  <c r="BM179" i="15"/>
  <c r="AM165" i="15"/>
  <c r="AU180" i="15"/>
  <c r="J203" i="15"/>
  <c r="AZ177" i="15"/>
  <c r="AO187" i="15"/>
  <c r="H189" i="15"/>
  <c r="BL172" i="15"/>
  <c r="AS168" i="15"/>
  <c r="C206" i="15"/>
  <c r="H190" i="15"/>
  <c r="AP206" i="15"/>
  <c r="Q170" i="15"/>
  <c r="BF184" i="15"/>
  <c r="F169" i="15"/>
  <c r="BL185" i="15"/>
  <c r="BK175" i="15"/>
  <c r="J183" i="15"/>
  <c r="AR170" i="15"/>
  <c r="AD221" i="15"/>
  <c r="S188" i="15"/>
  <c r="BT186" i="15"/>
  <c r="M179" i="15"/>
  <c r="BK183" i="15"/>
  <c r="P197" i="15"/>
  <c r="AB189" i="15"/>
  <c r="BJ177" i="15"/>
  <c r="AN189" i="15"/>
  <c r="AO174" i="15"/>
  <c r="AO173" i="15"/>
  <c r="AY176" i="15"/>
  <c r="X174" i="15"/>
  <c r="Y196" i="15"/>
  <c r="BG187" i="15"/>
  <c r="E210" i="15"/>
  <c r="BU176" i="15"/>
  <c r="M165" i="15"/>
  <c r="AV181" i="15"/>
  <c r="AW165" i="15"/>
  <c r="O220" i="15"/>
  <c r="Y187" i="15"/>
  <c r="AH190" i="15"/>
  <c r="M192" i="15"/>
  <c r="AY196" i="15"/>
  <c r="AW191" i="15"/>
  <c r="U190" i="15"/>
  <c r="BP184" i="15"/>
  <c r="C216" i="15"/>
  <c r="BB221" i="15"/>
  <c r="BF165" i="15"/>
  <c r="Q209" i="15"/>
  <c r="BE188" i="15"/>
  <c r="E193" i="15"/>
  <c r="C189" i="15"/>
  <c r="BU187" i="15"/>
  <c r="AL193" i="15"/>
  <c r="BD208" i="15"/>
  <c r="AK204" i="15"/>
  <c r="X171" i="15"/>
  <c r="T174" i="15"/>
  <c r="AD199" i="15"/>
  <c r="H218" i="15"/>
  <c r="V179" i="15"/>
  <c r="V190" i="15"/>
  <c r="F205" i="15"/>
  <c r="AF181" i="15"/>
  <c r="BI170" i="15"/>
  <c r="BD178" i="15"/>
  <c r="AX194" i="15"/>
  <c r="AX174" i="15"/>
  <c r="BR189" i="15"/>
  <c r="BN196" i="15"/>
  <c r="Q186" i="15"/>
  <c r="AJ196" i="15"/>
  <c r="V199" i="15"/>
  <c r="AT165" i="15"/>
  <c r="BC202" i="15"/>
  <c r="AK171" i="15"/>
  <c r="BB171" i="15"/>
  <c r="V184" i="15"/>
  <c r="BI184" i="15"/>
  <c r="AS175" i="15"/>
  <c r="AO198" i="15"/>
  <c r="BK181" i="15"/>
  <c r="BP198" i="15"/>
  <c r="AH169" i="15"/>
  <c r="AE177" i="15"/>
  <c r="BP182" i="15"/>
  <c r="BS182" i="15"/>
  <c r="BB166" i="15"/>
  <c r="AB194" i="15"/>
  <c r="BG178" i="15"/>
  <c r="AP183" i="15"/>
  <c r="AO176" i="15"/>
  <c r="X166" i="15"/>
  <c r="N185" i="15"/>
  <c r="P189" i="15"/>
  <c r="BO166" i="15"/>
  <c r="BS173" i="15"/>
  <c r="AG194" i="15"/>
  <c r="E196" i="15"/>
  <c r="BC186" i="15"/>
  <c r="S176" i="15"/>
  <c r="AX209" i="15"/>
  <c r="AK175" i="15"/>
  <c r="BI180" i="15"/>
  <c r="AD186" i="15"/>
  <c r="Q212" i="15"/>
  <c r="BU184" i="15"/>
  <c r="AN198" i="15"/>
  <c r="F171" i="15"/>
  <c r="AL179" i="15"/>
  <c r="AJ210" i="15"/>
  <c r="I171" i="15"/>
  <c r="S179" i="15"/>
  <c r="BH167" i="15"/>
  <c r="BP174" i="15"/>
  <c r="AS177" i="15"/>
  <c r="AY187" i="15"/>
  <c r="T166" i="15"/>
  <c r="H192" i="15"/>
  <c r="AM185" i="15"/>
  <c r="Y203" i="15"/>
  <c r="BA204" i="15"/>
  <c r="AX203" i="15"/>
  <c r="AV198" i="15"/>
  <c r="BQ186" i="15"/>
  <c r="BV186" i="15"/>
  <c r="BC176" i="15"/>
  <c r="BS202" i="15"/>
  <c r="BQ207" i="15"/>
  <c r="V195" i="15"/>
  <c r="BI207" i="15"/>
  <c r="T179" i="15"/>
  <c r="T178" i="15"/>
  <c r="V197" i="15"/>
  <c r="S185" i="15"/>
  <c r="AP181" i="15"/>
  <c r="AD173" i="15"/>
  <c r="C172" i="15"/>
  <c r="AG170" i="15"/>
  <c r="X186" i="15"/>
  <c r="BL199" i="15"/>
  <c r="H170" i="15"/>
  <c r="AH180" i="15"/>
  <c r="AE169" i="15"/>
  <c r="N217" i="15"/>
  <c r="BQ167" i="15"/>
  <c r="O204" i="15"/>
  <c r="N197" i="15"/>
  <c r="BO184" i="15"/>
  <c r="K166" i="15"/>
  <c r="BV191" i="15"/>
  <c r="BP200" i="15"/>
  <c r="C185" i="15"/>
  <c r="AA170" i="15"/>
  <c r="AX196" i="15"/>
  <c r="BP187" i="15"/>
  <c r="AW192" i="15"/>
  <c r="V212" i="15"/>
  <c r="BA187" i="15"/>
  <c r="Y190" i="15"/>
  <c r="AH171" i="15"/>
  <c r="AF166" i="15"/>
  <c r="AW167" i="15"/>
  <c r="Y165" i="15"/>
  <c r="BA208" i="15"/>
  <c r="AI165" i="15"/>
  <c r="BL213" i="15"/>
  <c r="I179" i="15"/>
  <c r="AJ168" i="15"/>
  <c r="BU175" i="15"/>
  <c r="BT211" i="15"/>
  <c r="AW172" i="15"/>
  <c r="AH181" i="15"/>
  <c r="I184" i="15"/>
  <c r="J195" i="15"/>
  <c r="BT167" i="15"/>
  <c r="G208" i="15"/>
  <c r="AJ184" i="15"/>
  <c r="AV168" i="15"/>
  <c r="BH204" i="15"/>
  <c r="AX172" i="15"/>
  <c r="M172" i="15"/>
  <c r="AA180" i="15"/>
  <c r="E174" i="15"/>
  <c r="BL186" i="15"/>
  <c r="K189" i="15"/>
  <c r="BM206" i="15"/>
  <c r="BI175" i="15"/>
  <c r="AQ182" i="15"/>
  <c r="BF193" i="15"/>
  <c r="AG188" i="15"/>
  <c r="Q183" i="15"/>
  <c r="BF194" i="15"/>
  <c r="R169" i="15"/>
  <c r="AS172" i="15"/>
  <c r="BS185" i="15"/>
  <c r="BL179" i="15"/>
  <c r="C218" i="15"/>
  <c r="M210" i="15"/>
  <c r="P211" i="15"/>
  <c r="AQ174" i="15"/>
  <c r="R193" i="15"/>
  <c r="O207" i="15"/>
  <c r="I174" i="15"/>
  <c r="BC177" i="15"/>
  <c r="AY181" i="15"/>
  <c r="O178" i="15"/>
  <c r="AN173" i="15"/>
  <c r="AH191" i="15"/>
  <c r="W202" i="15"/>
  <c r="K209" i="15"/>
  <c r="AC177" i="15"/>
  <c r="W190" i="15"/>
  <c r="Z183" i="15"/>
  <c r="BG181" i="15"/>
  <c r="S175" i="15"/>
  <c r="BK195" i="15"/>
  <c r="BR172" i="15"/>
  <c r="AS191" i="15"/>
  <c r="I192" i="15"/>
  <c r="AX182" i="15"/>
  <c r="AH175" i="15"/>
  <c r="AR168" i="15"/>
  <c r="M180" i="15"/>
  <c r="BS200" i="15"/>
  <c r="BL190" i="15"/>
  <c r="AB180" i="15"/>
  <c r="BJ172" i="15"/>
  <c r="X189" i="15"/>
  <c r="AP166" i="15"/>
  <c r="AE174" i="15"/>
  <c r="AO165" i="15"/>
  <c r="BI174" i="15"/>
  <c r="AW201" i="15"/>
  <c r="V166" i="15"/>
  <c r="AN190" i="15"/>
  <c r="AT169" i="15"/>
  <c r="BR197" i="15"/>
  <c r="AU206" i="15"/>
  <c r="AV183" i="15"/>
  <c r="BR191" i="15"/>
  <c r="BF173" i="15"/>
  <c r="K185" i="15"/>
  <c r="BR195" i="15"/>
  <c r="Y200" i="15"/>
  <c r="R194" i="15"/>
  <c r="V180" i="15"/>
  <c r="BC190" i="15"/>
  <c r="P178" i="15"/>
  <c r="AF173" i="15"/>
  <c r="BE176" i="15"/>
  <c r="BB185" i="15"/>
  <c r="BU202" i="15"/>
  <c r="AU170" i="15"/>
  <c r="F165" i="15"/>
  <c r="AT202" i="15"/>
  <c r="AC167" i="15"/>
  <c r="AP172" i="15"/>
  <c r="AP195" i="15"/>
  <c r="AG178" i="15"/>
  <c r="BU173" i="15"/>
  <c r="AW166" i="15"/>
  <c r="L175" i="15"/>
  <c r="I166" i="15"/>
  <c r="E172" i="15"/>
  <c r="G190" i="15"/>
  <c r="AZ191" i="15"/>
  <c r="AG174" i="15"/>
  <c r="AM218" i="15"/>
  <c r="AY188" i="15"/>
  <c r="E189" i="15"/>
  <c r="AJ193" i="15"/>
  <c r="AU204" i="15"/>
  <c r="V171" i="15"/>
  <c r="Y216" i="15"/>
  <c r="Y178" i="15"/>
  <c r="C180" i="15"/>
  <c r="J167" i="15"/>
  <c r="P187" i="15"/>
  <c r="I191" i="15"/>
  <c r="AA214" i="15"/>
  <c r="G205" i="15"/>
  <c r="AV196" i="15"/>
  <c r="BB165" i="15"/>
  <c r="BG166" i="15"/>
  <c r="AY185" i="15"/>
  <c r="C222" i="15"/>
  <c r="T207" i="15"/>
  <c r="BV184" i="15"/>
  <c r="AR178" i="15"/>
  <c r="V176" i="15"/>
  <c r="AK174" i="15"/>
  <c r="AG206" i="15"/>
  <c r="BJ203" i="15"/>
  <c r="C176" i="15"/>
  <c r="W209" i="15"/>
  <c r="AK187" i="15"/>
  <c r="X170" i="15"/>
  <c r="I200" i="15"/>
  <c r="AB175" i="15"/>
  <c r="BF183" i="15"/>
  <c r="Q184" i="15"/>
  <c r="AR188" i="15"/>
  <c r="AL212" i="15"/>
  <c r="AQ207" i="15"/>
  <c r="BG196" i="15"/>
  <c r="T175" i="15"/>
  <c r="W200" i="15"/>
  <c r="BO185" i="15"/>
  <c r="BE183" i="15"/>
  <c r="AR183" i="15"/>
  <c r="AO208" i="15"/>
  <c r="G193" i="15"/>
  <c r="BG213" i="15"/>
  <c r="BD198" i="15"/>
  <c r="AV179" i="15"/>
  <c r="L179" i="15"/>
  <c r="AL196" i="15"/>
  <c r="BV179" i="15"/>
  <c r="BF167" i="15"/>
  <c r="X182" i="15"/>
  <c r="N203" i="15"/>
  <c r="AT186" i="15"/>
  <c r="H214" i="15"/>
  <c r="AA165" i="15"/>
  <c r="BQ180" i="15"/>
  <c r="AF177" i="15"/>
  <c r="BQ172" i="15"/>
  <c r="AA179" i="15"/>
  <c r="BI168" i="15"/>
  <c r="L185" i="15"/>
  <c r="AP175" i="15"/>
  <c r="L192" i="15"/>
  <c r="AV175" i="15"/>
  <c r="BE181" i="15"/>
  <c r="J202" i="15"/>
  <c r="M214" i="15"/>
  <c r="BM180" i="15"/>
  <c r="L173" i="15"/>
  <c r="BS193" i="15"/>
  <c r="S189" i="15"/>
  <c r="AU190" i="15"/>
  <c r="T190" i="15"/>
  <c r="S173" i="15"/>
  <c r="BR175" i="15"/>
  <c r="Q175" i="15"/>
  <c r="M187" i="15"/>
  <c r="BJ207" i="15"/>
  <c r="AA185" i="15"/>
  <c r="AP200" i="15"/>
  <c r="AB168" i="15"/>
  <c r="AJ175" i="15"/>
  <c r="BF178" i="15"/>
  <c r="X195" i="15"/>
  <c r="BB187" i="15"/>
  <c r="O185" i="15"/>
  <c r="AK167" i="15"/>
  <c r="BF176" i="15"/>
  <c r="AF171" i="15"/>
  <c r="AK165" i="15"/>
  <c r="AK188" i="15"/>
  <c r="K170" i="15"/>
  <c r="S186" i="15"/>
  <c r="BO209" i="15"/>
  <c r="BO214" i="15"/>
  <c r="H167" i="15"/>
  <c r="AC220" i="15"/>
  <c r="AG200" i="15"/>
  <c r="BO193" i="15"/>
  <c r="AP171" i="15"/>
  <c r="BF179" i="15"/>
  <c r="V205" i="15"/>
  <c r="BA172" i="15"/>
  <c r="N199" i="15"/>
  <c r="F179" i="15"/>
  <c r="F185" i="15"/>
  <c r="AX215" i="15"/>
  <c r="Z179" i="15"/>
  <c r="O166" i="15"/>
  <c r="AC166" i="15"/>
  <c r="BN198" i="15"/>
  <c r="T206" i="15"/>
  <c r="AR165" i="15"/>
  <c r="C167" i="15"/>
  <c r="AK221" i="15"/>
  <c r="AD165" i="15"/>
  <c r="H178" i="15"/>
  <c r="BJ196" i="15"/>
  <c r="I196" i="15"/>
  <c r="AT219" i="15"/>
  <c r="BE184" i="15"/>
  <c r="G178" i="15"/>
  <c r="AV221" i="15"/>
  <c r="U197" i="15"/>
  <c r="BL178" i="15"/>
  <c r="BJ185" i="15"/>
  <c r="AP169" i="15"/>
  <c r="BN168" i="15"/>
  <c r="Q193" i="15"/>
  <c r="AS196" i="15"/>
  <c r="BM202" i="15"/>
  <c r="K195" i="15"/>
  <c r="AL213" i="15"/>
  <c r="BC195" i="15"/>
  <c r="AH202" i="15"/>
  <c r="BF203" i="15"/>
  <c r="G179" i="15"/>
  <c r="BS192" i="15"/>
  <c r="BG191" i="15"/>
  <c r="E177" i="15"/>
  <c r="W167" i="15"/>
  <c r="R173" i="15"/>
  <c r="AJ197" i="15"/>
  <c r="F201" i="15"/>
  <c r="AU202" i="15"/>
  <c r="BP180" i="15"/>
  <c r="AW182" i="15"/>
  <c r="AS169" i="15"/>
  <c r="BM169" i="15"/>
  <c r="Z184" i="15"/>
  <c r="P171" i="15"/>
  <c r="F176" i="15"/>
  <c r="AJ172" i="15"/>
  <c r="BG205" i="15"/>
  <c r="O172" i="15"/>
  <c r="V173" i="15"/>
  <c r="S213" i="15"/>
  <c r="AA196" i="15"/>
  <c r="AR175" i="15"/>
  <c r="BB175" i="15"/>
  <c r="AJ192" i="15"/>
  <c r="BO179" i="15"/>
  <c r="AM183" i="15"/>
  <c r="BU211" i="15"/>
  <c r="N166" i="15"/>
  <c r="M167" i="15"/>
  <c r="AE167" i="15"/>
  <c r="AH167" i="15"/>
  <c r="AF187" i="15"/>
  <c r="AB176" i="15"/>
  <c r="BA170" i="15"/>
  <c r="AU178" i="15"/>
  <c r="BS165" i="15"/>
  <c r="AX179" i="15"/>
  <c r="E211" i="15"/>
  <c r="AT170" i="15"/>
  <c r="BT195" i="15"/>
  <c r="AU181" i="15"/>
  <c r="U179" i="15"/>
  <c r="AI204" i="15"/>
  <c r="BL204" i="15"/>
  <c r="AE198" i="15"/>
  <c r="Y173" i="15"/>
  <c r="AG179" i="15"/>
  <c r="BS179" i="15"/>
  <c r="Q211" i="15"/>
  <c r="M220" i="15"/>
  <c r="AQ168" i="15"/>
  <c r="BK186" i="15"/>
  <c r="AL177" i="15"/>
  <c r="AL175" i="15"/>
  <c r="AH188" i="15"/>
  <c r="L169" i="15"/>
  <c r="BJ178" i="15"/>
  <c r="BE197" i="15"/>
  <c r="AP196" i="15"/>
  <c r="BV173" i="15"/>
  <c r="AW205" i="15"/>
  <c r="Z197" i="15"/>
  <c r="C225" i="15"/>
  <c r="AG182" i="15"/>
  <c r="H182" i="15"/>
  <c r="AN186" i="15"/>
  <c r="BQ176" i="15"/>
  <c r="AR200" i="15"/>
  <c r="AN206" i="15"/>
  <c r="R188" i="15"/>
  <c r="BD181" i="15"/>
  <c r="AV206" i="15"/>
  <c r="Y169" i="15"/>
  <c r="BM177" i="15"/>
  <c r="AA173" i="15"/>
  <c r="C201" i="15"/>
  <c r="L168" i="15"/>
  <c r="W174" i="15"/>
  <c r="AE190" i="15"/>
  <c r="AI190" i="15"/>
  <c r="AE200" i="15"/>
  <c r="AP193" i="15"/>
  <c r="BJ171" i="15"/>
  <c r="AA168" i="15"/>
  <c r="AR169" i="15"/>
  <c r="BH188" i="15"/>
  <c r="BT198" i="15"/>
  <c r="AD168" i="15"/>
  <c r="AY182" i="15"/>
  <c r="I167" i="15"/>
  <c r="G172" i="15"/>
  <c r="AB182" i="15"/>
  <c r="AN168" i="15"/>
  <c r="BL176" i="15"/>
  <c r="BI166" i="15"/>
  <c r="AG195" i="15"/>
  <c r="K187" i="15"/>
  <c r="AS213" i="15"/>
  <c r="AD179" i="15"/>
  <c r="O180" i="15"/>
  <c r="L194" i="15"/>
  <c r="BL174" i="15"/>
  <c r="I183" i="15"/>
  <c r="AY175" i="15"/>
  <c r="BA190" i="15"/>
  <c r="AF168" i="15"/>
  <c r="Z176" i="15"/>
  <c r="U189" i="15"/>
  <c r="AP182" i="15"/>
  <c r="AI214" i="15"/>
  <c r="AT195" i="15"/>
  <c r="K169" i="15"/>
  <c r="S191" i="15"/>
  <c r="W169" i="15"/>
  <c r="AR172" i="15"/>
  <c r="BI176" i="15"/>
  <c r="BI169" i="15"/>
  <c r="BA185" i="15"/>
  <c r="AV180" i="15"/>
  <c r="I213" i="15"/>
  <c r="AG172" i="15"/>
  <c r="G200" i="15"/>
  <c r="R168" i="15"/>
  <c r="AZ171" i="15"/>
  <c r="N224" i="15"/>
  <c r="BH197" i="15"/>
  <c r="BJ200" i="15"/>
  <c r="AO224" i="15"/>
  <c r="AN175" i="15"/>
  <c r="Q177" i="15"/>
  <c r="AX191" i="15"/>
  <c r="BT174" i="15"/>
  <c r="AD191" i="15"/>
  <c r="Q194" i="15"/>
  <c r="L189" i="15"/>
  <c r="BQ184" i="15"/>
  <c r="AT177" i="15"/>
  <c r="AF191" i="15"/>
  <c r="AX180" i="15"/>
  <c r="O181" i="15"/>
  <c r="BN183" i="15"/>
  <c r="BC173" i="15"/>
  <c r="AT188" i="15"/>
  <c r="AZ184" i="15"/>
  <c r="T195" i="15"/>
  <c r="BE167" i="15"/>
  <c r="AZ174" i="15"/>
  <c r="AF203" i="15"/>
  <c r="E179" i="15"/>
  <c r="AK203" i="15"/>
  <c r="AC170" i="15"/>
  <c r="J186" i="15"/>
  <c r="AU211" i="15"/>
  <c r="AN176" i="15"/>
  <c r="V172" i="15"/>
  <c r="T189" i="15"/>
  <c r="AO182" i="15"/>
  <c r="AY204" i="15"/>
  <c r="BH215" i="15"/>
  <c r="AZ172" i="15"/>
  <c r="AQ190" i="15"/>
  <c r="BM192" i="15"/>
  <c r="O168" i="15"/>
  <c r="BK177" i="15"/>
  <c r="BH189" i="15"/>
  <c r="BM201" i="15"/>
  <c r="BO202" i="15"/>
  <c r="M204" i="15"/>
  <c r="Z204" i="15"/>
  <c r="J166" i="15"/>
  <c r="AB165" i="15"/>
  <c r="BM200" i="15"/>
  <c r="AY191" i="15"/>
  <c r="BQ166" i="15"/>
  <c r="BA177" i="15"/>
  <c r="BP190" i="15"/>
  <c r="AW188" i="15"/>
  <c r="C184" i="15"/>
  <c r="BH172" i="15"/>
  <c r="N214" i="15"/>
  <c r="BK168" i="15"/>
  <c r="AX202" i="15"/>
  <c r="AG219" i="15"/>
  <c r="AJ188" i="15"/>
  <c r="AD194" i="15"/>
  <c r="BP173" i="15"/>
  <c r="BK182" i="15"/>
  <c r="BN171" i="15"/>
  <c r="E198" i="15"/>
  <c r="BC201" i="15"/>
  <c r="BF171" i="15"/>
  <c r="AA178" i="15"/>
  <c r="BH190" i="15"/>
  <c r="V170" i="15"/>
  <c r="O186" i="15"/>
  <c r="BJ168" i="15"/>
  <c r="AV202" i="15"/>
  <c r="BM168" i="15"/>
  <c r="AP192" i="15"/>
  <c r="P179" i="15"/>
  <c r="C179" i="15"/>
  <c r="AZ173" i="15"/>
  <c r="I178" i="15"/>
  <c r="AV191" i="15"/>
  <c r="BL200" i="15"/>
  <c r="BP191" i="15"/>
  <c r="BF195" i="15"/>
  <c r="AK214" i="15"/>
  <c r="G174" i="15"/>
  <c r="AC224" i="15"/>
  <c r="BS194" i="15"/>
  <c r="BG203" i="15"/>
  <c r="BV194" i="15"/>
  <c r="BM175" i="15"/>
  <c r="BD176" i="15"/>
  <c r="AF202" i="15"/>
  <c r="AC208" i="15"/>
  <c r="AU183" i="15"/>
  <c r="W177" i="15"/>
  <c r="J198" i="15"/>
  <c r="BH200" i="15"/>
  <c r="AG204" i="15"/>
  <c r="K193" i="15"/>
  <c r="AE168" i="15"/>
  <c r="AS173" i="15"/>
  <c r="AN195" i="15"/>
  <c r="AQ193" i="15"/>
  <c r="AD181" i="15"/>
  <c r="AZ168" i="15"/>
  <c r="AD187" i="15"/>
  <c r="BR166" i="15"/>
  <c r="H222" i="15"/>
  <c r="AJ211" i="15"/>
  <c r="AA172" i="15"/>
  <c r="K179" i="15"/>
  <c r="BG165" i="15"/>
  <c r="BQ170" i="15"/>
  <c r="P208" i="15"/>
  <c r="BB181" i="15"/>
  <c r="BE213" i="15"/>
  <c r="R196" i="15"/>
  <c r="BV189" i="15"/>
  <c r="BP166" i="15"/>
  <c r="AL192" i="15"/>
  <c r="AX175" i="15"/>
  <c r="AQ179" i="15"/>
  <c r="AJ190" i="15"/>
  <c r="S183" i="15"/>
  <c r="AV173" i="15"/>
  <c r="AW174" i="15"/>
  <c r="BR165" i="15"/>
  <c r="AC180" i="15"/>
  <c r="O173" i="15"/>
  <c r="BH174" i="15"/>
  <c r="AQ165" i="15"/>
  <c r="AS165" i="15"/>
  <c r="BL189" i="15"/>
  <c r="AQ195" i="15"/>
  <c r="P196" i="15"/>
  <c r="AM200" i="15"/>
  <c r="AD203" i="15"/>
  <c r="AS200" i="15"/>
  <c r="L191" i="15"/>
  <c r="M175" i="15"/>
  <c r="AB166" i="15"/>
  <c r="BS184" i="15"/>
  <c r="K217" i="15"/>
  <c r="S197" i="15"/>
  <c r="W185" i="15"/>
  <c r="BB179" i="15"/>
  <c r="BL169" i="15"/>
  <c r="AD188" i="15"/>
  <c r="G180" i="15"/>
  <c r="BS214" i="15"/>
  <c r="J175" i="15"/>
  <c r="AG185" i="15"/>
  <c r="AX184" i="15"/>
  <c r="AY192" i="15"/>
  <c r="I182" i="15"/>
  <c r="BS177" i="15"/>
  <c r="BM197" i="15"/>
  <c r="BU171" i="15"/>
  <c r="BH207" i="15"/>
  <c r="W187" i="15"/>
  <c r="BA194" i="15"/>
  <c r="AH209" i="15"/>
  <c r="Q215" i="15"/>
  <c r="AD193" i="15"/>
  <c r="AY200" i="15"/>
  <c r="BU190" i="15"/>
  <c r="AS186" i="15"/>
  <c r="BO182" i="15"/>
  <c r="AH177" i="15"/>
  <c r="AV205" i="15"/>
  <c r="BL184" i="15"/>
  <c r="BO169" i="15"/>
  <c r="AK182" i="15"/>
  <c r="C168" i="15"/>
  <c r="BR199" i="15"/>
  <c r="M178" i="15"/>
  <c r="BT172" i="15"/>
  <c r="AM191" i="15"/>
  <c r="R183" i="15"/>
  <c r="AJ202" i="15"/>
  <c r="BL202" i="15"/>
  <c r="AG169" i="15"/>
  <c r="AF185" i="15"/>
  <c r="Y167" i="15"/>
  <c r="U174" i="15"/>
  <c r="AL165" i="15"/>
  <c r="C178" i="15"/>
  <c r="AA176" i="15"/>
  <c r="F178" i="15"/>
  <c r="T204" i="15"/>
  <c r="X201" i="15"/>
  <c r="BE165" i="15"/>
  <c r="BC189" i="15"/>
  <c r="BV209" i="15"/>
  <c r="AN184" i="15"/>
  <c r="F188" i="15"/>
  <c r="BN166" i="15"/>
  <c r="AK185" i="15"/>
  <c r="I199" i="15"/>
  <c r="AM187" i="15"/>
  <c r="BE174" i="15"/>
  <c r="AZ198" i="15"/>
  <c r="BK192" i="15"/>
  <c r="AN181" i="15"/>
  <c r="AV188" i="15"/>
  <c r="BH222" i="15"/>
  <c r="BC172" i="15"/>
  <c r="AQ184" i="15"/>
  <c r="BL167" i="15"/>
  <c r="L215" i="15"/>
  <c r="X220" i="15"/>
  <c r="AB192" i="15"/>
  <c r="BH192" i="15"/>
  <c r="AK216" i="15"/>
  <c r="BH171" i="15"/>
  <c r="BK191" i="15"/>
  <c r="C177" i="15"/>
  <c r="BV208" i="15"/>
  <c r="AU167" i="15"/>
  <c r="BK174" i="15"/>
  <c r="V196" i="15"/>
  <c r="Q167" i="15"/>
  <c r="AP179" i="15"/>
  <c r="BO192" i="15"/>
  <c r="AV189" i="15"/>
  <c r="U171" i="15"/>
  <c r="AL188" i="15"/>
  <c r="AT168" i="15"/>
  <c r="AP205" i="15"/>
  <c r="BA193" i="15"/>
  <c r="BE171" i="15"/>
  <c r="BT175" i="15"/>
  <c r="BU197" i="15"/>
  <c r="K196" i="15"/>
  <c r="V167" i="15"/>
  <c r="BB168" i="15"/>
  <c r="BE180" i="15"/>
  <c r="BS176" i="15"/>
  <c r="BM170" i="15"/>
  <c r="AZ199" i="15"/>
  <c r="J197" i="15"/>
  <c r="U204" i="15"/>
  <c r="AT178" i="15"/>
  <c r="Z167" i="15"/>
  <c r="AF207" i="15"/>
  <c r="S165" i="15"/>
  <c r="X165" i="15"/>
  <c r="L174" i="15"/>
  <c r="AM188" i="15"/>
  <c r="AY214" i="15"/>
  <c r="F167" i="15"/>
  <c r="BF182" i="15"/>
  <c r="F170" i="15"/>
  <c r="BB173" i="15"/>
  <c r="BF186" i="15"/>
  <c r="C174" i="15"/>
  <c r="N222" i="15"/>
  <c r="BU169" i="15"/>
  <c r="AW177" i="15"/>
  <c r="S178" i="15"/>
  <c r="Z174" i="15"/>
  <c r="P166" i="15"/>
  <c r="AC165" i="15"/>
  <c r="Z203" i="15"/>
  <c r="H205" i="15"/>
  <c r="AD208" i="15"/>
  <c r="BC199" i="15"/>
  <c r="T176" i="15"/>
  <c r="AJ179" i="15"/>
  <c r="BG197" i="15"/>
  <c r="P172" i="15"/>
  <c r="BG207" i="15"/>
  <c r="L170" i="15"/>
  <c r="I185" i="15"/>
  <c r="AS170" i="15"/>
  <c r="AK169" i="15"/>
  <c r="Q217" i="15"/>
  <c r="I187" i="15"/>
  <c r="O165" i="15"/>
  <c r="BD166" i="15"/>
  <c r="AV177" i="15"/>
  <c r="AM178" i="15"/>
  <c r="BV201" i="15"/>
  <c r="AV166" i="15"/>
  <c r="P173" i="15"/>
  <c r="AF180" i="15"/>
  <c r="AG217" i="15"/>
  <c r="K167" i="15"/>
  <c r="X187" i="15"/>
  <c r="BN170" i="15"/>
  <c r="AK212" i="15"/>
  <c r="AA175" i="15"/>
  <c r="BJ192" i="15"/>
  <c r="E205" i="15"/>
  <c r="W198" i="15"/>
  <c r="BL191" i="15"/>
  <c r="BH180" i="15"/>
  <c r="AZ209" i="15"/>
  <c r="AL184" i="15"/>
  <c r="AH187" i="15"/>
  <c r="BN181" i="15"/>
  <c r="AM202" i="15"/>
  <c r="BN177" i="15"/>
  <c r="AH182" i="15"/>
  <c r="BD218" i="15"/>
  <c r="BN189" i="15"/>
  <c r="BJ180" i="15"/>
  <c r="L190" i="15"/>
  <c r="BK172" i="15"/>
  <c r="BN182" i="15"/>
  <c r="P194" i="15"/>
  <c r="M213" i="15"/>
  <c r="K194" i="15"/>
  <c r="BV176" i="15"/>
  <c r="L172" i="15"/>
  <c r="AI172" i="15"/>
  <c r="AV199" i="15"/>
  <c r="AJ170" i="15"/>
  <c r="AQ175" i="15"/>
  <c r="F225" i="15"/>
  <c r="X177" i="15"/>
  <c r="H207" i="15"/>
  <c r="BE168" i="15"/>
  <c r="X178" i="15"/>
  <c r="K171" i="15"/>
  <c r="BD191" i="15"/>
  <c r="H184" i="15"/>
  <c r="AR167" i="15"/>
  <c r="I208" i="15"/>
  <c r="O187" i="15"/>
  <c r="BB169" i="15"/>
  <c r="BQ179" i="15"/>
  <c r="AM213" i="15"/>
  <c r="BJ197" i="15"/>
  <c r="AD185" i="15"/>
  <c r="BF172" i="15"/>
  <c r="AS176" i="15"/>
  <c r="AN165" i="15"/>
  <c r="AV169" i="15"/>
  <c r="C195" i="15"/>
  <c r="BL165" i="15"/>
  <c r="BU167" i="15"/>
  <c r="Y184" i="15"/>
  <c r="K182" i="15"/>
  <c r="Q213" i="15"/>
  <c r="AL187" i="15"/>
  <c r="E195" i="15"/>
  <c r="M186" i="15"/>
  <c r="BR192" i="15"/>
  <c r="F210" i="15"/>
  <c r="AY195" i="15"/>
  <c r="AT175" i="15"/>
  <c r="W183" i="15"/>
  <c r="M176" i="15"/>
  <c r="P185" i="15"/>
  <c r="BE196" i="15"/>
  <c r="BV168" i="15"/>
  <c r="C169" i="15"/>
  <c r="BK197" i="15"/>
  <c r="C170" i="15"/>
  <c r="AE195" i="15"/>
  <c r="BC192" i="15"/>
  <c r="AU197" i="15"/>
  <c r="R174" i="15"/>
  <c r="BK167" i="15"/>
  <c r="O190" i="15"/>
  <c r="BM190" i="15"/>
  <c r="BU182" i="15"/>
  <c r="AE180" i="15"/>
  <c r="AO210" i="15"/>
  <c r="AJ165" i="15"/>
  <c r="T187" i="15"/>
  <c r="N172" i="15"/>
  <c r="BB176" i="15"/>
  <c r="BF174" i="15"/>
  <c r="N186" i="15"/>
  <c r="AI171" i="15"/>
  <c r="BO208" i="15"/>
  <c r="BP193" i="15"/>
  <c r="AR171" i="15"/>
  <c r="BP177" i="15"/>
  <c r="Q206" i="15"/>
  <c r="BB167" i="15"/>
  <c r="S190" i="15"/>
  <c r="Y199" i="15"/>
  <c r="AW187" i="15"/>
  <c r="AQ172" i="15"/>
  <c r="V192" i="15"/>
  <c r="BO190" i="15"/>
  <c r="AJ177" i="15"/>
  <c r="BB180" i="15"/>
  <c r="N177" i="15"/>
  <c r="AD182" i="15"/>
  <c r="K210" i="15"/>
  <c r="Z189" i="15"/>
  <c r="AY169" i="15"/>
  <c r="BS189" i="15"/>
  <c r="W180" i="15"/>
  <c r="U182" i="15"/>
  <c r="AB191" i="15"/>
  <c r="BE170" i="15"/>
  <c r="BP186" i="15"/>
  <c r="K165" i="15"/>
  <c r="T180" i="15"/>
  <c r="X185" i="15"/>
  <c r="X210" i="15"/>
  <c r="AZ180" i="15"/>
  <c r="AN193" i="15"/>
  <c r="N194" i="15"/>
  <c r="K197" i="15"/>
  <c r="BR180" i="15"/>
  <c r="AX213" i="15"/>
  <c r="AG187" i="15"/>
  <c r="AA212" i="15"/>
  <c r="AM190" i="15"/>
  <c r="BF170" i="15"/>
  <c r="BL193" i="15"/>
  <c r="AE193" i="15"/>
  <c r="BD170" i="15"/>
  <c r="AQ173" i="15"/>
  <c r="M181" i="15"/>
  <c r="AS167" i="15"/>
  <c r="AE212" i="15"/>
  <c r="O195" i="15"/>
  <c r="AG166" i="15"/>
  <c r="AH193" i="15"/>
  <c r="AA187" i="15"/>
  <c r="BT202" i="15"/>
  <c r="P167" i="15"/>
  <c r="BR174" i="15"/>
  <c r="P174" i="15"/>
  <c r="BU178" i="15"/>
  <c r="AW217" i="15"/>
  <c r="BO201" i="15"/>
  <c r="AQ197" i="15"/>
  <c r="AO221" i="15"/>
  <c r="AZ194" i="15"/>
  <c r="AC216" i="15"/>
  <c r="T202" i="15"/>
  <c r="N169" i="15"/>
  <c r="AX204" i="15"/>
  <c r="C207" i="15"/>
  <c r="BT176" i="15"/>
  <c r="BO172" i="15"/>
  <c r="AG184" i="15"/>
  <c r="AK222" i="15"/>
  <c r="AI215" i="15"/>
  <c r="BT177" i="15"/>
  <c r="AI219" i="15"/>
  <c r="AI169" i="15"/>
  <c r="AT197" i="15"/>
  <c r="AK183" i="15"/>
  <c r="BN173" i="15"/>
  <c r="BQ188" i="15"/>
  <c r="BK222" i="15"/>
  <c r="W188" i="15"/>
  <c r="BN191" i="15"/>
  <c r="BK169" i="15"/>
  <c r="BA171" i="15"/>
  <c r="AG168" i="15"/>
  <c r="AC178" i="15"/>
  <c r="BN167" i="15"/>
  <c r="BF222" i="15"/>
  <c r="I221" i="15"/>
  <c r="AT181" i="15"/>
  <c r="AM171" i="15"/>
  <c r="BB200" i="15"/>
  <c r="M166" i="15"/>
  <c r="AI173" i="15"/>
  <c r="I205" i="15"/>
  <c r="BD184" i="15"/>
  <c r="AN170" i="15"/>
  <c r="AE170" i="15"/>
  <c r="BQ222" i="15"/>
  <c r="AY211" i="15"/>
  <c r="AW195" i="15"/>
  <c r="BU181" i="15"/>
  <c r="AV182" i="15"/>
  <c r="BC182" i="15"/>
  <c r="BS180" i="15"/>
  <c r="I218" i="15"/>
  <c r="C196" i="15"/>
  <c r="AB178" i="15"/>
  <c r="H169" i="15"/>
  <c r="J174" i="15"/>
  <c r="K202" i="15"/>
  <c r="AC195" i="15"/>
  <c r="BF168" i="15"/>
  <c r="Y185" i="15"/>
  <c r="AH166" i="15"/>
  <c r="AL195" i="15"/>
  <c r="AE175" i="15"/>
  <c r="BU177" i="15"/>
  <c r="S187" i="15"/>
  <c r="AU169" i="15"/>
  <c r="BF197" i="15"/>
  <c r="AV178" i="15"/>
  <c r="AP210" i="15"/>
  <c r="AI179" i="15"/>
  <c r="AS198" i="15"/>
  <c r="BI190" i="15"/>
  <c r="W182" i="15"/>
  <c r="V188" i="15"/>
  <c r="BQ214" i="15"/>
  <c r="BK179" i="15"/>
  <c r="BS167" i="15"/>
  <c r="Z172" i="15"/>
  <c r="BR176" i="15"/>
  <c r="AV176" i="15"/>
  <c r="AN194" i="15"/>
  <c r="BH165" i="15"/>
  <c r="AG209" i="15"/>
  <c r="L171" i="15"/>
  <c r="E168" i="15"/>
  <c r="AD183" i="15"/>
  <c r="BI197" i="15"/>
  <c r="AK176" i="15"/>
  <c r="BE199" i="15"/>
  <c r="AS182" i="15"/>
  <c r="AH206" i="15"/>
  <c r="BA189" i="15"/>
  <c r="X179" i="15"/>
  <c r="AV209" i="15"/>
  <c r="Q168" i="15"/>
  <c r="Q179" i="15"/>
  <c r="BB190" i="15"/>
  <c r="BR193" i="15"/>
  <c r="BG210" i="15"/>
  <c r="BS186" i="15"/>
  <c r="AF188" i="15"/>
  <c r="BM198" i="15"/>
  <c r="P177" i="15"/>
  <c r="S170" i="15"/>
  <c r="AL211" i="15"/>
  <c r="AA169" i="15"/>
  <c r="AZ182" i="15"/>
  <c r="BH179" i="15"/>
  <c r="K173" i="15"/>
  <c r="F180" i="15"/>
  <c r="AI205" i="15"/>
  <c r="AV167" i="15"/>
  <c r="V174" i="15"/>
  <c r="T209" i="15"/>
  <c r="BA180" i="15"/>
  <c r="F197" i="15"/>
  <c r="AF178" i="15"/>
  <c r="BS181" i="15"/>
  <c r="G202" i="15"/>
  <c r="AQ203" i="15"/>
  <c r="AM204" i="15"/>
  <c r="BD186" i="15"/>
  <c r="AP184" i="15"/>
  <c r="AT185" i="15"/>
  <c r="BC185" i="15"/>
  <c r="E186" i="15"/>
  <c r="AE203" i="15"/>
  <c r="AX193" i="15"/>
  <c r="AO177" i="15"/>
  <c r="AQ204" i="15"/>
  <c r="AR192" i="15"/>
  <c r="AX221" i="15"/>
  <c r="BK187" i="15"/>
  <c r="R205" i="15"/>
  <c r="BE173" i="15"/>
  <c r="V193" i="15"/>
  <c r="AT189" i="15"/>
  <c r="AN196" i="15"/>
  <c r="AH224" i="15"/>
  <c r="W210" i="15"/>
  <c r="L187" i="15"/>
  <c r="BL211" i="15"/>
  <c r="AN179" i="15"/>
  <c r="AZ183" i="15"/>
  <c r="AT193" i="15"/>
  <c r="BH209" i="15"/>
  <c r="AN177" i="15"/>
  <c r="L180" i="15"/>
  <c r="AF167" i="15"/>
  <c r="BM178" i="15"/>
  <c r="BT170" i="15"/>
  <c r="W165" i="15"/>
  <c r="AK178" i="15"/>
  <c r="AF183" i="15"/>
  <c r="AE187" i="15"/>
  <c r="Y166" i="15"/>
  <c r="BR209" i="15"/>
  <c r="W186" i="15"/>
  <c r="BV198" i="15"/>
  <c r="AS199" i="15"/>
  <c r="AW225" i="15"/>
  <c r="AV207" i="15"/>
  <c r="BP203" i="15"/>
  <c r="P205" i="15"/>
  <c r="BH201" i="15"/>
  <c r="AS178" i="15"/>
  <c r="K168" i="15"/>
  <c r="I180" i="15"/>
  <c r="BR177" i="15"/>
  <c r="AX211" i="15"/>
  <c r="BC184" i="15"/>
  <c r="BV197" i="15"/>
  <c r="BU174" i="15"/>
  <c r="BP175" i="15"/>
  <c r="AK215" i="15"/>
  <c r="AW184" i="15"/>
  <c r="AQ183" i="15"/>
  <c r="BD179" i="15"/>
  <c r="AP180" i="15"/>
  <c r="AU172" i="15"/>
  <c r="BC175" i="15"/>
  <c r="BG175" i="15"/>
  <c r="AL181" i="15"/>
  <c r="AU176" i="15"/>
  <c r="BB170" i="15"/>
  <c r="H168" i="15"/>
  <c r="AO168" i="15"/>
  <c r="BB174" i="15"/>
  <c r="AN212" i="15"/>
  <c r="BJ218" i="15"/>
  <c r="BV170" i="15"/>
  <c r="AM169" i="15"/>
  <c r="BI193" i="15"/>
  <c r="AI178" i="15"/>
  <c r="AS188" i="15"/>
  <c r="AY177" i="15"/>
  <c r="R175" i="15"/>
  <c r="AA204" i="15"/>
  <c r="BB182" i="15"/>
  <c r="AC184" i="15"/>
  <c r="AA188" i="15"/>
  <c r="AX217" i="15"/>
  <c r="BT178" i="15"/>
  <c r="BN206" i="15"/>
  <c r="Y189" i="15"/>
  <c r="P165" i="15"/>
  <c r="AJ204" i="15"/>
  <c r="AN203" i="15"/>
  <c r="F202" i="15"/>
  <c r="C186" i="15"/>
  <c r="AA184" i="15"/>
  <c r="AB203" i="15"/>
  <c r="S167" i="15"/>
  <c r="AM181" i="15"/>
  <c r="BE191" i="15"/>
  <c r="AS193" i="15"/>
  <c r="AJ191" i="15"/>
  <c r="AM225" i="15"/>
  <c r="AP168" i="15"/>
  <c r="BP169" i="15"/>
  <c r="AM189" i="15"/>
  <c r="AE178" i="15"/>
  <c r="E218" i="15"/>
  <c r="BC224" i="15"/>
  <c r="BT181" i="15"/>
  <c r="AR189" i="15"/>
  <c r="Q189" i="15"/>
  <c r="AZ175" i="15"/>
  <c r="H171" i="15"/>
  <c r="AQ209" i="15"/>
  <c r="F217" i="15"/>
  <c r="BJ169" i="15"/>
  <c r="BT179" i="15"/>
  <c r="AX168" i="15"/>
  <c r="AZ179" i="15"/>
  <c r="S207" i="15"/>
  <c r="C191" i="15"/>
  <c r="BC170" i="15"/>
  <c r="BV172" i="15"/>
  <c r="AV185" i="15"/>
  <c r="BS188" i="15"/>
  <c r="BR188" i="15"/>
  <c r="AT213" i="15"/>
  <c r="AO170" i="15"/>
  <c r="AZ178" i="15"/>
  <c r="AR224" i="15"/>
  <c r="AQ192" i="15"/>
  <c r="K213" i="15"/>
  <c r="AQ170" i="15"/>
  <c r="BR171" i="15"/>
  <c r="AI167" i="15"/>
  <c r="AV186" i="15"/>
  <c r="L217" i="15"/>
  <c r="BP176" i="15"/>
  <c r="Z192" i="15"/>
  <c r="AB183" i="15"/>
  <c r="S201" i="15"/>
  <c r="AU189" i="15"/>
  <c r="AJ219" i="15"/>
  <c r="AU165" i="15"/>
  <c r="BL188" i="15"/>
  <c r="AT167" i="15"/>
  <c r="BU200" i="15"/>
  <c r="AD197" i="15"/>
  <c r="BO191" i="15"/>
  <c r="BN222" i="15"/>
  <c r="F216" i="15"/>
  <c r="AD170" i="15"/>
  <c r="AF165" i="15"/>
  <c r="O205" i="15"/>
  <c r="AF194" i="15"/>
  <c r="BA206" i="15"/>
  <c r="L195" i="15"/>
  <c r="L202" i="15"/>
  <c r="AO179" i="15"/>
  <c r="BJ191" i="15"/>
  <c r="AJ183" i="15"/>
  <c r="X173" i="15"/>
  <c r="F187" i="15"/>
  <c r="AR213" i="15"/>
  <c r="AQ217" i="15"/>
  <c r="AL167" i="15"/>
  <c r="AW169" i="15"/>
  <c r="AO190" i="15"/>
  <c r="AN178" i="15"/>
  <c r="AR174" i="15"/>
  <c r="AI188" i="15"/>
  <c r="AA174" i="15"/>
  <c r="AD174" i="15"/>
  <c r="AM208" i="15"/>
  <c r="BR169" i="15"/>
  <c r="BU208" i="15"/>
  <c r="J169" i="15"/>
  <c r="C203" i="15"/>
  <c r="H181" i="15"/>
  <c r="BD199" i="15"/>
  <c r="AU175" i="15"/>
  <c r="BU196" i="15"/>
  <c r="AX192" i="15"/>
  <c r="AT191" i="15"/>
  <c r="BU195" i="15"/>
  <c r="BV175" i="15"/>
  <c r="AQ206" i="15"/>
  <c r="AK179" i="15"/>
  <c r="BN178" i="15"/>
  <c r="G206" i="15"/>
  <c r="BN221" i="15"/>
  <c r="BV195" i="15"/>
  <c r="BC187" i="15"/>
  <c r="BG195" i="15"/>
  <c r="BT188" i="15"/>
  <c r="BB214" i="15"/>
  <c r="C183" i="15"/>
  <c r="Q178" i="15"/>
  <c r="AS187" i="15"/>
  <c r="L165" i="15"/>
  <c r="BF189" i="15"/>
  <c r="Y182" i="15"/>
  <c r="AA200" i="15"/>
  <c r="U166" i="15"/>
  <c r="W171" i="15"/>
  <c r="AB172" i="15"/>
  <c r="O177" i="15"/>
  <c r="BV211" i="15"/>
  <c r="AL203" i="15"/>
  <c r="P182" i="15"/>
  <c r="AQ202" i="15"/>
  <c r="BD194" i="15"/>
  <c r="BO168" i="15"/>
  <c r="O182" i="15"/>
  <c r="BS174" i="15"/>
  <c r="Y170" i="15"/>
  <c r="BD193" i="15"/>
  <c r="AS190" i="15"/>
  <c r="AG213" i="15"/>
  <c r="BI172" i="15"/>
  <c r="AB186" i="15"/>
  <c r="U180" i="15"/>
  <c r="T177" i="15"/>
  <c r="Y180" i="15"/>
  <c r="Z210" i="15"/>
  <c r="Y175" i="15"/>
  <c r="C205" i="15"/>
  <c r="AW194" i="15"/>
  <c r="BO222" i="15"/>
  <c r="BD205" i="15"/>
  <c r="N176" i="15"/>
  <c r="BU214" i="15"/>
  <c r="BO176" i="15"/>
  <c r="BL175" i="15"/>
  <c r="W179" i="15"/>
  <c r="BV181" i="15"/>
  <c r="BF207" i="15"/>
  <c r="AQ177" i="15"/>
  <c r="M182" i="15"/>
  <c r="AY210" i="15"/>
  <c r="AK193" i="15"/>
  <c r="AN174" i="15"/>
  <c r="G201" i="15"/>
  <c r="BD197" i="15"/>
  <c r="AC199" i="15"/>
  <c r="BJ188" i="15"/>
  <c r="H216" i="15"/>
  <c r="AR197" i="15"/>
  <c r="BN202" i="15"/>
  <c r="AZ176" i="15"/>
  <c r="BF208" i="15"/>
  <c r="BD173" i="15"/>
  <c r="AD180" i="15"/>
  <c r="BI177" i="15"/>
  <c r="J165" i="15"/>
  <c r="E183" i="15"/>
  <c r="P183" i="15"/>
  <c r="BB191" i="15"/>
  <c r="BK208" i="15"/>
  <c r="AP178" i="15"/>
  <c r="O210" i="15"/>
  <c r="AZ190" i="15"/>
  <c r="Q166" i="15"/>
  <c r="AT201" i="15"/>
  <c r="AG207" i="15"/>
  <c r="U168" i="15"/>
  <c r="X190" i="15"/>
  <c r="V186" i="15"/>
  <c r="BV171" i="15"/>
  <c r="AJ166" i="15"/>
  <c r="BR202" i="15"/>
  <c r="H209" i="15"/>
  <c r="AD177" i="15"/>
  <c r="L176" i="15"/>
  <c r="H166" i="15"/>
  <c r="BG169" i="15"/>
  <c r="BQ203" i="15"/>
  <c r="AB173" i="15"/>
  <c r="K211" i="15"/>
  <c r="AF196" i="15"/>
  <c r="AL176" i="15"/>
  <c r="AP190" i="15"/>
  <c r="X206" i="15"/>
  <c r="BL181" i="15"/>
  <c r="BP188" i="15"/>
  <c r="BN192" i="15"/>
  <c r="L188" i="15"/>
  <c r="R187" i="15"/>
  <c r="AJ187" i="15"/>
  <c r="BP179" i="15"/>
  <c r="AQ186" i="15"/>
  <c r="AN201" i="15"/>
  <c r="BU179" i="15"/>
  <c r="N168" i="15"/>
  <c r="BR210" i="15"/>
  <c r="BS168" i="15"/>
  <c r="W201" i="15"/>
  <c r="G204" i="15"/>
  <c r="AY165" i="15"/>
  <c r="V191" i="15"/>
  <c r="AF192" i="15"/>
  <c r="AM199" i="15"/>
  <c r="X223" i="15"/>
  <c r="BO183" i="15"/>
  <c r="BU183" i="15"/>
  <c r="K183" i="15"/>
  <c r="AJ169" i="15"/>
  <c r="BI209" i="15"/>
  <c r="Q202" i="15"/>
  <c r="L186" i="15"/>
  <c r="AJ200" i="15"/>
  <c r="K214" i="15"/>
  <c r="AJ195" i="15"/>
  <c r="AJ203" i="15"/>
  <c r="BG208" i="15"/>
  <c r="V187" i="15"/>
  <c r="AE189" i="15"/>
  <c r="Z195" i="15"/>
  <c r="BJ205" i="15"/>
  <c r="AR173" i="15"/>
  <c r="BL171" i="15"/>
  <c r="AQ188" i="15"/>
  <c r="G167" i="15"/>
  <c r="BH184" i="15"/>
  <c r="BD169" i="15"/>
  <c r="W173" i="15"/>
  <c r="BG179" i="15"/>
  <c r="N179" i="15"/>
  <c r="G191" i="15"/>
  <c r="AE172" i="15"/>
  <c r="BG215" i="15"/>
  <c r="AD172" i="15"/>
  <c r="BN169" i="15"/>
  <c r="AY183" i="15"/>
  <c r="U201" i="15"/>
  <c r="BM166" i="15"/>
  <c r="L200" i="15"/>
  <c r="R179" i="15"/>
  <c r="BE175" i="15"/>
  <c r="BG171" i="15"/>
  <c r="C215" i="15"/>
  <c r="K172" i="15"/>
  <c r="C188" i="15"/>
  <c r="AP167" i="15"/>
  <c r="AA171" i="15"/>
  <c r="BK198" i="15"/>
  <c r="BV169" i="15"/>
  <c r="Z188" i="15"/>
  <c r="BP195" i="15"/>
  <c r="R170" i="15"/>
  <c r="F192" i="15"/>
  <c r="C214" i="15"/>
  <c r="BI179" i="15"/>
  <c r="X168" i="15"/>
  <c r="BV178" i="15"/>
  <c r="BC167" i="15"/>
  <c r="AY170" i="15"/>
  <c r="BO180" i="15"/>
  <c r="S174" i="15"/>
  <c r="L183" i="15"/>
  <c r="BN175" i="15"/>
  <c r="AL201" i="15"/>
  <c r="BG167" i="15"/>
  <c r="BS195" i="15"/>
  <c r="BS178" i="15"/>
  <c r="T184" i="15"/>
  <c r="R178" i="15"/>
  <c r="AK208" i="15"/>
  <c r="G186" i="15"/>
  <c r="Z177" i="15"/>
  <c r="AX195" i="15"/>
  <c r="BR168" i="15"/>
  <c r="AY171" i="15"/>
  <c r="BH183" i="15"/>
  <c r="P175" i="15"/>
  <c r="L205" i="15"/>
  <c r="BV187" i="15"/>
  <c r="T171" i="15"/>
  <c r="AZ193" i="15"/>
  <c r="AY179" i="15"/>
  <c r="AA192" i="15"/>
  <c r="K176" i="15"/>
  <c r="BV213" i="15"/>
  <c r="BF225" i="15"/>
  <c r="AT183" i="15"/>
  <c r="BA175" i="15"/>
  <c r="AU166" i="15"/>
  <c r="AH172" i="15"/>
  <c r="F173" i="15"/>
  <c r="AY199" i="15"/>
  <c r="BU218" i="15"/>
  <c r="U165" i="15"/>
  <c r="O200" i="15"/>
  <c r="AN216" i="15"/>
  <c r="W176" i="15"/>
  <c r="U177" i="15"/>
  <c r="J190" i="15"/>
  <c r="AL166" i="15"/>
  <c r="BK171" i="15"/>
  <c r="Z175" i="15"/>
  <c r="AX207" i="15"/>
  <c r="AX199" i="15"/>
  <c r="AY198" i="15"/>
  <c r="AH183" i="15"/>
  <c r="AK166" i="15"/>
  <c r="AC174" i="15"/>
  <c r="BP165" i="15"/>
  <c r="AB205" i="15"/>
  <c r="F168" i="15"/>
  <c r="T170" i="15"/>
  <c r="BF188" i="15"/>
  <c r="BP172" i="15"/>
  <c r="AM172" i="15"/>
  <c r="V183" i="15"/>
  <c r="J178" i="15"/>
  <c r="P193" i="15"/>
  <c r="BK184" i="15"/>
  <c r="AX208" i="15"/>
  <c r="R185" i="15"/>
  <c r="AF172" i="15"/>
  <c r="AC175" i="15"/>
  <c r="BN174" i="15"/>
  <c r="AH197" i="15"/>
  <c r="AT199" i="15"/>
  <c r="BT187" i="15"/>
  <c r="AH185" i="15"/>
  <c r="AT184" i="15"/>
  <c r="AG203" i="15"/>
  <c r="H177" i="15"/>
  <c r="AM179" i="15"/>
  <c r="AA193" i="15"/>
  <c r="AI193" i="15"/>
  <c r="AT174" i="15"/>
  <c r="AP197" i="15"/>
  <c r="AL174" i="15"/>
  <c r="C175" i="15"/>
  <c r="BI165" i="15"/>
  <c r="AT200" i="15"/>
  <c r="AX165" i="15"/>
  <c r="W192" i="15"/>
  <c r="C187" i="15"/>
  <c r="F181" i="15"/>
  <c r="F184" i="15"/>
  <c r="BI198" i="15"/>
  <c r="BP202" i="15"/>
  <c r="AD196" i="15"/>
  <c r="Y208" i="15"/>
  <c r="BG170" i="15"/>
  <c r="BD171" i="15"/>
  <c r="BC191" i="15"/>
  <c r="C181" i="15"/>
  <c r="U173" i="15"/>
  <c r="R166" i="15"/>
  <c r="N189" i="15"/>
  <c r="AO205" i="15"/>
  <c r="AV211" i="15"/>
  <c r="BA168" i="15"/>
  <c r="BJ175" i="15"/>
  <c r="BT182" i="15"/>
  <c r="N212" i="15"/>
  <c r="I175" i="15"/>
  <c r="AG196" i="15"/>
  <c r="BJ181" i="15"/>
  <c r="BQ189" i="15"/>
  <c r="X196" i="15"/>
  <c r="BR222" i="15"/>
  <c r="AS180" i="15"/>
  <c r="BC180" i="15"/>
  <c r="AO175" i="15"/>
  <c r="BQ168" i="15"/>
  <c r="R213" i="15"/>
  <c r="Q174" i="15"/>
  <c r="BA179" i="15"/>
  <c r="V168" i="15"/>
  <c r="AD184" i="15"/>
  <c r="BV200" i="15"/>
  <c r="C190" i="15"/>
  <c r="BE200" i="15"/>
  <c r="AW183" i="15"/>
  <c r="C208" i="15"/>
  <c r="AO191" i="15"/>
  <c r="AB208" i="15"/>
  <c r="BL168" i="15"/>
  <c r="BR182" i="15"/>
  <c r="L177" i="15"/>
  <c r="BB202" i="15"/>
  <c r="BF198" i="15"/>
  <c r="BB192" i="15"/>
  <c r="AP199" i="15"/>
  <c r="H165" i="15"/>
  <c r="BQ177" i="15"/>
  <c r="AN167" i="15"/>
  <c r="U207" i="15"/>
  <c r="U194" i="15"/>
  <c r="BH186" i="15"/>
  <c r="AK197" i="15"/>
  <c r="I217" i="15"/>
  <c r="AM167" i="15"/>
  <c r="AW207" i="15"/>
  <c r="AH220" i="15"/>
  <c r="BF175" i="15"/>
  <c r="I168" i="15"/>
  <c r="AF197" i="15"/>
  <c r="AW173" i="15"/>
  <c r="BF185" i="15"/>
  <c r="BP207" i="15"/>
  <c r="Y168" i="15"/>
  <c r="Q181" i="15"/>
  <c r="AI168" i="15"/>
  <c r="BF177" i="15"/>
  <c r="AL173" i="15"/>
  <c r="BA167" i="15"/>
  <c r="AU173" i="15"/>
  <c r="AH165" i="15"/>
  <c r="BM176" i="15"/>
  <c r="I169" i="15"/>
  <c r="BR173" i="15"/>
  <c r="U172" i="15"/>
  <c r="Y198" i="15"/>
  <c r="N171" i="15"/>
  <c r="BI183" i="15"/>
  <c r="BR201" i="15"/>
  <c r="K175" i="15"/>
  <c r="BL170" i="15"/>
  <c r="BE202" i="15"/>
  <c r="BD185" i="15"/>
  <c r="X172" i="15"/>
  <c r="AA186" i="15"/>
  <c r="F214" i="15"/>
  <c r="BK165" i="15"/>
  <c r="AC186" i="15"/>
  <c r="BN179" i="15"/>
  <c r="G199" i="15"/>
  <c r="AB184" i="15"/>
  <c r="AJ178" i="15"/>
  <c r="AY189" i="15"/>
  <c r="AC172" i="15"/>
  <c r="AX167" i="15"/>
  <c r="AL207" i="15"/>
  <c r="BD213" i="15"/>
  <c r="BA196" i="15"/>
  <c r="BG188" i="15"/>
  <c r="BT190" i="15"/>
  <c r="I170" i="15"/>
  <c r="AY167" i="15"/>
  <c r="BO175" i="15"/>
  <c r="F206" i="15"/>
  <c r="AP211" i="15"/>
  <c r="BR196" i="15"/>
  <c r="BB207" i="15"/>
  <c r="BV174" i="15"/>
  <c r="AP212" i="15"/>
  <c r="E212" i="15"/>
  <c r="J180" i="15"/>
  <c r="AY221" i="15"/>
  <c r="AY197" i="15"/>
  <c r="AK199" i="15"/>
  <c r="AK198" i="15"/>
  <c r="H179" i="15"/>
  <c r="R180" i="15"/>
  <c r="AE181" i="15"/>
  <c r="AO196" i="15"/>
  <c r="J170" i="15"/>
  <c r="AC189" i="15"/>
  <c r="M183" i="15"/>
  <c r="AV193" i="15"/>
  <c r="S200" i="15"/>
  <c r="AG223" i="15"/>
  <c r="BD214" i="15"/>
  <c r="BC216" i="15"/>
  <c r="O176" i="15"/>
  <c r="AG177" i="15"/>
  <c r="AK180" i="15"/>
  <c r="S193" i="15"/>
  <c r="BO170" i="15"/>
  <c r="AZ166" i="15"/>
  <c r="AE186" i="15"/>
  <c r="E167" i="15"/>
  <c r="K198" i="15"/>
  <c r="AO200" i="15"/>
  <c r="L166" i="15"/>
  <c r="G185" i="15"/>
  <c r="AL172" i="15"/>
  <c r="AE183" i="15"/>
  <c r="AP170" i="15"/>
  <c r="BS172" i="15"/>
  <c r="AV184" i="15"/>
  <c r="C204" i="15"/>
  <c r="AG183" i="15"/>
  <c r="BH176" i="15"/>
  <c r="BL203" i="15"/>
  <c r="H173" i="15"/>
  <c r="BB196" i="15"/>
  <c r="AL168" i="15"/>
  <c r="AO184" i="15"/>
  <c r="G176" i="15"/>
  <c r="BV190" i="15"/>
  <c r="X207" i="15"/>
  <c r="F222" i="15"/>
  <c r="AF199" i="15"/>
  <c r="BI214" i="15"/>
  <c r="AI174" i="15"/>
  <c r="AG175" i="15"/>
  <c r="AW196" i="15"/>
  <c r="S166" i="15"/>
  <c r="AQ169" i="15"/>
  <c r="AO166" i="15"/>
  <c r="R199" i="15"/>
  <c r="E169" i="15"/>
  <c r="AX171" i="15"/>
  <c r="BI171" i="15"/>
  <c r="E166" i="15"/>
  <c r="Z166" i="15"/>
  <c r="BR179" i="15"/>
  <c r="AZ169" i="15"/>
  <c r="L210" i="15"/>
  <c r="BB220" i="15"/>
  <c r="AH179" i="15"/>
  <c r="BU168" i="15"/>
  <c r="AC191" i="15"/>
  <c r="BG174" i="15"/>
  <c r="X188" i="15"/>
  <c r="AJ167" i="15"/>
  <c r="AQ171" i="15"/>
  <c r="AR208" i="15"/>
  <c r="I202" i="15"/>
  <c r="J187" i="15"/>
  <c r="M171" i="15"/>
  <c r="AS181" i="15"/>
  <c r="Q182" i="15"/>
  <c r="AM166" i="15"/>
  <c r="AV174" i="15"/>
  <c r="F175" i="15"/>
  <c r="J191" i="15"/>
  <c r="AT176" i="15"/>
  <c r="Y177" i="15"/>
  <c r="I186" i="15"/>
  <c r="BL166" i="15"/>
  <c r="AD213" i="15"/>
  <c r="BB189" i="15"/>
  <c r="C209" i="15"/>
  <c r="V201" i="15"/>
  <c r="BQ169" i="15"/>
  <c r="K178" i="15"/>
  <c r="AW181" i="15"/>
  <c r="AP223" i="15"/>
  <c r="T203" i="15"/>
  <c r="AO189" i="15"/>
  <c r="BH191" i="15"/>
  <c r="P188" i="15"/>
  <c r="R186" i="15"/>
  <c r="L197" i="15"/>
  <c r="BE198" i="15"/>
  <c r="AB188" i="15"/>
  <c r="AI175" i="15"/>
  <c r="M193" i="15"/>
  <c r="V181" i="15"/>
  <c r="AC169" i="15"/>
  <c r="E176" i="15"/>
  <c r="R177" i="15"/>
  <c r="BG182" i="15"/>
  <c r="N208" i="15"/>
  <c r="Q201" i="15"/>
  <c r="N175" i="15"/>
  <c r="J181" i="15"/>
  <c r="BA218" i="15"/>
  <c r="U214" i="15"/>
  <c r="AI186" i="15"/>
  <c r="BV206" i="15"/>
  <c r="W178" i="15"/>
  <c r="BR184" i="15"/>
  <c r="Y202" i="15"/>
  <c r="BK213" i="15"/>
  <c r="AF204" i="15"/>
  <c r="J192" i="15"/>
  <c r="BO197" i="15"/>
  <c r="AB222" i="15"/>
  <c r="BR170" i="15"/>
  <c r="AF176" i="15"/>
  <c r="AI180" i="15"/>
  <c r="AU213" i="15"/>
  <c r="Z206" i="15"/>
  <c r="BC194" i="15"/>
  <c r="G166" i="15"/>
  <c r="C220" i="15"/>
  <c r="Y174" i="15"/>
  <c r="AI198" i="15"/>
  <c r="I188" i="15"/>
  <c r="AJ205" i="15"/>
  <c r="BN203" i="15"/>
  <c r="AU210" i="15"/>
  <c r="BG180" i="15"/>
  <c r="BJ214" i="15"/>
  <c r="AS204" i="15"/>
  <c r="BL207" i="15"/>
  <c r="BB178" i="15"/>
  <c r="AT180" i="15"/>
  <c r="AT216" i="15"/>
  <c r="BA222" i="15"/>
  <c r="Q191" i="15"/>
  <c r="O189" i="15"/>
  <c r="Y181" i="15"/>
  <c r="BE218" i="15"/>
  <c r="T167" i="15"/>
  <c r="AS174" i="15"/>
  <c r="AB167" i="15"/>
  <c r="AN207" i="15"/>
  <c r="AQ180" i="15"/>
  <c r="I214" i="15"/>
  <c r="BT171" i="15"/>
  <c r="T185" i="15"/>
  <c r="S181" i="15"/>
  <c r="AX187" i="15"/>
  <c r="N178" i="15"/>
  <c r="BH214" i="15"/>
  <c r="AU179" i="15"/>
  <c r="U181" i="15"/>
  <c r="G169" i="15"/>
  <c r="AC182" i="15"/>
  <c r="F186" i="15"/>
  <c r="BM216" i="15"/>
  <c r="F195" i="15"/>
  <c r="Q165" i="15"/>
  <c r="BA197" i="15"/>
  <c r="W189" i="15"/>
  <c r="BN187" i="15"/>
  <c r="V182" i="15"/>
  <c r="BM174" i="15"/>
  <c r="F191" i="15"/>
  <c r="BM191" i="15"/>
  <c r="BI218" i="15"/>
  <c r="BO181" i="15"/>
  <c r="AF189" i="15"/>
  <c r="AE166" i="15"/>
  <c r="BO174" i="15"/>
  <c r="AU168" i="15"/>
  <c r="BJ186" i="15"/>
  <c r="BO186" i="15"/>
  <c r="BA181" i="15"/>
  <c r="BH224" i="15"/>
  <c r="W170" i="15"/>
  <c r="AZ192" i="15"/>
  <c r="E175" i="15"/>
  <c r="X194" i="15"/>
  <c r="T212" i="15"/>
  <c r="Q195" i="15"/>
  <c r="BN216" i="15"/>
  <c r="Z201" i="15"/>
  <c r="BL183" i="15"/>
  <c r="BS203" i="15"/>
  <c r="S192" i="15"/>
  <c r="AF175" i="15"/>
  <c r="U206" i="15"/>
  <c r="BK211" i="15"/>
  <c r="BC211" i="15"/>
  <c r="Z187" i="15"/>
  <c r="AJ215" i="15"/>
  <c r="AE211" i="15"/>
  <c r="AS179" i="15"/>
  <c r="AI208" i="15"/>
  <c r="Q171" i="15"/>
  <c r="AK191" i="15"/>
  <c r="BM193" i="15"/>
  <c r="AX197" i="15"/>
  <c r="BP185" i="15"/>
  <c r="I176" i="15"/>
  <c r="AV192" i="15"/>
  <c r="U195" i="15"/>
  <c r="R224" i="15"/>
  <c r="G187" i="15"/>
  <c r="BI189" i="15"/>
  <c r="W166" i="15"/>
  <c r="BP212" i="15"/>
  <c r="N191" i="15"/>
  <c r="C224" i="15"/>
  <c r="M184" i="15"/>
  <c r="AO199" i="15"/>
  <c r="AS201" i="15"/>
  <c r="AC187" i="15"/>
  <c r="AX181" i="15"/>
  <c r="X209" i="15"/>
  <c r="BS171" i="15"/>
  <c r="AC194" i="15"/>
  <c r="AV201" i="15"/>
  <c r="K222" i="15"/>
  <c r="F211" i="15"/>
  <c r="C212" i="15"/>
  <c r="I173" i="15"/>
  <c r="R172" i="15"/>
  <c r="AC192" i="15"/>
  <c r="F166" i="15"/>
  <c r="U183" i="15"/>
  <c r="BS201" i="15"/>
  <c r="BV205" i="15"/>
  <c r="T196" i="15"/>
  <c r="AE182" i="15"/>
  <c r="U169" i="15"/>
  <c r="BT166" i="15"/>
  <c r="Z173" i="15"/>
  <c r="N181" i="15"/>
  <c r="AN171" i="15"/>
  <c r="BF187" i="15"/>
  <c r="H204" i="15"/>
  <c r="AC198" i="15"/>
  <c r="BC183" i="15"/>
  <c r="L201" i="15"/>
  <c r="BB218" i="15"/>
  <c r="AW204" i="15"/>
  <c r="BK176" i="15"/>
  <c r="AR196" i="15"/>
  <c r="AO212" i="15"/>
  <c r="J214" i="15"/>
  <c r="K188" i="15"/>
  <c r="BP211" i="15"/>
  <c r="AH199" i="15"/>
  <c r="AY168" i="15"/>
  <c r="Q200" i="15"/>
  <c r="U208" i="15"/>
  <c r="N183" i="15"/>
  <c r="AM211" i="15"/>
  <c r="X202" i="15"/>
  <c r="BK217" i="15"/>
  <c r="BU209" i="15"/>
  <c r="BD219" i="15"/>
  <c r="AH178" i="15"/>
  <c r="P169" i="15"/>
  <c r="BV193" i="15"/>
  <c r="AA195" i="15"/>
  <c r="AH217" i="15"/>
  <c r="Q169" i="15"/>
  <c r="AI184" i="15"/>
  <c r="O197" i="15"/>
  <c r="Z220" i="15"/>
  <c r="T211" i="15"/>
  <c r="P181" i="15"/>
  <c r="BI201" i="15"/>
  <c r="BD200" i="15"/>
  <c r="BT199" i="15"/>
  <c r="M190" i="15"/>
  <c r="AW209" i="15"/>
  <c r="T169" i="15"/>
  <c r="R191" i="15"/>
  <c r="AJ206" i="15"/>
  <c r="AR210" i="15"/>
  <c r="AC201" i="15"/>
  <c r="BN204" i="15"/>
  <c r="E192" i="15"/>
  <c r="J184" i="15"/>
  <c r="AZ195" i="15"/>
  <c r="AY216" i="15"/>
  <c r="AI195" i="15"/>
  <c r="BT200" i="15"/>
  <c r="AW219" i="15"/>
  <c r="BB201" i="15"/>
  <c r="AL186" i="15"/>
  <c r="G203" i="15"/>
  <c r="AD216" i="15"/>
  <c r="BI173" i="15"/>
  <c r="AP176" i="15"/>
  <c r="X197" i="15"/>
  <c r="AO225" i="15"/>
  <c r="AE213" i="15"/>
  <c r="L220" i="15"/>
  <c r="S195" i="15"/>
  <c r="AS206" i="15"/>
  <c r="AS183" i="15"/>
  <c r="AZ208" i="15"/>
  <c r="AI225" i="15"/>
  <c r="AK194" i="15"/>
  <c r="E188" i="15"/>
  <c r="BT184" i="15"/>
  <c r="BI185" i="15"/>
  <c r="AV224" i="15"/>
  <c r="BJ182" i="15"/>
  <c r="AY190" i="15"/>
  <c r="P176" i="15"/>
  <c r="BG192" i="15"/>
  <c r="BM213" i="15"/>
  <c r="BT204" i="15"/>
  <c r="AI200" i="15"/>
  <c r="AR220" i="15"/>
  <c r="BF190" i="15"/>
  <c r="AW190" i="15"/>
  <c r="S194" i="15"/>
  <c r="AG197" i="15"/>
  <c r="AM184" i="15"/>
  <c r="AZ170" i="15"/>
  <c r="AR191" i="15"/>
  <c r="E209" i="15"/>
  <c r="BE217" i="15"/>
  <c r="N195" i="15"/>
  <c r="K219" i="15"/>
  <c r="BV202" i="15"/>
  <c r="BI178" i="15"/>
  <c r="BR206" i="15"/>
  <c r="Q176" i="15"/>
  <c r="BK196" i="15"/>
  <c r="BG177" i="15"/>
  <c r="AW206" i="15"/>
  <c r="BB208" i="15"/>
  <c r="BI213" i="15"/>
  <c r="X203" i="15"/>
  <c r="BP171" i="15"/>
  <c r="AP189" i="15"/>
  <c r="C219" i="15"/>
  <c r="AD200" i="15"/>
  <c r="BQ185" i="15"/>
  <c r="BA205" i="15"/>
  <c r="BJ183" i="15"/>
  <c r="BI191" i="15"/>
  <c r="AT198" i="15"/>
  <c r="BN188" i="15"/>
  <c r="AK186" i="15"/>
  <c r="AM209" i="15"/>
  <c r="AB200" i="15"/>
  <c r="X192" i="15"/>
  <c r="Z178" i="15"/>
  <c r="N165" i="15"/>
  <c r="V169" i="15"/>
  <c r="L196" i="15"/>
  <c r="BD190" i="15"/>
  <c r="AN221" i="15"/>
  <c r="BB206" i="15"/>
  <c r="O184" i="15"/>
  <c r="BR207" i="15"/>
  <c r="J220" i="15"/>
  <c r="G182" i="15"/>
  <c r="V216" i="15"/>
  <c r="AZ210" i="15"/>
  <c r="BD182" i="15"/>
  <c r="BC212" i="15"/>
  <c r="BL187" i="15"/>
  <c r="BJ166" i="15"/>
  <c r="S182" i="15"/>
  <c r="BN190" i="15"/>
  <c r="BH206" i="15"/>
  <c r="AD192" i="15"/>
  <c r="L208" i="15"/>
  <c r="BV210" i="15"/>
  <c r="BJ187" i="15"/>
  <c r="BM210" i="15"/>
  <c r="R212" i="15"/>
  <c r="AQ224" i="15"/>
  <c r="AT192" i="15"/>
  <c r="P192" i="15"/>
  <c r="C211" i="15"/>
  <c r="BA169" i="15"/>
  <c r="AS185" i="15"/>
  <c r="Z190" i="15"/>
  <c r="AB225" i="15"/>
  <c r="AJ176" i="15"/>
  <c r="AM182" i="15"/>
  <c r="C198" i="15"/>
  <c r="AY201" i="15"/>
  <c r="K184" i="15"/>
  <c r="Q204" i="15"/>
  <c r="BM181" i="15"/>
  <c r="BL197" i="15"/>
  <c r="BK194" i="15"/>
  <c r="H187" i="15"/>
  <c r="AQ185" i="15"/>
  <c r="BB211" i="15"/>
  <c r="BO177" i="15"/>
  <c r="AJ194" i="15"/>
  <c r="BP199" i="15"/>
  <c r="T218" i="15"/>
  <c r="BG184" i="15"/>
  <c r="T198" i="15"/>
  <c r="BF166" i="15"/>
  <c r="AL219" i="15"/>
  <c r="BT192" i="15"/>
  <c r="C193" i="15"/>
  <c r="BM186" i="15"/>
  <c r="BU198" i="15"/>
  <c r="BJ201" i="15"/>
  <c r="AG189" i="15"/>
  <c r="BV182" i="15"/>
  <c r="AB221" i="15"/>
  <c r="C171" i="15"/>
  <c r="BC200" i="15"/>
  <c r="BA182" i="15"/>
  <c r="AR166" i="15"/>
  <c r="AD176" i="15"/>
  <c r="BA195" i="15"/>
  <c r="AQ189" i="15"/>
  <c r="O170" i="15"/>
  <c r="AE215" i="15"/>
  <c r="E190" i="15"/>
  <c r="BL212" i="15"/>
  <c r="BM189" i="15"/>
  <c r="AK184" i="15"/>
  <c r="AL194" i="15"/>
  <c r="R219" i="15"/>
  <c r="G183" i="15"/>
  <c r="BJ219" i="15"/>
  <c r="P190" i="15"/>
  <c r="Q173" i="15"/>
  <c r="BF191" i="15"/>
  <c r="AI199" i="15"/>
  <c r="S168" i="15"/>
  <c r="BK200" i="15"/>
  <c r="H199" i="15"/>
  <c r="N225" i="15"/>
  <c r="AS197" i="15"/>
  <c r="BO173" i="15"/>
  <c r="Y186" i="15"/>
  <c r="AS211" i="15"/>
  <c r="J225" i="15"/>
  <c r="BD201" i="15"/>
  <c r="BA165" i="15"/>
  <c r="BA188" i="15"/>
  <c r="I201" i="15"/>
  <c r="BQ204" i="15"/>
  <c r="AJ214" i="15"/>
  <c r="C182" i="15"/>
  <c r="M177" i="15"/>
  <c r="BH175" i="15"/>
  <c r="AK172" i="15"/>
  <c r="S199" i="15"/>
  <c r="C197" i="15"/>
  <c r="E203" i="15"/>
  <c r="AK173" i="15"/>
  <c r="W196" i="15"/>
  <c r="Y197" i="15"/>
  <c r="AO192" i="15"/>
  <c r="AI166" i="15"/>
  <c r="BJ189" i="15"/>
  <c r="AI207" i="15"/>
  <c r="AD207" i="15"/>
  <c r="AW214" i="15"/>
  <c r="BM167" i="15"/>
  <c r="U185" i="15"/>
  <c r="F177" i="15"/>
  <c r="BU205" i="15"/>
  <c r="AT166" i="15"/>
  <c r="L218" i="15"/>
  <c r="Y172" i="15"/>
  <c r="K203" i="15"/>
  <c r="X204" i="15"/>
  <c r="X193" i="15"/>
  <c r="S169" i="15"/>
  <c r="BM195" i="15"/>
  <c r="BE192" i="15"/>
  <c r="AR195" i="15"/>
  <c r="M168" i="15"/>
  <c r="Q192" i="15"/>
  <c r="BS218" i="15"/>
  <c r="AN182" i="15"/>
  <c r="AE197" i="15"/>
  <c r="BB216" i="15"/>
  <c r="AC190" i="15"/>
  <c r="G220" i="15"/>
  <c r="BM194" i="15"/>
  <c r="E216" i="15"/>
  <c r="W211" i="15"/>
  <c r="BG189" i="15"/>
  <c r="AW171" i="15"/>
  <c r="AZ203" i="15"/>
  <c r="AB202" i="15"/>
  <c r="BN212" i="15"/>
  <c r="R209" i="15"/>
  <c r="BJ193" i="15"/>
  <c r="BQ175" i="15"/>
  <c r="AH195" i="15"/>
  <c r="X212" i="15"/>
  <c r="BE205" i="15"/>
  <c r="BH202" i="15"/>
  <c r="AT222" i="15"/>
  <c r="BI182" i="15"/>
  <c r="BF199" i="15"/>
  <c r="AC193" i="15"/>
  <c r="BO196" i="15"/>
  <c r="AQ178" i="15"/>
  <c r="AM180" i="15"/>
  <c r="AI192" i="15"/>
  <c r="AN199" i="15"/>
  <c r="AZ214" i="15"/>
  <c r="BR225" i="15"/>
  <c r="AX205" i="15"/>
  <c r="BQ178" i="15"/>
  <c r="AK200" i="15"/>
  <c r="BJ204" i="15"/>
  <c r="R176" i="15"/>
  <c r="AZ206" i="15"/>
  <c r="BQ165" i="15"/>
  <c r="Z171" i="15"/>
  <c r="BH177" i="15"/>
  <c r="H206" i="15"/>
  <c r="AD211" i="15"/>
  <c r="J185" i="15"/>
  <c r="M207" i="15"/>
  <c r="N170" i="15"/>
  <c r="BC179" i="15"/>
  <c r="AZ186" i="15"/>
  <c r="AN208" i="15"/>
  <c r="AU193" i="15"/>
  <c r="AR187" i="15"/>
  <c r="AJ213" i="15"/>
  <c r="AK190" i="15"/>
  <c r="H223" i="15"/>
  <c r="BT213" i="15"/>
  <c r="AY206" i="15"/>
  <c r="P210" i="15"/>
  <c r="X169" i="15"/>
  <c r="V203" i="15"/>
  <c r="AK206" i="15"/>
  <c r="BA220" i="15"/>
  <c r="AR215" i="15"/>
  <c r="BD187" i="15"/>
  <c r="Q198" i="15"/>
  <c r="BT222" i="15"/>
  <c r="BL219" i="15"/>
  <c r="AU186" i="15"/>
  <c r="BL173" i="15"/>
  <c r="AE176" i="15"/>
  <c r="E184" i="15"/>
  <c r="O217" i="15"/>
  <c r="AX186" i="15"/>
  <c r="BE211" i="15"/>
  <c r="AF186" i="15"/>
  <c r="BR212" i="15"/>
  <c r="BT173" i="15"/>
  <c r="Z205" i="15"/>
  <c r="BD210" i="15"/>
  <c r="BQ211" i="15"/>
  <c r="F196" i="15"/>
  <c r="I211" i="15"/>
  <c r="AL190" i="15"/>
  <c r="BH205" i="15"/>
  <c r="AB206" i="15"/>
  <c r="BQ195" i="15"/>
  <c r="BP204" i="15"/>
  <c r="BD172" i="15"/>
  <c r="BV192" i="15"/>
  <c r="BK199" i="15"/>
  <c r="P186" i="15"/>
  <c r="AP194" i="15"/>
  <c r="BC204" i="15"/>
  <c r="P191" i="15"/>
  <c r="Y207" i="15"/>
  <c r="Z198" i="15"/>
  <c r="Z196" i="15"/>
  <c r="L219" i="15"/>
  <c r="BG201" i="15"/>
  <c r="Z168" i="15"/>
  <c r="AK207" i="15"/>
  <c r="BH208" i="15"/>
  <c r="N173" i="15"/>
  <c r="AD209" i="15"/>
  <c r="AM192" i="15"/>
  <c r="J177" i="15"/>
  <c r="AA194" i="15"/>
  <c r="BF214" i="15"/>
  <c r="U211" i="15"/>
  <c r="J200" i="15"/>
  <c r="J223" i="15"/>
  <c r="E171" i="15"/>
  <c r="AV171" i="15"/>
  <c r="S172" i="15"/>
  <c r="BC169" i="15"/>
  <c r="AM194" i="15"/>
  <c r="BK178" i="15"/>
  <c r="BK190" i="15"/>
  <c r="BJ216" i="15"/>
  <c r="N190" i="15"/>
  <c r="AN197" i="15"/>
  <c r="BJ195" i="15"/>
  <c r="AK177" i="15"/>
  <c r="M173" i="15"/>
  <c r="I181" i="15"/>
  <c r="BH194" i="15"/>
  <c r="AS166" i="15"/>
  <c r="AN185" i="15"/>
  <c r="X200" i="15"/>
  <c r="J171" i="15"/>
  <c r="M185" i="15"/>
  <c r="U202" i="15"/>
  <c r="BA186" i="15"/>
  <c r="N202" i="15"/>
  <c r="G171" i="15"/>
  <c r="V210" i="15"/>
  <c r="U225" i="15"/>
  <c r="AV172" i="15"/>
  <c r="BR198" i="15"/>
  <c r="AE194" i="15"/>
  <c r="R202" i="15"/>
  <c r="AN187" i="15"/>
  <c r="Q205" i="15"/>
  <c r="AY180" i="15"/>
  <c r="AD166" i="15"/>
  <c r="AC181" i="15"/>
  <c r="X214" i="15"/>
  <c r="N180" i="15"/>
  <c r="W197" i="15"/>
  <c r="AH225" i="15"/>
  <c r="BB183" i="15"/>
  <c r="BD220" i="15"/>
  <c r="P209" i="15"/>
  <c r="O198" i="15"/>
  <c r="AX210" i="15"/>
  <c r="AX185" i="15"/>
  <c r="BQ193" i="15"/>
  <c r="AG199" i="15"/>
  <c r="AH214" i="15"/>
  <c r="BT165" i="15"/>
  <c r="BH169" i="15"/>
  <c r="O167" i="15"/>
  <c r="O169" i="15"/>
  <c r="BU191" i="15"/>
  <c r="AQ176" i="15"/>
  <c r="AH194" i="15"/>
  <c r="AX214" i="15"/>
  <c r="Y194" i="15"/>
  <c r="H195" i="15"/>
  <c r="J193" i="15"/>
  <c r="BH166" i="15"/>
  <c r="AL182" i="15"/>
  <c r="K204" i="15"/>
  <c r="BK201" i="15"/>
  <c r="V224" i="15"/>
  <c r="AG165" i="15"/>
  <c r="P180" i="15"/>
  <c r="G181" i="15"/>
  <c r="AE173" i="15"/>
  <c r="AG201" i="15"/>
  <c r="R165" i="15"/>
  <c r="H201" i="15"/>
  <c r="BS175" i="15"/>
  <c r="E199" i="15"/>
  <c r="BO198" i="15"/>
  <c r="BC193" i="15"/>
  <c r="J189" i="15"/>
  <c r="BC181" i="15"/>
  <c r="BE185" i="15"/>
  <c r="BI194" i="15"/>
  <c r="AS171" i="15"/>
  <c r="BL192" i="15"/>
  <c r="AQ205" i="15"/>
  <c r="BD174" i="15"/>
  <c r="AH189" i="15"/>
  <c r="AB207" i="15"/>
  <c r="N184" i="15"/>
  <c r="AP209" i="15"/>
  <c r="AJ182" i="15"/>
  <c r="F199" i="15"/>
  <c r="BJ167" i="15"/>
  <c r="AT172" i="15"/>
  <c r="P202" i="15"/>
  <c r="AW199" i="15"/>
  <c r="G211" i="15"/>
  <c r="BL194" i="15"/>
  <c r="AU212" i="15"/>
  <c r="BP181" i="15"/>
  <c r="BN165" i="15"/>
  <c r="X183" i="15"/>
  <c r="F198" i="15"/>
  <c r="AP191" i="15"/>
  <c r="Q220" i="15"/>
  <c r="AY202" i="15"/>
  <c r="BT193" i="15"/>
  <c r="AK213" i="15"/>
  <c r="BU180" i="15"/>
  <c r="AW185" i="15"/>
  <c r="G165" i="15"/>
  <c r="BK204" i="15"/>
  <c r="E178" i="15"/>
  <c r="BQ198" i="15"/>
  <c r="Y171" i="15"/>
  <c r="AP165" i="15"/>
  <c r="W193" i="15"/>
  <c r="AX169" i="15"/>
  <c r="Y176" i="15"/>
  <c r="AX177" i="15"/>
  <c r="BO178" i="15"/>
  <c r="L184" i="15"/>
  <c r="BI188" i="15"/>
  <c r="AI211" i="15"/>
  <c r="AD169" i="15"/>
  <c r="V206" i="15"/>
  <c r="L167" i="15"/>
  <c r="AV170" i="15"/>
  <c r="BN176" i="15"/>
  <c r="U205" i="15"/>
  <c r="BC166" i="15"/>
  <c r="BD165" i="15"/>
  <c r="BK212" i="15"/>
  <c r="BH178" i="15"/>
  <c r="Z169" i="15"/>
  <c r="AH174" i="15"/>
  <c r="AD171" i="15"/>
  <c r="U186" i="15"/>
  <c r="G184" i="15"/>
  <c r="Y204" i="15"/>
  <c r="BJ173" i="15"/>
  <c r="AK225" i="15"/>
  <c r="AM176" i="15"/>
  <c r="BQ171" i="15"/>
  <c r="AA167" i="15"/>
  <c r="AN169" i="15"/>
  <c r="M170" i="15"/>
  <c r="BP210" i="15"/>
  <c r="BO216" i="15"/>
  <c r="Q196" i="15"/>
  <c r="AE171" i="15"/>
  <c r="BI215" i="15"/>
  <c r="BE172" i="15"/>
  <c r="AT207" i="15"/>
  <c r="BT185" i="15"/>
  <c r="G213" i="15"/>
  <c r="BF192" i="15"/>
  <c r="AN172" i="15"/>
  <c r="BN194" i="15"/>
  <c r="BO210" i="15"/>
  <c r="AQ222" i="15"/>
  <c r="BT196" i="15"/>
  <c r="AQ213" i="15"/>
  <c r="AD214" i="15"/>
  <c r="AG192" i="15"/>
  <c r="AB215" i="15"/>
  <c r="AP198" i="15"/>
  <c r="AM203" i="15"/>
  <c r="AI187" i="15"/>
  <c r="R190" i="15"/>
  <c r="AB190" i="15"/>
  <c r="BT197" i="15"/>
  <c r="BT218" i="15"/>
  <c r="G197" i="15"/>
  <c r="AE184" i="15"/>
  <c r="G192" i="15"/>
  <c r="AT221" i="15"/>
  <c r="X191" i="15"/>
  <c r="M202" i="15"/>
  <c r="K208" i="15"/>
  <c r="T188" i="15"/>
  <c r="AH184" i="15"/>
  <c r="Q219" i="15"/>
  <c r="O199" i="15"/>
  <c r="O188" i="15"/>
  <c r="AE205" i="15"/>
  <c r="AC171" i="15"/>
  <c r="Z181" i="15"/>
  <c r="V189" i="15"/>
  <c r="BI205" i="15"/>
  <c r="BL205" i="15"/>
  <c r="BS191" i="15"/>
  <c r="BH211" i="15"/>
  <c r="AG167" i="15"/>
  <c r="AU182" i="15"/>
  <c r="M194" i="15"/>
  <c r="BS216" i="15"/>
  <c r="AY205" i="15"/>
  <c r="BP194" i="15"/>
  <c r="J168" i="15"/>
  <c r="M199" i="15"/>
  <c r="M203" i="15"/>
  <c r="AS216" i="15"/>
  <c r="P168" i="15"/>
  <c r="AR179" i="15"/>
  <c r="AP185" i="15"/>
  <c r="AL208" i="15"/>
  <c r="AK192" i="15"/>
  <c r="AB193" i="15"/>
  <c r="AJ186" i="15"/>
  <c r="BA166" i="15"/>
  <c r="AB201" i="15"/>
  <c r="AE192" i="15"/>
  <c r="P203" i="15"/>
  <c r="W181" i="15"/>
  <c r="AF182" i="15"/>
  <c r="BT169" i="15"/>
  <c r="AX190" i="15"/>
  <c r="AO180" i="15"/>
  <c r="W191" i="15"/>
  <c r="BR217" i="15"/>
  <c r="AL191" i="15"/>
  <c r="P220" i="15"/>
  <c r="BI187" i="15"/>
  <c r="X208" i="15"/>
  <c r="AQ200" i="15"/>
  <c r="AW186" i="15"/>
  <c r="BK214" i="15"/>
  <c r="H200" i="15"/>
  <c r="BU204" i="15"/>
  <c r="BT225" i="15"/>
  <c r="AO204" i="15"/>
  <c r="BV183" i="15"/>
  <c r="Z186" i="15"/>
  <c r="AW223" i="15"/>
  <c r="AY172" i="15"/>
  <c r="AB170" i="15"/>
  <c r="U175" i="15"/>
  <c r="AG180" i="15"/>
  <c r="AN188" i="15"/>
  <c r="R207" i="15"/>
  <c r="AH213" i="15"/>
  <c r="Q203" i="15"/>
  <c r="AI176" i="15"/>
  <c r="C200" i="15"/>
  <c r="R206" i="15"/>
  <c r="AP177" i="15"/>
  <c r="Y201" i="15"/>
  <c r="BM205" i="15"/>
  <c r="BJ184" i="15"/>
  <c r="N201" i="15"/>
  <c r="AI177" i="15"/>
  <c r="S203" i="15"/>
  <c r="K199" i="15"/>
  <c r="BJ176" i="15"/>
  <c r="X216" i="15"/>
  <c r="AE185" i="15"/>
  <c r="C202" i="15"/>
  <c r="BU186" i="15"/>
  <c r="BG190" i="15"/>
  <c r="BM219" i="15"/>
  <c r="BM184" i="15"/>
  <c r="AT208" i="15"/>
  <c r="BU207" i="15"/>
  <c r="AB169" i="15"/>
  <c r="AR211" i="15"/>
  <c r="BU216" i="15"/>
  <c r="AJ209" i="15"/>
  <c r="AE223" i="15"/>
  <c r="AB187" i="15"/>
  <c r="BO189" i="15"/>
  <c r="AZ213" i="15"/>
  <c r="AB179" i="15"/>
  <c r="AY173" i="15"/>
  <c r="C194" i="15"/>
  <c r="AK195" i="15"/>
  <c r="G168" i="15"/>
  <c r="F194" i="15"/>
  <c r="BQ174" i="15"/>
  <c r="BM188" i="15"/>
  <c r="AS210" i="15"/>
  <c r="AJ171" i="15"/>
  <c r="AK168" i="15"/>
  <c r="BM173" i="15"/>
  <c r="AL180" i="15"/>
  <c r="BV185" i="15"/>
  <c r="AC206" i="15"/>
  <c r="BB210" i="15"/>
  <c r="AU200" i="15"/>
  <c r="T165" i="15"/>
  <c r="BD206" i="15"/>
  <c r="AD167" i="15"/>
  <c r="BU201" i="15"/>
  <c r="BM183" i="15"/>
  <c r="BP167" i="15"/>
  <c r="J194" i="15"/>
  <c r="AL171" i="15"/>
  <c r="AM177" i="15"/>
  <c r="U167" i="15"/>
  <c r="AN180" i="15"/>
  <c r="BR185" i="15"/>
  <c r="BH181" i="15"/>
  <c r="K215" i="15"/>
  <c r="P170" i="15"/>
  <c r="X205" i="15"/>
  <c r="T173" i="15"/>
  <c r="BK206" i="15"/>
  <c r="F174" i="15"/>
  <c r="AX218" i="15"/>
  <c r="BA176" i="15"/>
  <c r="AR203" i="15"/>
  <c r="BF213" i="15"/>
  <c r="Y183" i="15"/>
  <c r="BS208" i="15"/>
  <c r="BK180" i="15"/>
  <c r="O209" i="15"/>
  <c r="AZ204" i="15"/>
  <c r="AQ181" i="15"/>
  <c r="BE208" i="15"/>
  <c r="AB185" i="15"/>
  <c r="AA166" i="15"/>
  <c r="BR186" i="15"/>
  <c r="S202" i="15"/>
  <c r="Q208" i="15"/>
  <c r="Z182" i="15"/>
  <c r="BK202" i="15"/>
  <c r="H202" i="15"/>
  <c r="U188" i="15"/>
  <c r="AR204" i="15"/>
  <c r="AR182" i="15"/>
  <c r="T208" i="15"/>
  <c r="BI225" i="15"/>
  <c r="BQ197" i="15"/>
  <c r="AQ199" i="15"/>
  <c r="AO185" i="15"/>
  <c r="BD180" i="15"/>
  <c r="BD203" i="15"/>
  <c r="BO167" i="15"/>
  <c r="AP187" i="15"/>
  <c r="AN183" i="15"/>
  <c r="AZ215" i="15"/>
  <c r="AZ187" i="15"/>
  <c r="V207" i="15"/>
  <c r="AR194" i="15"/>
  <c r="AJ185" i="15"/>
  <c r="H186" i="15"/>
  <c r="AQ187" i="15"/>
  <c r="AC173" i="15"/>
  <c r="R189" i="15"/>
  <c r="AB197" i="15"/>
  <c r="X215" i="15"/>
  <c r="AI181" i="15"/>
  <c r="R195" i="15"/>
  <c r="AX173" i="15"/>
  <c r="BT180" i="15"/>
  <c r="AU188" i="15"/>
  <c r="BE206" i="15"/>
  <c r="C217" i="15"/>
  <c r="BC178" i="15"/>
  <c r="BU166" i="15"/>
  <c r="BP196" i="15"/>
  <c r="Q188" i="15"/>
  <c r="BB193" i="15"/>
  <c r="AH168" i="15"/>
  <c r="BK189" i="15"/>
  <c r="AA202" i="15"/>
  <c r="AC221" i="15"/>
  <c r="V185" i="15"/>
  <c r="AM198" i="15"/>
  <c r="AM173" i="15"/>
  <c r="G173" i="15"/>
  <c r="BE178" i="15"/>
  <c r="BQ190" i="15"/>
  <c r="AY193" i="15"/>
  <c r="BD183" i="15"/>
  <c r="AI224" i="15"/>
  <c r="G194" i="15"/>
  <c r="K201" i="15"/>
  <c r="AO171" i="15"/>
  <c r="BA203" i="15"/>
  <c r="BL206" i="15"/>
  <c r="AK211" i="15"/>
  <c r="R203" i="15"/>
  <c r="AZ197" i="15"/>
  <c r="W199" i="15"/>
  <c r="AU192" i="15"/>
  <c r="AV217" i="15"/>
  <c r="AL209" i="15"/>
  <c r="AK170" i="15"/>
  <c r="BP183" i="15"/>
  <c r="BS210" i="15"/>
  <c r="H185" i="15"/>
  <c r="Y211" i="15"/>
  <c r="T186" i="15"/>
  <c r="Q180" i="15"/>
  <c r="Y193" i="15"/>
  <c r="BA210" i="15"/>
  <c r="AQ196" i="15"/>
  <c r="L182" i="15"/>
  <c r="AT187" i="15"/>
  <c r="I209" i="15"/>
  <c r="BH173" i="15"/>
  <c r="AW180" i="15"/>
  <c r="R182" i="15"/>
  <c r="M208" i="15"/>
  <c r="AJ189" i="15"/>
  <c r="BV177" i="15"/>
  <c r="Z193" i="15"/>
  <c r="I197" i="15"/>
  <c r="R215" i="15"/>
  <c r="BP215" i="15"/>
  <c r="BR200" i="15"/>
  <c r="H219" i="15"/>
  <c r="AC176" i="15"/>
  <c r="W195" i="15"/>
  <c r="BO203" i="15"/>
  <c r="BS222" i="15"/>
  <c r="AQ214" i="15"/>
  <c r="BD221" i="15"/>
  <c r="AS217" i="15"/>
  <c r="AD178" i="15"/>
  <c r="BU189" i="15"/>
  <c r="BE195" i="15"/>
  <c r="Z212" i="15"/>
  <c r="BD223" i="15"/>
  <c r="BD195" i="15"/>
  <c r="BR183" i="15"/>
  <c r="AQ218" i="15"/>
  <c r="AY219" i="15"/>
  <c r="BR211" i="15"/>
  <c r="AQ167" i="15"/>
  <c r="H196" i="15"/>
  <c r="M198" i="15"/>
  <c r="AX220" i="15"/>
  <c r="AU203" i="15"/>
  <c r="Z208" i="15"/>
  <c r="AO194" i="15"/>
  <c r="AD201" i="15"/>
  <c r="BP209" i="15"/>
  <c r="BR218" i="15"/>
  <c r="BD192" i="15"/>
  <c r="BJ179" i="15"/>
  <c r="J173" i="15"/>
  <c r="AA181" i="15"/>
  <c r="BA209" i="15"/>
  <c r="AP203" i="15"/>
  <c r="AB181" i="15"/>
  <c r="BU165" i="15"/>
  <c r="F182" i="15"/>
  <c r="AQ198" i="15"/>
  <c r="BI192" i="15"/>
  <c r="AR223" i="15"/>
  <c r="AV212" i="15"/>
  <c r="BA174" i="15"/>
  <c r="W216" i="15"/>
  <c r="AQ211" i="15"/>
  <c r="O174" i="15"/>
  <c r="AS202" i="15"/>
  <c r="AW178" i="15"/>
  <c r="BV166" i="15"/>
  <c r="AZ185" i="15"/>
  <c r="BS183" i="15"/>
  <c r="BV203" i="15"/>
  <c r="J188" i="15"/>
  <c r="L203" i="15"/>
  <c r="X221" i="15"/>
  <c r="AR198" i="15"/>
  <c r="AR202" i="15"/>
  <c r="T181" i="15"/>
  <c r="BV225" i="15"/>
  <c r="AR199" i="15"/>
  <c r="AM193" i="15"/>
  <c r="V215" i="15"/>
  <c r="AA182" i="15"/>
  <c r="AU207" i="15"/>
  <c r="AV187" i="15"/>
  <c r="AP224" i="15"/>
  <c r="P216" i="15"/>
  <c r="BD189" i="15"/>
  <c r="U213" i="15"/>
  <c r="BL196" i="15"/>
  <c r="BM165" i="15"/>
  <c r="AP204" i="15"/>
  <c r="BE187" i="15"/>
  <c r="J211" i="15"/>
  <c r="AR186" i="15"/>
  <c r="W194" i="15"/>
  <c r="L198" i="15"/>
  <c r="BA183" i="15"/>
  <c r="Y188" i="15"/>
  <c r="AP214" i="15"/>
  <c r="BJ199" i="15"/>
  <c r="AO203" i="15"/>
  <c r="Z180" i="15"/>
  <c r="AG186" i="15"/>
  <c r="BO199" i="15"/>
  <c r="BD202" i="15"/>
  <c r="N198" i="15"/>
  <c r="W184" i="15"/>
  <c r="AL169" i="15"/>
  <c r="X175" i="15"/>
  <c r="AE207" i="15"/>
  <c r="M209" i="15"/>
  <c r="BH182" i="15"/>
  <c r="AR218" i="15"/>
  <c r="X167" i="15"/>
  <c r="AX178" i="15"/>
  <c r="P184" i="15"/>
  <c r="BQ221" i="15"/>
  <c r="E222" i="15"/>
  <c r="BO187" i="15"/>
  <c r="AC214" i="15"/>
  <c r="C223" i="15"/>
  <c r="AR184" i="15"/>
  <c r="BN180" i="15"/>
  <c r="X213" i="15"/>
  <c r="AS195" i="15"/>
  <c r="S184" i="15"/>
  <c r="H220" i="15"/>
  <c r="BM196" i="15"/>
  <c r="AD190" i="15"/>
  <c r="S219" i="15"/>
  <c r="G188" i="15"/>
  <c r="BF169" i="15"/>
  <c r="AQ194" i="15"/>
  <c r="AC185" i="15"/>
  <c r="AN223" i="15"/>
  <c r="F190" i="15"/>
  <c r="BH193" i="15"/>
  <c r="AT224" i="15"/>
  <c r="AA203" i="15"/>
  <c r="BS209" i="15"/>
  <c r="AI196" i="15"/>
  <c r="Z191" i="15"/>
  <c r="BU199" i="15"/>
  <c r="BA201" i="15"/>
  <c r="L178" i="15"/>
  <c r="AO183" i="15"/>
  <c r="BA215" i="15"/>
  <c r="BE194" i="15"/>
  <c r="AE191" i="15"/>
  <c r="AS212" i="15"/>
  <c r="BV216" i="15"/>
  <c r="AM206" i="15"/>
  <c r="AL199" i="15"/>
  <c r="AW202" i="15"/>
  <c r="AL198" i="15"/>
  <c r="BE186" i="15"/>
  <c r="BG199" i="15"/>
  <c r="BI211" i="15"/>
  <c r="AJ174" i="15"/>
  <c r="C173" i="15"/>
  <c r="BR187" i="15"/>
  <c r="AX183" i="15"/>
  <c r="AU198" i="15"/>
  <c r="M188" i="15"/>
  <c r="M201" i="15"/>
  <c r="Y210" i="15"/>
  <c r="Y195" i="15"/>
  <c r="AI194" i="15"/>
  <c r="O171" i="15"/>
  <c r="AC205" i="15"/>
  <c r="AD206" i="15"/>
  <c r="G189" i="15"/>
  <c r="L225" i="15"/>
  <c r="Z170" i="15"/>
  <c r="AA201" i="15"/>
  <c r="BU206" i="15"/>
  <c r="AV215" i="15"/>
  <c r="P222" i="15"/>
  <c r="BS221" i="15"/>
  <c r="BO224" i="15"/>
  <c r="AM168" i="15"/>
  <c r="T191" i="15"/>
  <c r="AF195" i="15"/>
  <c r="AC225" i="15"/>
  <c r="O175" i="15"/>
  <c r="E194" i="15"/>
  <c r="AF201" i="15"/>
  <c r="BL220" i="15"/>
  <c r="AH212" i="15"/>
  <c r="BA199" i="15"/>
  <c r="AH218" i="15"/>
  <c r="S198" i="15"/>
  <c r="AA191" i="15"/>
  <c r="BP213" i="15"/>
  <c r="X181" i="15"/>
  <c r="AT179" i="15"/>
  <c r="T193" i="15"/>
  <c r="BB188" i="15"/>
  <c r="BE212" i="15"/>
  <c r="Y192" i="15"/>
  <c r="BQ192" i="15"/>
  <c r="Z213" i="15"/>
  <c r="AN200" i="15"/>
  <c r="AC207" i="15"/>
  <c r="BS205" i="15"/>
  <c r="BT183" i="15"/>
  <c r="BL215" i="15"/>
  <c r="I195" i="15"/>
  <c r="K220" i="15"/>
  <c r="BG185" i="15"/>
  <c r="O203" i="15"/>
  <c r="AF217" i="15"/>
  <c r="Q185" i="15"/>
  <c r="AX200" i="15"/>
  <c r="AM214" i="15"/>
  <c r="AE216" i="15"/>
  <c r="AJ173" i="15"/>
  <c r="G177" i="15"/>
  <c r="AW170" i="15"/>
  <c r="V198" i="15"/>
  <c r="C210" i="15"/>
  <c r="AE196" i="15"/>
  <c r="W168" i="15"/>
  <c r="BR194" i="15"/>
  <c r="AG191" i="15"/>
  <c r="BD196" i="15"/>
  <c r="BC165" i="15"/>
  <c r="G175" i="15"/>
  <c r="L199" i="15"/>
  <c r="M191" i="15"/>
  <c r="AC202" i="15"/>
  <c r="AW176" i="15"/>
  <c r="AF198" i="15"/>
  <c r="AH205" i="15"/>
  <c r="AO169" i="15"/>
  <c r="AO188" i="15"/>
  <c r="U187" i="15"/>
  <c r="BJ206" i="15"/>
  <c r="BS204" i="15"/>
  <c r="AL197" i="15"/>
  <c r="AD210" i="15"/>
  <c r="AY178" i="15"/>
  <c r="BH187" i="15"/>
  <c r="BE190" i="15"/>
  <c r="P212" i="15"/>
  <c r="BH217" i="15"/>
  <c r="N196" i="15"/>
  <c r="BB213" i="15"/>
  <c r="AB174" i="15"/>
  <c r="AX189" i="15"/>
  <c r="AK189" i="15"/>
  <c r="BG216" i="15"/>
  <c r="BU210" i="15"/>
  <c r="I190" i="15"/>
  <c r="AO172" i="15"/>
  <c r="BG202" i="15"/>
  <c r="AI203" i="15"/>
  <c r="AS220" i="15"/>
  <c r="C192" i="15"/>
  <c r="BB172" i="15"/>
  <c r="BT168" i="15"/>
  <c r="AU191" i="15"/>
  <c r="M174" i="15"/>
  <c r="AZ202" i="15"/>
  <c r="BI204" i="15"/>
  <c r="AX222" i="15"/>
  <c r="AE209" i="15"/>
  <c r="AB209" i="15"/>
  <c r="AC200" i="15"/>
  <c r="G198" i="15"/>
  <c r="BQ173" i="15"/>
  <c r="AM196" i="15"/>
  <c r="AB195" i="15"/>
  <c r="U216" i="15"/>
  <c r="AH201" i="15"/>
  <c r="G207" i="15"/>
  <c r="E201" i="15"/>
  <c r="BA184" i="15"/>
  <c r="AR225" i="15"/>
  <c r="AH200" i="15"/>
  <c r="W208" i="15"/>
  <c r="R181" i="15"/>
  <c r="BN205" i="15"/>
  <c r="F189" i="15"/>
  <c r="BQ208" i="15"/>
  <c r="BO204" i="15"/>
  <c r="BC171" i="15"/>
  <c r="W172" i="15"/>
  <c r="F193" i="15"/>
  <c r="BF181" i="15"/>
  <c r="BQ205" i="15"/>
  <c r="AV190" i="15"/>
  <c r="BG209" i="15"/>
  <c r="AF206" i="15"/>
  <c r="BQ201" i="15"/>
  <c r="BB209" i="15"/>
  <c r="G195" i="15"/>
  <c r="BJ174" i="15"/>
  <c r="BD212" i="15"/>
  <c r="BS199" i="15"/>
  <c r="I223" i="15"/>
  <c r="N215" i="15"/>
  <c r="AR201" i="15"/>
  <c r="R192" i="15"/>
  <c r="E181" i="15"/>
  <c r="BM214" i="15"/>
  <c r="P219" i="15"/>
  <c r="BF220" i="15"/>
  <c r="H175" i="15"/>
  <c r="AN204" i="15"/>
  <c r="S206" i="15"/>
  <c r="BH170" i="15"/>
  <c r="X184" i="15"/>
  <c r="E197" i="15"/>
  <c r="AW198" i="15"/>
  <c r="BF224" i="15"/>
  <c r="AA177" i="15"/>
  <c r="BC203" i="15"/>
  <c r="AL221" i="15"/>
  <c r="AF205" i="15"/>
  <c r="BI208" i="15"/>
  <c r="BC206" i="15"/>
  <c r="AZ225" i="15"/>
  <c r="BG200" i="15"/>
  <c r="X176" i="15"/>
  <c r="BE182" i="15"/>
  <c r="AJ198" i="15"/>
  <c r="AE202" i="15"/>
  <c r="S196" i="15"/>
  <c r="AO186" i="15"/>
  <c r="K192" i="15"/>
  <c r="BD188" i="15"/>
  <c r="BJ198" i="15"/>
  <c r="AH207" i="15"/>
  <c r="AO167" i="15"/>
  <c r="AW175" i="15"/>
  <c r="AG181" i="15"/>
  <c r="K181" i="15"/>
  <c r="AW193" i="15"/>
  <c r="AA183" i="15"/>
  <c r="Q199" i="15"/>
  <c r="BH210" i="15"/>
  <c r="R217" i="15"/>
  <c r="L193" i="15"/>
  <c r="G170" i="15"/>
  <c r="BO212" i="15"/>
  <c r="K207" i="15"/>
  <c r="M189" i="15"/>
  <c r="J212" i="15"/>
  <c r="AC168" i="15"/>
  <c r="AU195" i="15"/>
  <c r="Y209" i="15"/>
  <c r="BB215" i="15"/>
  <c r="AS205" i="15"/>
  <c r="BN225" i="15"/>
  <c r="AG212" i="15"/>
  <c r="AX223" i="15"/>
  <c r="BR203" i="15"/>
  <c r="BM187" i="15"/>
  <c r="AG171" i="15"/>
  <c r="Z194" i="15"/>
  <c r="BA191" i="15"/>
  <c r="O214" i="15"/>
  <c r="AS194" i="15"/>
  <c r="AH173" i="15"/>
  <c r="AI201" i="15"/>
  <c r="I189" i="15"/>
  <c r="E173" i="15"/>
  <c r="AH196" i="15"/>
  <c r="M195" i="15"/>
  <c r="U215" i="15"/>
  <c r="W205" i="15"/>
  <c r="BA214" i="15"/>
  <c r="I203" i="15"/>
  <c r="BR190" i="15"/>
  <c r="T200" i="15"/>
  <c r="AT204" i="15"/>
  <c r="U176" i="15"/>
  <c r="BN197" i="15"/>
  <c r="BF218" i="15"/>
  <c r="BS196" i="15"/>
  <c r="AG193" i="15"/>
  <c r="AI213" i="15"/>
  <c r="T201" i="15"/>
  <c r="Y217" i="15"/>
  <c r="U184" i="15"/>
  <c r="AB198" i="15"/>
  <c r="BQ209" i="15"/>
  <c r="E165" i="15"/>
  <c r="AF170" i="15"/>
  <c r="AH176" i="15"/>
  <c r="BR204" i="15"/>
  <c r="BM208" i="15"/>
  <c r="AD215" i="15"/>
  <c r="F212" i="15"/>
  <c r="AL183" i="15"/>
  <c r="AE206" i="15"/>
  <c r="K191" i="15"/>
  <c r="AT215" i="15"/>
  <c r="T168" i="15"/>
  <c r="BU185" i="15"/>
  <c r="AU187" i="15"/>
  <c r="Z202" i="15"/>
  <c r="BM185" i="15"/>
  <c r="AX206" i="15"/>
  <c r="BD204" i="15"/>
  <c r="F200" i="15"/>
  <c r="BH203" i="15"/>
  <c r="BQ187" i="15"/>
  <c r="BA173" i="15"/>
  <c r="AO209" i="15"/>
  <c r="AV197" i="15"/>
  <c r="AN215" i="15"/>
  <c r="AS189" i="15"/>
  <c r="BV188" i="15"/>
  <c r="AN213" i="15"/>
  <c r="BH168" i="15"/>
  <c r="BU217" i="15"/>
  <c r="AN202" i="15"/>
  <c r="BO213" i="15"/>
  <c r="Z225" i="15"/>
  <c r="BV204" i="15"/>
  <c r="BQ194" i="15"/>
  <c r="AB177" i="15"/>
  <c r="W203" i="15"/>
  <c r="I207" i="15"/>
  <c r="BV220" i="15"/>
  <c r="BJ165" i="15"/>
  <c r="AU177" i="15"/>
  <c r="T172" i="15"/>
  <c r="AK196" i="15"/>
  <c r="BR178" i="15"/>
  <c r="AV203" i="15"/>
  <c r="O211" i="15"/>
  <c r="BK223" i="15"/>
  <c r="BA211" i="15"/>
  <c r="BQ216" i="15"/>
  <c r="BC218" i="15"/>
  <c r="AH203" i="15"/>
  <c r="E170" i="15"/>
  <c r="J205" i="15"/>
  <c r="G215" i="15"/>
  <c r="AU171" i="15"/>
  <c r="J210" i="15"/>
  <c r="AC212" i="15"/>
  <c r="K206" i="15"/>
  <c r="V200" i="15"/>
  <c r="BV214" i="15"/>
  <c r="N204" i="15"/>
  <c r="BG186" i="15"/>
  <c r="E206" i="15"/>
  <c r="BP205" i="15"/>
  <c r="Y179" i="15"/>
  <c r="E182" i="15"/>
  <c r="BK185" i="15"/>
  <c r="AI210" i="15"/>
  <c r="AW189" i="15"/>
  <c r="O215" i="15"/>
  <c r="AA205" i="15"/>
  <c r="AZ181" i="15"/>
  <c r="Q190" i="15"/>
  <c r="R198" i="15"/>
  <c r="BL195" i="15"/>
  <c r="AP225" i="15"/>
  <c r="AV194" i="15"/>
  <c r="AT171" i="15"/>
  <c r="BI199" i="15"/>
  <c r="Q187" i="15"/>
  <c r="AM170" i="15"/>
  <c r="H193" i="15"/>
  <c r="K190" i="15"/>
  <c r="BM211" i="15"/>
  <c r="AL202" i="15"/>
  <c r="N211" i="15"/>
  <c r="BB199" i="15"/>
  <c r="BJ190" i="15"/>
  <c r="AP207" i="15"/>
  <c r="AB217" i="15"/>
  <c r="I172" i="15"/>
  <c r="U196" i="15"/>
  <c r="BU203" i="15"/>
  <c r="BJ211" i="15"/>
  <c r="AB219" i="15"/>
  <c r="AU224" i="15"/>
  <c r="AI182" i="15"/>
  <c r="AZ217" i="15"/>
  <c r="BC208" i="15"/>
  <c r="BI223" i="15"/>
  <c r="U198" i="15"/>
  <c r="AM221" i="15"/>
  <c r="R211" i="15"/>
  <c r="AR217" i="15"/>
  <c r="K174" i="15"/>
  <c r="AZ196" i="15"/>
  <c r="T183" i="15"/>
  <c r="BM209" i="15"/>
  <c r="BP192" i="15"/>
  <c r="AA211" i="15"/>
  <c r="AH208" i="15"/>
  <c r="BE203" i="15"/>
  <c r="AO211" i="15"/>
  <c r="BH195" i="15"/>
  <c r="AN218" i="15"/>
  <c r="BP214" i="15"/>
  <c r="L212" i="15"/>
  <c r="AU174" i="15"/>
  <c r="T192" i="15"/>
  <c r="BS198" i="15"/>
  <c r="AG222" i="15"/>
  <c r="BE223" i="15"/>
  <c r="BT206" i="15"/>
  <c r="O179" i="15"/>
  <c r="Y212" i="15"/>
  <c r="F209" i="15"/>
  <c r="BU213" i="15"/>
  <c r="S218" i="15"/>
  <c r="BS212" i="15"/>
  <c r="BO194" i="15"/>
  <c r="AO217" i="15"/>
  <c r="AQ210" i="15"/>
  <c r="AB196" i="15"/>
  <c r="AZ216" i="15"/>
  <c r="BN211" i="15"/>
  <c r="AI183" i="15"/>
  <c r="BE177" i="15"/>
  <c r="AA197" i="15"/>
  <c r="BN186" i="15"/>
  <c r="Q210" i="15"/>
  <c r="AI189" i="15"/>
  <c r="BJ220" i="15"/>
  <c r="AN211" i="15"/>
  <c r="L204" i="15"/>
  <c r="G216" i="15"/>
  <c r="BF201" i="15"/>
  <c r="AS224" i="15"/>
  <c r="W212" i="15"/>
  <c r="AF179" i="15"/>
  <c r="AY203" i="15"/>
  <c r="BC221" i="15"/>
  <c r="BE189" i="15"/>
  <c r="AC204" i="15"/>
  <c r="BE209" i="15"/>
  <c r="AY224" i="15"/>
  <c r="AG218" i="15"/>
  <c r="BI200" i="15"/>
  <c r="BF215" i="15"/>
  <c r="AQ201" i="15"/>
  <c r="BG225" i="15"/>
  <c r="AB218" i="15"/>
  <c r="BG193" i="15"/>
  <c r="BP201" i="15"/>
  <c r="AY213" i="15"/>
  <c r="BB203" i="15"/>
  <c r="AB213" i="15"/>
  <c r="AY212" i="15"/>
  <c r="AZ201" i="15"/>
  <c r="X222" i="15"/>
  <c r="BB223" i="15"/>
  <c r="BL225" i="15"/>
  <c r="L222" i="15"/>
  <c r="BG221" i="15"/>
  <c r="BI167" i="15"/>
  <c r="AU194" i="15"/>
  <c r="BC210" i="15"/>
  <c r="BO218" i="15"/>
  <c r="U203" i="15"/>
  <c r="BI195" i="15"/>
  <c r="BS206" i="15"/>
  <c r="BS211" i="15"/>
  <c r="BH220" i="15"/>
  <c r="BT207" i="15"/>
  <c r="AO218" i="15"/>
  <c r="BF223" i="15"/>
  <c r="BN214" i="15"/>
  <c r="BB212" i="15"/>
  <c r="AK223" i="15"/>
  <c r="W224" i="15"/>
  <c r="BM171" i="15"/>
  <c r="AD198" i="15"/>
  <c r="Z209" i="15"/>
  <c r="AU185" i="15"/>
  <c r="BJ221" i="15"/>
  <c r="P213" i="15"/>
  <c r="AF225" i="15"/>
  <c r="BU193" i="15"/>
  <c r="BN219" i="15"/>
  <c r="BC196" i="15"/>
  <c r="AF215" i="15"/>
  <c r="S211" i="15"/>
  <c r="AJ221" i="15"/>
  <c r="AV223" i="15"/>
  <c r="AZ189" i="15"/>
  <c r="R210" i="15"/>
  <c r="BB205" i="15"/>
  <c r="AK219" i="15"/>
  <c r="L209" i="15"/>
  <c r="X219" i="15"/>
  <c r="V175" i="15"/>
  <c r="N200" i="15"/>
  <c r="AR190" i="15"/>
  <c r="W175" i="15"/>
  <c r="Y191" i="15"/>
  <c r="BS197" i="15"/>
  <c r="Q216" i="15"/>
  <c r="E207" i="15"/>
  <c r="AF212" i="15"/>
  <c r="AP201" i="15"/>
  <c r="AV195" i="15"/>
  <c r="AC210" i="15"/>
  <c r="BE225" i="15"/>
  <c r="BD175" i="15"/>
  <c r="N192" i="15"/>
  <c r="AB204" i="15"/>
  <c r="BE214" i="15"/>
  <c r="BG220" i="15"/>
  <c r="O208" i="15"/>
  <c r="BH196" i="15"/>
  <c r="BT203" i="15"/>
  <c r="BA192" i="15"/>
  <c r="BO195" i="15"/>
  <c r="U210" i="15"/>
  <c r="AA218" i="15"/>
  <c r="BC223" i="15"/>
  <c r="AR214" i="15"/>
  <c r="BA178" i="15"/>
  <c r="O196" i="15"/>
  <c r="E200" i="15"/>
  <c r="AY223" i="15"/>
  <c r="AE204" i="15"/>
  <c r="BP178" i="15"/>
  <c r="BS207" i="15"/>
  <c r="T194" i="15"/>
  <c r="N167" i="15"/>
  <c r="AJ199" i="15"/>
  <c r="BE201" i="15"/>
  <c r="Z217" i="15"/>
  <c r="J206" i="15"/>
  <c r="BG217" i="15"/>
  <c r="O212" i="15"/>
  <c r="BQ191" i="15"/>
  <c r="X217" i="15"/>
  <c r="BG183" i="15"/>
  <c r="E214" i="15"/>
  <c r="BT191" i="15"/>
  <c r="K205" i="15"/>
  <c r="Q218" i="15"/>
  <c r="AP222" i="15"/>
  <c r="AC218" i="15"/>
  <c r="BV196" i="15"/>
  <c r="AM205" i="15"/>
  <c r="BH225" i="15"/>
  <c r="AV210" i="15"/>
  <c r="U200" i="15"/>
  <c r="BL218" i="15"/>
  <c r="AU196" i="15"/>
  <c r="M217" i="15"/>
  <c r="BO223" i="15"/>
  <c r="V209" i="15"/>
  <c r="BV222" i="15"/>
  <c r="AH204" i="15"/>
  <c r="BL209" i="15"/>
  <c r="AO223" i="15"/>
  <c r="K223" i="15"/>
  <c r="AY225" i="15"/>
  <c r="AA223" i="15"/>
  <c r="BU223" i="15"/>
  <c r="AF169" i="15"/>
  <c r="AK201" i="15"/>
  <c r="AD202" i="15"/>
  <c r="V220" i="15"/>
  <c r="Y214" i="15"/>
  <c r="AJ216" i="15"/>
  <c r="U219" i="15"/>
  <c r="BC209" i="15"/>
  <c r="BF219" i="15"/>
  <c r="BA221" i="15"/>
  <c r="BD211" i="15"/>
  <c r="E208" i="15"/>
  <c r="AX198" i="15"/>
  <c r="BL217" i="15"/>
  <c r="AU222" i="15"/>
  <c r="BD222" i="15"/>
  <c r="BU172" i="15"/>
  <c r="N205" i="15"/>
  <c r="AP216" i="15"/>
  <c r="AC183" i="15"/>
  <c r="Y205" i="15"/>
  <c r="AQ223" i="15"/>
  <c r="AS221" i="15"/>
  <c r="S217" i="15"/>
  <c r="AH222" i="15"/>
  <c r="AV222" i="15"/>
  <c r="S225" i="15"/>
  <c r="BK203" i="15"/>
  <c r="AA222" i="15"/>
  <c r="Z185" i="15"/>
  <c r="AH198" i="15"/>
  <c r="W214" i="15"/>
  <c r="J213" i="15"/>
  <c r="N213" i="15"/>
  <c r="AP219" i="15"/>
  <c r="AV165" i="15"/>
  <c r="AJ180" i="15"/>
  <c r="H174" i="15"/>
  <c r="BT189" i="15"/>
  <c r="S180" i="15"/>
  <c r="BT205" i="15"/>
  <c r="Z211" i="15"/>
  <c r="BG204" i="15"/>
  <c r="AG210" i="15"/>
  <c r="BG212" i="15"/>
  <c r="BH212" i="15"/>
  <c r="M200" i="15"/>
  <c r="W218" i="15"/>
  <c r="BD225" i="15"/>
  <c r="N187" i="15"/>
  <c r="AW200" i="15"/>
  <c r="BK209" i="15"/>
  <c r="J199" i="15"/>
  <c r="M196" i="15"/>
  <c r="BJ213" i="15"/>
  <c r="AA199" i="15"/>
  <c r="T222" i="15"/>
  <c r="BO205" i="15"/>
  <c r="BF210" i="15"/>
  <c r="V219" i="15"/>
  <c r="BC205" i="15"/>
  <c r="BM223" i="15"/>
  <c r="AI218" i="15"/>
  <c r="BI181" i="15"/>
  <c r="AJ212" i="15"/>
  <c r="AS215" i="15"/>
  <c r="AU209" i="15"/>
  <c r="AY166" i="15"/>
  <c r="BM172" i="15"/>
  <c r="BD177" i="15"/>
  <c r="BJ194" i="15"/>
  <c r="F183" i="15"/>
  <c r="BM212" i="15"/>
  <c r="AU217" i="15"/>
  <c r="BT208" i="15"/>
  <c r="AZ220" i="15"/>
  <c r="N219" i="15"/>
  <c r="E223" i="15"/>
  <c r="AS203" i="15"/>
  <c r="AE214" i="15"/>
  <c r="H197" i="15"/>
  <c r="T225" i="15"/>
  <c r="AS208" i="15"/>
  <c r="BT209" i="15"/>
  <c r="AA198" i="15"/>
  <c r="AF219" i="15"/>
  <c r="AY220" i="15"/>
  <c r="AN209" i="15"/>
  <c r="AD217" i="15"/>
  <c r="H188" i="15"/>
  <c r="AS209" i="15"/>
  <c r="S215" i="15"/>
  <c r="U170" i="15"/>
  <c r="O202" i="15"/>
  <c r="BP225" i="15"/>
  <c r="K225" i="15"/>
  <c r="E202" i="15"/>
  <c r="AB220" i="15"/>
  <c r="J224" i="15"/>
  <c r="X211" i="15"/>
  <c r="AE199" i="15"/>
  <c r="AU208" i="15"/>
  <c r="P217" i="15"/>
  <c r="BM204" i="15"/>
  <c r="AK210" i="15"/>
  <c r="K186" i="15"/>
  <c r="Q197" i="15"/>
  <c r="AY215" i="15"/>
  <c r="BU188" i="15"/>
  <c r="AA209" i="15"/>
  <c r="BQ200" i="15"/>
  <c r="G214" i="15"/>
  <c r="BG218" i="15"/>
  <c r="F203" i="15"/>
  <c r="AW216" i="15"/>
  <c r="BP217" i="15"/>
  <c r="J207" i="15"/>
  <c r="BF212" i="15"/>
  <c r="AU216" i="15"/>
  <c r="N220" i="15"/>
  <c r="AH210" i="15"/>
  <c r="AL189" i="15"/>
  <c r="R200" i="15"/>
  <c r="AF214" i="15"/>
  <c r="F219" i="15"/>
  <c r="S205" i="15"/>
  <c r="AN205" i="15"/>
  <c r="AJ201" i="15"/>
  <c r="I204" i="15"/>
  <c r="BT216" i="15"/>
  <c r="U199" i="15"/>
  <c r="AV216" i="15"/>
  <c r="N210" i="15"/>
  <c r="I222" i="15"/>
  <c r="BR167" i="15"/>
  <c r="AI170" i="15"/>
  <c r="AD189" i="15"/>
  <c r="BL180" i="15"/>
  <c r="BO206" i="15"/>
  <c r="AE188" i="15"/>
  <c r="N207" i="15"/>
  <c r="Y206" i="15"/>
  <c r="BO200" i="15"/>
  <c r="F207" i="15"/>
  <c r="BT194" i="15"/>
  <c r="AG215" i="15"/>
  <c r="AM215" i="15"/>
  <c r="AG211" i="15"/>
  <c r="BS170" i="15"/>
  <c r="BK188" i="15"/>
  <c r="AC197" i="15"/>
  <c r="AG208" i="15"/>
  <c r="BT215" i="15"/>
  <c r="V202" i="15"/>
  <c r="BN224" i="15"/>
  <c r="E204" i="15"/>
  <c r="BN199" i="15"/>
  <c r="BK207" i="15"/>
  <c r="AJ218" i="15"/>
  <c r="AF211" i="15"/>
  <c r="AZ221" i="15"/>
  <c r="AD218" i="15"/>
  <c r="I165" i="15"/>
  <c r="AS184" i="15"/>
  <c r="AL185" i="15"/>
  <c r="I198" i="15"/>
  <c r="AJ181" i="15"/>
  <c r="S204" i="15"/>
  <c r="BT212" i="15"/>
  <c r="M197" i="15"/>
  <c r="AB199" i="15"/>
  <c r="AL178" i="15"/>
  <c r="AZ211" i="15"/>
  <c r="BG206" i="15"/>
  <c r="N206" i="15"/>
  <c r="BP224" i="15"/>
  <c r="BN184" i="15"/>
  <c r="BN209" i="15"/>
  <c r="AC196" i="15"/>
  <c r="R214" i="15"/>
  <c r="BL198" i="15"/>
  <c r="AC213" i="15"/>
  <c r="H208" i="15"/>
  <c r="H183" i="15"/>
  <c r="BF205" i="15"/>
  <c r="V217" i="15"/>
  <c r="AN191" i="15"/>
  <c r="AI216" i="15"/>
  <c r="AF221" i="15"/>
  <c r="AO201" i="15"/>
  <c r="R184" i="15"/>
  <c r="AF200" i="15"/>
  <c r="AC217" i="15"/>
  <c r="AB171" i="15"/>
  <c r="AZ165" i="15"/>
  <c r="J182" i="15"/>
  <c r="AA189" i="15"/>
  <c r="AW203" i="15"/>
  <c r="AR185" i="15"/>
  <c r="AX201" i="15"/>
  <c r="AG216" i="15"/>
  <c r="BC198" i="15"/>
  <c r="AE201" i="15"/>
  <c r="BM182" i="15"/>
  <c r="S220" i="15"/>
  <c r="BE220" i="15"/>
  <c r="W217" i="15"/>
  <c r="AT203" i="15"/>
  <c r="BF200" i="15"/>
  <c r="E221" i="15"/>
  <c r="BG172" i="15"/>
  <c r="H212" i="15"/>
  <c r="BP189" i="15"/>
  <c r="F220" i="15"/>
  <c r="AZ222" i="15"/>
  <c r="W207" i="15"/>
  <c r="BH185" i="15"/>
  <c r="AM197" i="15"/>
  <c r="BV215" i="15"/>
  <c r="BQ181" i="15"/>
  <c r="BP206" i="15"/>
  <c r="AO193" i="15"/>
  <c r="BM220" i="15"/>
  <c r="BN210" i="15"/>
  <c r="BH199" i="15"/>
  <c r="AT223" i="15"/>
  <c r="BO217" i="15"/>
  <c r="O213" i="15"/>
  <c r="AA208" i="15"/>
  <c r="AA216" i="15"/>
  <c r="H217" i="15"/>
  <c r="BM217" i="15"/>
  <c r="AS192" i="15"/>
  <c r="AX212" i="15"/>
  <c r="BK205" i="15"/>
  <c r="BB186" i="15"/>
  <c r="H191" i="15"/>
  <c r="BN207" i="15"/>
  <c r="V194" i="15"/>
  <c r="AF223" i="15"/>
  <c r="AF210" i="15"/>
  <c r="AA190" i="15"/>
  <c r="S221" i="15"/>
  <c r="U218" i="15"/>
  <c r="BP208" i="15"/>
  <c r="AT218" i="15"/>
  <c r="K212" i="15"/>
  <c r="P225" i="15"/>
  <c r="AI197" i="15"/>
  <c r="E225" i="15"/>
  <c r="AQ219" i="15"/>
  <c r="BF202" i="15"/>
  <c r="BR208" i="15"/>
  <c r="AN219" i="15"/>
  <c r="AO213" i="15"/>
  <c r="T224" i="15"/>
  <c r="U212" i="15"/>
  <c r="O223" i="15"/>
  <c r="L216" i="15"/>
  <c r="BG224" i="15"/>
  <c r="AT205" i="15"/>
  <c r="BC215" i="15"/>
  <c r="AX224" i="15"/>
  <c r="K216" i="15"/>
  <c r="BN208" i="15"/>
  <c r="BI216" i="15"/>
  <c r="AO207" i="15"/>
  <c r="M205" i="15"/>
  <c r="AO222" i="15"/>
  <c r="AP188" i="15"/>
  <c r="AQ215" i="15"/>
  <c r="AR193" i="15"/>
  <c r="K224" i="15"/>
  <c r="BE204" i="15"/>
  <c r="AT212" i="15"/>
  <c r="BR215" i="15"/>
  <c r="AF190" i="15"/>
  <c r="P224" i="15"/>
  <c r="G222" i="15"/>
  <c r="BA198" i="15"/>
  <c r="AR209" i="15"/>
  <c r="AX219" i="15"/>
  <c r="BI203" i="15"/>
  <c r="E219" i="15"/>
  <c r="AK218" i="15"/>
  <c r="K218" i="15"/>
  <c r="BS213" i="15"/>
  <c r="AM175" i="15"/>
  <c r="N193" i="15"/>
  <c r="BM199" i="15"/>
  <c r="AW211" i="15"/>
  <c r="BI210" i="15"/>
  <c r="AK202" i="15"/>
  <c r="BR216" i="15"/>
  <c r="BF180" i="15"/>
  <c r="AA206" i="15"/>
  <c r="AE219" i="15"/>
  <c r="AZ212" i="15"/>
  <c r="BN200" i="15"/>
  <c r="AG214" i="15"/>
  <c r="U192" i="15"/>
  <c r="Q223" i="15"/>
  <c r="BJ212" i="15"/>
  <c r="AI220" i="15"/>
  <c r="J204" i="15"/>
  <c r="BU212" i="15"/>
  <c r="BI196" i="15"/>
  <c r="Z207" i="15"/>
  <c r="AB212" i="15"/>
  <c r="AG202" i="15"/>
  <c r="AC211" i="15"/>
  <c r="AH192" i="15"/>
  <c r="AP217" i="15"/>
  <c r="J216" i="15"/>
  <c r="Z218" i="15"/>
  <c r="J222" i="15"/>
  <c r="W213" i="15"/>
  <c r="U222" i="15"/>
  <c r="AU218" i="15"/>
  <c r="AK181" i="15"/>
  <c r="BG194" i="15"/>
  <c r="AA207" i="15"/>
  <c r="AQ216" i="15"/>
  <c r="BU221" i="15"/>
  <c r="AT210" i="15"/>
  <c r="AG176" i="15"/>
  <c r="H194" i="15"/>
  <c r="BH198" i="15"/>
  <c r="AY207" i="15"/>
  <c r="W206" i="15"/>
  <c r="AE208" i="15"/>
  <c r="BK216" i="15"/>
  <c r="BV199" i="15"/>
  <c r="E215" i="15"/>
  <c r="R208" i="15"/>
  <c r="H221" i="15"/>
  <c r="AB210" i="15"/>
  <c r="U220" i="15"/>
  <c r="O201" i="15"/>
  <c r="AO206" i="15"/>
  <c r="AF218" i="15"/>
  <c r="BB194" i="15"/>
  <c r="BT210" i="15"/>
  <c r="BH213" i="15"/>
  <c r="R223" i="15"/>
  <c r="BN215" i="15"/>
  <c r="K221" i="15"/>
  <c r="AM224" i="15"/>
  <c r="T221" i="15"/>
  <c r="AG225" i="15"/>
  <c r="V222" i="15"/>
  <c r="AF184" i="15"/>
  <c r="H198" i="15"/>
  <c r="BQ206" i="15"/>
  <c r="O192" i="15"/>
  <c r="O221" i="15"/>
  <c r="R225" i="15"/>
  <c r="BS190" i="15"/>
  <c r="S212" i="15"/>
  <c r="AT206" i="15"/>
  <c r="N221" i="15"/>
  <c r="BO221" i="15"/>
  <c r="S209" i="15"/>
  <c r="BQ217" i="15"/>
  <c r="AE210" i="15"/>
  <c r="BA207" i="15"/>
  <c r="P200" i="15"/>
  <c r="BD217" i="15"/>
  <c r="BF221" i="15"/>
  <c r="Y224" i="15"/>
  <c r="BL216" i="15"/>
  <c r="BF217" i="15"/>
  <c r="AP202" i="15"/>
  <c r="BI206" i="15"/>
  <c r="AV208" i="15"/>
  <c r="V211" i="15"/>
  <c r="S214" i="15"/>
  <c r="BT223" i="15"/>
  <c r="R222" i="15"/>
  <c r="BP223" i="15"/>
  <c r="AJ222" i="15"/>
  <c r="H215" i="15"/>
  <c r="AD222" i="15"/>
  <c r="AP220" i="15"/>
  <c r="AZ224" i="15"/>
  <c r="AL218" i="15"/>
  <c r="BM222" i="15"/>
  <c r="BT219" i="15"/>
  <c r="AD224" i="15"/>
  <c r="AH211" i="15"/>
  <c r="AR222" i="15"/>
  <c r="BS219" i="15"/>
  <c r="BV219" i="15"/>
  <c r="AG220" i="15"/>
  <c r="Y215" i="15"/>
  <c r="U178" i="15"/>
  <c r="BN195" i="15"/>
  <c r="AG198" i="15"/>
  <c r="AM212" i="15"/>
  <c r="Z223" i="15"/>
  <c r="L211" i="15"/>
  <c r="AW179" i="15"/>
  <c r="AJ225" i="15"/>
  <c r="X199" i="15"/>
  <c r="Y219" i="15"/>
  <c r="I219" i="15"/>
  <c r="BQ202" i="15"/>
  <c r="L206" i="15"/>
  <c r="AR219" i="15"/>
  <c r="R218" i="15"/>
  <c r="AT209" i="15"/>
  <c r="BF196" i="15"/>
  <c r="AI209" i="15"/>
  <c r="BQ212" i="15"/>
  <c r="AX176" i="15"/>
  <c r="AF193" i="15"/>
  <c r="AV200" i="15"/>
  <c r="N209" i="15"/>
  <c r="V218" i="15"/>
  <c r="AR207" i="15"/>
  <c r="BC168" i="15"/>
  <c r="E187" i="15"/>
  <c r="AO195" i="15"/>
  <c r="BQ199" i="15"/>
  <c r="AR212" i="15"/>
  <c r="BD216" i="15"/>
  <c r="F213" i="15"/>
  <c r="I193" i="15"/>
  <c r="BE210" i="15"/>
  <c r="AJ223" i="15"/>
  <c r="BP219" i="15"/>
  <c r="AS207" i="15"/>
  <c r="J219" i="15"/>
  <c r="AW197" i="15"/>
  <c r="AV225" i="15"/>
  <c r="V225" i="15"/>
  <c r="G218" i="15"/>
  <c r="BM207" i="15"/>
  <c r="AD204" i="15"/>
  <c r="BN218" i="15"/>
  <c r="BD215" i="15"/>
  <c r="AM217" i="15"/>
  <c r="S224" i="15"/>
  <c r="AA219" i="15"/>
  <c r="M225" i="15"/>
  <c r="Q224" i="15"/>
  <c r="AC188" i="15"/>
  <c r="V204" i="15"/>
  <c r="AH219" i="15"/>
  <c r="BU194" i="15"/>
  <c r="AH215" i="15"/>
  <c r="Z214" i="15"/>
  <c r="AR177" i="15"/>
  <c r="AT194" i="15"/>
  <c r="J201" i="15"/>
  <c r="BR219" i="15"/>
  <c r="BU222" i="15"/>
  <c r="BJ217" i="15"/>
  <c r="U223" i="15"/>
  <c r="BT201" i="15"/>
  <c r="BC207" i="15"/>
  <c r="BA212" i="15"/>
  <c r="AM220" i="15"/>
  <c r="AL224" i="15"/>
  <c r="AS225" i="15"/>
  <c r="AZ207" i="15"/>
  <c r="I215" i="15"/>
  <c r="Q225" i="15"/>
  <c r="AO202" i="15"/>
  <c r="BA225" i="15"/>
  <c r="N216" i="15"/>
  <c r="BM215" i="15"/>
  <c r="AJ217" i="15"/>
  <c r="AW222" i="15"/>
  <c r="V214" i="15"/>
  <c r="O222" i="15"/>
  <c r="BJ202" i="15"/>
  <c r="AQ220" i="15"/>
  <c r="N182" i="15"/>
  <c r="AD205" i="15"/>
  <c r="AQ191" i="15"/>
  <c r="BN220" i="15"/>
  <c r="AL205" i="15"/>
  <c r="K180" i="15"/>
  <c r="P201" i="15"/>
  <c r="T197" i="15"/>
  <c r="BM221" i="15"/>
  <c r="BQ210" i="15"/>
  <c r="BP197" i="15"/>
  <c r="L207" i="15"/>
  <c r="AC222" i="15"/>
  <c r="BG214" i="15"/>
  <c r="Y213" i="15"/>
  <c r="L213" i="15"/>
  <c r="BN201" i="15"/>
  <c r="T219" i="15"/>
  <c r="T216" i="15"/>
  <c r="BV217" i="15"/>
  <c r="BP218" i="15"/>
  <c r="H203" i="15"/>
  <c r="W215" i="15"/>
  <c r="I206" i="15"/>
  <c r="BI221" i="15"/>
  <c r="BS225" i="15"/>
  <c r="AN224" i="15"/>
  <c r="BJ224" i="15"/>
  <c r="AS222" i="15"/>
  <c r="AU219" i="15"/>
  <c r="I194" i="15"/>
  <c r="BC225" i="15"/>
  <c r="G223" i="15"/>
  <c r="L223" i="15"/>
  <c r="Y222" i="15"/>
  <c r="AK224" i="15"/>
  <c r="Z224" i="15"/>
  <c r="BK221" i="15"/>
  <c r="BU215" i="15"/>
  <c r="AI223" i="15"/>
  <c r="G217" i="15"/>
  <c r="AH216" i="15"/>
  <c r="BS217" i="15"/>
  <c r="O193" i="15"/>
  <c r="BE207" i="15"/>
  <c r="U209" i="15"/>
  <c r="AA215" i="15"/>
  <c r="AB216" i="15"/>
  <c r="AU221" i="15"/>
  <c r="AJ208" i="15"/>
  <c r="J209" i="15"/>
  <c r="BL221" i="15"/>
  <c r="AL215" i="15"/>
  <c r="BC220" i="15"/>
  <c r="F221" i="15"/>
  <c r="S210" i="15"/>
  <c r="I224" i="15"/>
  <c r="AE218" i="15"/>
  <c r="T215" i="15"/>
  <c r="G196" i="15"/>
  <c r="AP208" i="15"/>
  <c r="AE221" i="15"/>
  <c r="BQ225" i="15"/>
  <c r="Z216" i="15"/>
  <c r="BD209" i="15"/>
  <c r="F218" i="15"/>
  <c r="AG190" i="15"/>
  <c r="AI217" i="15"/>
  <c r="AT220" i="15"/>
  <c r="M222" i="15"/>
  <c r="AW220" i="15"/>
  <c r="S223" i="15"/>
  <c r="AQ221" i="15"/>
  <c r="BR223" i="15"/>
  <c r="H211" i="15"/>
  <c r="I212" i="15"/>
  <c r="AR180" i="15"/>
  <c r="BB197" i="15"/>
  <c r="K200" i="15"/>
  <c r="AW212" i="15"/>
  <c r="BN213" i="15"/>
  <c r="AY209" i="15"/>
  <c r="R220" i="15"/>
  <c r="BA200" i="15"/>
  <c r="AY222" i="15"/>
  <c r="AN210" i="15"/>
  <c r="AC219" i="15"/>
  <c r="I210" i="15"/>
  <c r="AP218" i="15"/>
  <c r="W204" i="15"/>
  <c r="BD207" i="15"/>
  <c r="X225" i="15"/>
  <c r="E191" i="15"/>
  <c r="AE217" i="15"/>
  <c r="F208" i="15"/>
  <c r="AA221" i="15"/>
  <c r="AW218" i="15"/>
  <c r="R216" i="15"/>
  <c r="AP213" i="15"/>
  <c r="E217" i="15"/>
  <c r="BH218" i="15"/>
  <c r="BI222" i="15"/>
  <c r="N218" i="15"/>
  <c r="BE221" i="15"/>
  <c r="BC222" i="15"/>
  <c r="BO220" i="15"/>
  <c r="F224" i="15"/>
  <c r="BS223" i="15"/>
  <c r="G219" i="15"/>
  <c r="S222" i="15"/>
  <c r="V221" i="15"/>
  <c r="O225" i="15"/>
  <c r="BA217" i="15"/>
  <c r="T213" i="15"/>
  <c r="BJ208" i="15"/>
  <c r="T217" i="15"/>
  <c r="AC203" i="15"/>
  <c r="G212" i="15"/>
  <c r="AF213" i="15"/>
  <c r="P218" i="15"/>
  <c r="AR221" i="15"/>
  <c r="BA216" i="15"/>
  <c r="BJ210" i="15"/>
  <c r="AL222" i="15"/>
  <c r="AV204" i="15"/>
  <c r="BO215" i="15"/>
  <c r="G210" i="15"/>
  <c r="W223" i="15"/>
  <c r="BG198" i="15"/>
  <c r="T205" i="15"/>
  <c r="BC197" i="15"/>
  <c r="AZ205" i="15"/>
  <c r="BC217" i="15"/>
  <c r="BC214" i="15"/>
  <c r="M224" i="15"/>
  <c r="AV214" i="15"/>
  <c r="BH219" i="15"/>
  <c r="AM222" i="15"/>
  <c r="BR221" i="15"/>
  <c r="BV223" i="15"/>
  <c r="BS220" i="15"/>
  <c r="H225" i="15"/>
  <c r="BL222" i="15"/>
  <c r="R204" i="15"/>
  <c r="G224" i="15"/>
  <c r="AZ218" i="15"/>
  <c r="F204" i="15"/>
  <c r="P204" i="15"/>
  <c r="Z222" i="15"/>
  <c r="AZ223" i="15"/>
  <c r="U191" i="15"/>
  <c r="AU220" i="15"/>
  <c r="AM210" i="15"/>
  <c r="Q214" i="15"/>
  <c r="T223" i="15"/>
  <c r="AA225" i="15"/>
  <c r="O216" i="15"/>
  <c r="BT221" i="15"/>
  <c r="AW215" i="15"/>
  <c r="AM219" i="15"/>
  <c r="S216" i="15"/>
  <c r="I220" i="15"/>
  <c r="V223" i="15"/>
  <c r="AW224" i="15"/>
  <c r="BU224" i="15"/>
  <c r="BM225" i="15"/>
  <c r="BJ225" i="15"/>
  <c r="BN217" i="15"/>
  <c r="X224" i="15"/>
  <c r="BR214" i="15"/>
  <c r="BE224" i="15"/>
  <c r="AQ225" i="15"/>
  <c r="BB225" i="15"/>
  <c r="AL216" i="15"/>
  <c r="AD219" i="15"/>
  <c r="J196" i="15"/>
  <c r="BJ215" i="15"/>
  <c r="S208" i="15"/>
  <c r="BF209" i="15"/>
  <c r="G221" i="15"/>
  <c r="AI222" i="15"/>
  <c r="AM216" i="15"/>
  <c r="BA219" i="15"/>
  <c r="M219" i="15"/>
  <c r="AD220" i="15"/>
  <c r="J217" i="15"/>
  <c r="AG221" i="15"/>
  <c r="AF222" i="15"/>
  <c r="BK224" i="15"/>
  <c r="BD224" i="15"/>
  <c r="BL224" i="15"/>
  <c r="F223" i="15"/>
  <c r="T214" i="15"/>
  <c r="BB224" i="15"/>
  <c r="AD212" i="15"/>
  <c r="AC223" i="15"/>
  <c r="AF224" i="15"/>
  <c r="AX225" i="15"/>
  <c r="AH223" i="15"/>
  <c r="AL223" i="15"/>
  <c r="V213" i="15"/>
  <c r="AY194" i="15"/>
  <c r="BA202" i="15"/>
  <c r="AZ219" i="15"/>
  <c r="P207" i="15"/>
  <c r="AT214" i="15"/>
  <c r="AU215" i="15"/>
  <c r="O206" i="15"/>
  <c r="AJ220" i="15"/>
  <c r="O219" i="15"/>
  <c r="AS219" i="15"/>
  <c r="AO220" i="15"/>
  <c r="J218" i="15"/>
  <c r="BJ222" i="15"/>
  <c r="BV218" i="15"/>
  <c r="BS224" i="15"/>
  <c r="AB211" i="15"/>
  <c r="AF220" i="15"/>
  <c r="BP220" i="15"/>
  <c r="BI220" i="15"/>
  <c r="Q221" i="15"/>
  <c r="AV220" i="15"/>
  <c r="BQ223" i="15"/>
  <c r="BR220" i="15"/>
  <c r="BR224" i="15"/>
  <c r="AP221" i="15"/>
  <c r="AI202" i="15"/>
  <c r="Y221" i="15"/>
  <c r="G209" i="15"/>
  <c r="BO219" i="15"/>
  <c r="AT217" i="15"/>
  <c r="AL206" i="15"/>
  <c r="X218" i="15"/>
  <c r="BP221" i="15"/>
  <c r="J221" i="15"/>
  <c r="M223" i="15"/>
  <c r="AT211" i="15"/>
  <c r="AO215" i="15"/>
  <c r="L224" i="15"/>
  <c r="BF206" i="15"/>
  <c r="BR205" i="15"/>
  <c r="AU214" i="15"/>
  <c r="H224" i="15"/>
  <c r="AR205" i="15"/>
  <c r="H213" i="15"/>
  <c r="AU201" i="15"/>
  <c r="O224" i="15"/>
  <c r="BM218" i="15"/>
  <c r="P214" i="15"/>
  <c r="W225" i="15"/>
  <c r="BM224" i="15"/>
  <c r="AK220" i="15"/>
  <c r="BE219" i="15"/>
  <c r="AL225" i="15"/>
  <c r="BK210" i="15"/>
  <c r="AO219" i="15"/>
  <c r="BQ220" i="15"/>
  <c r="BI224" i="15"/>
  <c r="H210" i="15"/>
  <c r="AI212" i="15"/>
  <c r="Z221" i="15"/>
  <c r="AA210" i="15"/>
  <c r="J208" i="15"/>
  <c r="AY208" i="15"/>
  <c r="BV224" i="15"/>
  <c r="AU199" i="15"/>
  <c r="AK209" i="15"/>
  <c r="Y218" i="15"/>
  <c r="E213" i="15"/>
  <c r="G225" i="15"/>
  <c r="BC219" i="15"/>
  <c r="BQ213" i="15"/>
  <c r="W222" i="15"/>
  <c r="Y223" i="15"/>
  <c r="BJ223" i="15"/>
  <c r="Y225" i="15"/>
  <c r="BT224" i="15"/>
  <c r="W219" i="15"/>
  <c r="P221" i="15"/>
  <c r="BT217" i="15"/>
  <c r="BV221" i="15"/>
  <c r="AA220" i="15"/>
  <c r="BR213" i="15"/>
  <c r="BL208" i="15"/>
  <c r="AC215" i="15"/>
  <c r="AN217" i="15"/>
  <c r="BH223" i="15"/>
  <c r="BB219" i="15"/>
  <c r="BP222" i="15"/>
  <c r="Y220" i="15"/>
  <c r="P198" i="15"/>
  <c r="BO207" i="15"/>
  <c r="F215" i="15"/>
  <c r="AN222" i="15"/>
  <c r="AS218" i="15"/>
  <c r="AE225" i="15"/>
  <c r="AV213" i="15"/>
  <c r="BK219" i="15"/>
  <c r="L221" i="15"/>
  <c r="BO225" i="15"/>
  <c r="BL223" i="15"/>
  <c r="AS223" i="15"/>
  <c r="BS215" i="15"/>
  <c r="BI219" i="15"/>
  <c r="BE216" i="15"/>
  <c r="AE220" i="15"/>
  <c r="AA217" i="15"/>
  <c r="AQ212" i="15"/>
  <c r="AJ207" i="15"/>
  <c r="BG222" i="15"/>
  <c r="AO216" i="15"/>
  <c r="W220" i="15"/>
  <c r="AY217" i="15"/>
  <c r="W221" i="15"/>
  <c r="BA213" i="15"/>
  <c r="R221" i="15"/>
  <c r="AX216" i="15"/>
  <c r="U217" i="15"/>
  <c r="Q207" i="15"/>
  <c r="O218" i="15"/>
  <c r="AD223" i="15"/>
  <c r="I225" i="15"/>
  <c r="BK220" i="15"/>
  <c r="AH221" i="15"/>
  <c r="AR216" i="15"/>
  <c r="BB217" i="15"/>
  <c r="BI217" i="15"/>
  <c r="BV207" i="15"/>
  <c r="AL217" i="15"/>
  <c r="AV218" i="15"/>
  <c r="AL210" i="15"/>
  <c r="M211" i="15"/>
  <c r="Z199" i="15"/>
  <c r="L214" i="15"/>
  <c r="BU219" i="15"/>
  <c r="AT190" i="15"/>
  <c r="AS214" i="15"/>
  <c r="AM207" i="15"/>
  <c r="AW208" i="15"/>
  <c r="BU220" i="15"/>
  <c r="AM201" i="15"/>
  <c r="M216" i="15"/>
  <c r="AF216" i="15"/>
  <c r="P195" i="15"/>
  <c r="AB214" i="15"/>
  <c r="BQ215" i="15"/>
  <c r="BE222" i="15"/>
  <c r="V208" i="15"/>
  <c r="AV219" i="15"/>
  <c r="M218" i="15"/>
  <c r="BL210" i="15"/>
  <c r="AU223" i="15"/>
  <c r="BL214" i="15"/>
  <c r="AE224" i="15"/>
  <c r="BG223" i="15"/>
  <c r="BQ224" i="15"/>
  <c r="BT220" i="15"/>
  <c r="E220" i="15"/>
  <c r="BC213" i="15"/>
  <c r="BG211" i="15"/>
  <c r="BG219" i="15"/>
  <c r="AI221" i="15"/>
  <c r="T210" i="15"/>
  <c r="AE222" i="15"/>
  <c r="AL214" i="15"/>
  <c r="BE215" i="15"/>
  <c r="BK193" i="15"/>
  <c r="M206" i="15"/>
  <c r="M215" i="15"/>
  <c r="N223" i="15"/>
  <c r="BI202" i="15"/>
  <c r="AO214" i="15"/>
  <c r="U221" i="15"/>
  <c r="AN225" i="15"/>
  <c r="E224" i="15"/>
  <c r="BJ209" i="15"/>
  <c r="BH221" i="15"/>
  <c r="Z219" i="15"/>
  <c r="BB222" i="15"/>
  <c r="I216" i="15"/>
  <c r="BQ219" i="15"/>
  <c r="BK225" i="15"/>
  <c r="AN214" i="15"/>
  <c r="BA224" i="15"/>
  <c r="J215" i="15"/>
  <c r="BU225" i="15"/>
  <c r="AU205" i="15"/>
  <c r="AY218" i="15"/>
  <c r="AW213" i="15"/>
  <c r="AG224" i="15"/>
  <c r="BT214" i="15"/>
  <c r="AU225" i="15"/>
  <c r="AP215" i="15"/>
  <c r="BF216" i="15"/>
  <c r="AW221" i="15"/>
  <c r="Z200" i="15"/>
  <c r="BV212" i="15"/>
  <c r="P215" i="15"/>
  <c r="Z215" i="15"/>
  <c r="AL220" i="15"/>
  <c r="P206" i="15"/>
  <c r="BK215" i="15"/>
  <c r="BK218" i="15"/>
  <c r="T220" i="15"/>
  <c r="BH216" i="15"/>
  <c r="M221" i="15"/>
  <c r="AN220" i="15"/>
  <c r="AA224" i="15"/>
  <c r="AJ224" i="15"/>
  <c r="AB224" i="15"/>
  <c r="AT225" i="15"/>
  <c r="BF204" i="15"/>
  <c r="AM223" i="15"/>
  <c r="M212" i="15"/>
  <c r="Q222" i="15"/>
  <c r="BN223" i="15"/>
  <c r="AD225" i="15"/>
  <c r="P223" i="15"/>
  <c r="AB223" i="15"/>
  <c r="B47" i="15"/>
  <c r="B170" i="15" s="1"/>
  <c r="B169" i="15"/>
  <c r="D43" i="15"/>
  <c r="D106" i="15" s="1"/>
  <c r="C43" i="15"/>
  <c r="C106" i="15" s="1"/>
  <c r="F38" i="15"/>
  <c r="C104" i="8"/>
  <c r="C103" i="8"/>
  <c r="C102" i="8"/>
  <c r="C101" i="8"/>
  <c r="C98" i="8"/>
  <c r="C97" i="8"/>
  <c r="C96" i="8"/>
  <c r="C95" i="8"/>
  <c r="C92" i="8"/>
  <c r="C91" i="8"/>
  <c r="C90" i="8"/>
  <c r="C89" i="8"/>
  <c r="C86" i="8"/>
  <c r="C85" i="8"/>
  <c r="C84" i="8"/>
  <c r="C83" i="8"/>
  <c r="C74" i="8"/>
  <c r="C73" i="8"/>
  <c r="C72" i="8"/>
  <c r="C71" i="8"/>
  <c r="C68" i="8"/>
  <c r="C67" i="8"/>
  <c r="C66" i="8"/>
  <c r="C65" i="8"/>
  <c r="C62" i="8"/>
  <c r="C61" i="8"/>
  <c r="C60" i="8"/>
  <c r="C59" i="8"/>
  <c r="E79" i="8" a="1"/>
  <c r="E13" i="8" a="1"/>
  <c r="O13" i="8" a="1"/>
  <c r="E12" i="8" a="1"/>
  <c r="F12" i="8" a="1"/>
  <c r="N15" i="8" a="1"/>
  <c r="F15" i="8" a="1"/>
  <c r="G14" i="8" a="1"/>
  <c r="F14" i="8" a="1"/>
  <c r="E43" i="15" a="1"/>
  <c r="B7" i="8"/>
  <c r="B8" i="8"/>
  <c r="P12" i="8" a="1"/>
  <c r="D44" i="15" a="1"/>
  <c r="B67" i="8"/>
  <c r="P13" i="8" a="1"/>
  <c r="E14" i="8" a="1"/>
  <c r="C44" i="15" a="1"/>
  <c r="B11" i="8"/>
  <c r="B62" i="8"/>
  <c r="P15" i="8" a="1"/>
  <c r="B68" i="8"/>
  <c r="G13" i="8" a="1"/>
  <c r="O12" i="8" a="1"/>
  <c r="K15" i="8" a="1"/>
  <c r="K14" i="8" a="1"/>
  <c r="E80" i="8" a="1"/>
  <c r="E56" i="8" a="1"/>
  <c r="F39" i="15" a="1"/>
  <c r="B66" i="8"/>
  <c r="B73" i="8"/>
  <c r="L13" i="8" a="1"/>
  <c r="J13" i="8" a="1"/>
  <c r="E78" i="8" a="1"/>
  <c r="K12" i="8" a="1"/>
  <c r="G12" i="8" a="1"/>
  <c r="L15" i="8" a="1"/>
  <c r="J15" i="8" a="1"/>
  <c r="N14" i="8" a="1"/>
  <c r="J14" i="8" a="1"/>
  <c r="E44" i="15" a="1"/>
  <c r="B9" i="8"/>
  <c r="B86" i="8"/>
  <c r="B65" i="8"/>
  <c r="B74" i="8"/>
  <c r="B71" i="8"/>
  <c r="B10" i="8"/>
  <c r="E52" i="8" a="1"/>
  <c r="F13" i="8" a="1"/>
  <c r="K13" i="8" a="1"/>
  <c r="N12" i="8" a="1"/>
  <c r="L12" i="8" a="1"/>
  <c r="E77" i="8" a="1"/>
  <c r="O15" i="8" a="1"/>
  <c r="E15" i="8" a="1"/>
  <c r="E54" i="8" a="1"/>
  <c r="L14" i="8" a="1"/>
  <c r="B72" i="8"/>
  <c r="B104" i="8"/>
  <c r="E55" i="8" a="1"/>
  <c r="N13" i="8" a="1"/>
  <c r="J12" i="8" a="1"/>
  <c r="E53" i="8" a="1"/>
  <c r="G15" i="8" a="1"/>
  <c r="O14" i="8" a="1"/>
  <c r="E76" i="8" a="1"/>
  <c r="E45" i="15" a="1"/>
  <c r="P14" i="8" a="1"/>
  <c r="E39" i="15" a="1"/>
  <c r="E76" i="8" l="1"/>
  <c r="O14" i="8"/>
  <c r="G15" i="8"/>
  <c r="E53" i="8"/>
  <c r="J12" i="8"/>
  <c r="N13" i="8"/>
  <c r="E55" i="8"/>
  <c r="L14" i="8"/>
  <c r="E54" i="8"/>
  <c r="E15" i="8"/>
  <c r="O15" i="8"/>
  <c r="E77" i="8"/>
  <c r="L12" i="8"/>
  <c r="M12" i="8" s="1"/>
  <c r="N12" i="8"/>
  <c r="K13" i="8"/>
  <c r="F13" i="8"/>
  <c r="E52" i="8"/>
  <c r="J14" i="8"/>
  <c r="N14" i="8"/>
  <c r="J15" i="8"/>
  <c r="L15" i="8"/>
  <c r="G12" i="8"/>
  <c r="K12" i="8"/>
  <c r="E78" i="8"/>
  <c r="J13" i="8"/>
  <c r="L13" i="8"/>
  <c r="E56" i="8"/>
  <c r="E80" i="8"/>
  <c r="K14" i="8"/>
  <c r="K15" i="8"/>
  <c r="O12" i="8"/>
  <c r="G13" i="8"/>
  <c r="E14" i="8"/>
  <c r="F14" i="8"/>
  <c r="G14" i="8"/>
  <c r="F15" i="8"/>
  <c r="N15" i="8"/>
  <c r="F12" i="8"/>
  <c r="E12" i="8"/>
  <c r="O13" i="8"/>
  <c r="E13" i="8"/>
  <c r="E79" i="8"/>
  <c r="E39" i="15"/>
  <c r="E105" i="15" s="1"/>
  <c r="P12" i="8"/>
  <c r="P14" i="8"/>
  <c r="P13" i="8"/>
  <c r="P15" i="8"/>
  <c r="E45" i="15"/>
  <c r="D105" i="15"/>
  <c r="D44" i="15"/>
  <c r="D107" i="15" s="1"/>
  <c r="B107" i="15"/>
  <c r="C44" i="15"/>
  <c r="C107" i="15" s="1"/>
  <c r="E44" i="15"/>
  <c r="E43" i="15"/>
  <c r="G38" i="15"/>
  <c r="F39" i="15"/>
  <c r="F105" i="15" s="1"/>
  <c r="Q5" i="8"/>
  <c r="D101" i="8"/>
  <c r="D102" i="8" s="1"/>
  <c r="D103" i="8" s="1"/>
  <c r="D104" i="8" s="1"/>
  <c r="D95" i="8"/>
  <c r="D96" i="8" s="1"/>
  <c r="D97" i="8" s="1"/>
  <c r="D98" i="8" s="1"/>
  <c r="D89" i="8"/>
  <c r="D90" i="8" s="1"/>
  <c r="D91" i="8" s="1"/>
  <c r="D92" i="8" s="1"/>
  <c r="D83" i="8"/>
  <c r="D84" i="8" s="1"/>
  <c r="D85" i="8" s="1"/>
  <c r="D86" i="8" s="1"/>
  <c r="D71" i="8"/>
  <c r="D72" i="8" s="1"/>
  <c r="D73" i="8" s="1"/>
  <c r="D74" i="8" s="1"/>
  <c r="D65" i="8"/>
  <c r="D66" i="8" s="1"/>
  <c r="D67" i="8" s="1"/>
  <c r="D68" i="8" s="1"/>
  <c r="D59" i="8"/>
  <c r="D60" i="8" s="1"/>
  <c r="D61" i="8" s="1"/>
  <c r="D62" i="8" s="1"/>
  <c r="G8" i="8" a="1"/>
  <c r="B61" i="8"/>
  <c r="P10" i="8" a="1"/>
  <c r="J9" i="8" a="1"/>
  <c r="F45" i="15" a="1"/>
  <c r="B82" i="8"/>
  <c r="G11" i="8" a="1"/>
  <c r="O11" i="8" a="1"/>
  <c r="F43" i="15" a="1"/>
  <c r="E68" i="8" a="1"/>
  <c r="P8" i="8" a="1"/>
  <c r="B84" i="8"/>
  <c r="C45" i="15" a="1"/>
  <c r="L10" i="8" a="1"/>
  <c r="B83" i="8"/>
  <c r="O9" i="8" a="1"/>
  <c r="L11" i="8" a="1"/>
  <c r="L9" i="8" a="1"/>
  <c r="G9" i="8" a="1"/>
  <c r="N11" i="8" a="1"/>
  <c r="F44" i="15" a="1"/>
  <c r="O8" i="8" a="1"/>
  <c r="E104" i="8" a="1"/>
  <c r="E86" i="8" a="1"/>
  <c r="O10" i="8" a="1"/>
  <c r="E62" i="8" a="1"/>
  <c r="E74" i="8" a="1"/>
  <c r="B103" i="8"/>
  <c r="B58" i="8"/>
  <c r="D45" i="15" a="1"/>
  <c r="L8" i="8" a="1"/>
  <c r="B102" i="8"/>
  <c r="F11" i="8" a="1"/>
  <c r="N8" i="8" a="1"/>
  <c r="N9" i="8" a="1"/>
  <c r="B64" i="8"/>
  <c r="K11" i="8" a="1"/>
  <c r="K10" i="8" a="1"/>
  <c r="E9" i="8" a="1"/>
  <c r="B59" i="8"/>
  <c r="J10" i="8" a="1"/>
  <c r="K9" i="8" a="1"/>
  <c r="B85" i="8"/>
  <c r="F8" i="8" a="1"/>
  <c r="P9" i="8" a="1"/>
  <c r="B70" i="8"/>
  <c r="G10" i="8" a="1"/>
  <c r="N10" i="8" a="1"/>
  <c r="J11" i="8" a="1"/>
  <c r="E11" i="8" a="1"/>
  <c r="F9" i="8" a="1"/>
  <c r="F10" i="8" a="1"/>
  <c r="J8" i="8" a="1"/>
  <c r="B60" i="8"/>
  <c r="P11" i="8" a="1"/>
  <c r="E10" i="8" a="1"/>
  <c r="K8" i="8" a="1"/>
  <c r="E8" i="8" a="1"/>
  <c r="G39" i="15" a="1"/>
  <c r="H15" i="8" l="1"/>
  <c r="I12" i="8"/>
  <c r="H12" i="8"/>
  <c r="I14" i="8"/>
  <c r="M13" i="8"/>
  <c r="I13" i="8"/>
  <c r="I15" i="8"/>
  <c r="M14" i="8"/>
  <c r="M15" i="8"/>
  <c r="H14" i="8"/>
  <c r="H13" i="8"/>
  <c r="L10" i="8"/>
  <c r="L9" i="8"/>
  <c r="L8" i="8"/>
  <c r="L11" i="8"/>
  <c r="J8" i="8"/>
  <c r="G10" i="8"/>
  <c r="G9" i="8"/>
  <c r="G8" i="8"/>
  <c r="G11" i="8"/>
  <c r="R5" i="8"/>
  <c r="E106" i="15"/>
  <c r="E107" i="15"/>
  <c r="D45" i="15"/>
  <c r="D108" i="15" s="1"/>
  <c r="B108" i="15"/>
  <c r="C45" i="15"/>
  <c r="C108" i="15" s="1"/>
  <c r="F45" i="15"/>
  <c r="F43" i="15"/>
  <c r="F106" i="15" s="1"/>
  <c r="F44" i="15"/>
  <c r="F107" i="15" s="1"/>
  <c r="H38" i="15"/>
  <c r="G39" i="15"/>
  <c r="G105" i="15" s="1"/>
  <c r="P8" i="8"/>
  <c r="P9" i="8"/>
  <c r="P10" i="8"/>
  <c r="P11" i="8"/>
  <c r="O8" i="8"/>
  <c r="O11" i="8"/>
  <c r="O9" i="8"/>
  <c r="O10" i="8"/>
  <c r="N9" i="8"/>
  <c r="N8" i="8"/>
  <c r="N11" i="8"/>
  <c r="N10" i="8"/>
  <c r="K8" i="8"/>
  <c r="K11" i="8"/>
  <c r="K10" i="8"/>
  <c r="K9" i="8"/>
  <c r="J11" i="8"/>
  <c r="I11" i="8" s="1"/>
  <c r="J10" i="8"/>
  <c r="I10" i="8" s="1"/>
  <c r="J9" i="8"/>
  <c r="I9" i="8" s="1"/>
  <c r="F8" i="8"/>
  <c r="F11" i="8"/>
  <c r="F9" i="8"/>
  <c r="F10" i="8"/>
  <c r="E11" i="8"/>
  <c r="E10" i="8"/>
  <c r="E9" i="8"/>
  <c r="E8" i="8"/>
  <c r="E104" i="8"/>
  <c r="E86" i="8"/>
  <c r="E74" i="8"/>
  <c r="E68" i="8"/>
  <c r="E62" i="8"/>
  <c r="F50" i="8"/>
  <c r="E73" i="8" a="1"/>
  <c r="R10" i="8" a="1"/>
  <c r="R9" i="8" a="1"/>
  <c r="F59" i="8" a="1"/>
  <c r="E46" i="15" a="1"/>
  <c r="F67" i="8" a="1"/>
  <c r="Q9" i="8" a="1"/>
  <c r="F55" i="8" a="1"/>
  <c r="F84" i="8" a="1"/>
  <c r="Q12" i="8" a="1"/>
  <c r="Q15" i="8" a="1"/>
  <c r="E82" i="8" a="1"/>
  <c r="D46" i="15" a="1"/>
  <c r="E65" i="8" a="1"/>
  <c r="F82" i="8" a="1"/>
  <c r="E58" i="8" a="1"/>
  <c r="H39" i="15" a="1"/>
  <c r="F102" i="8" a="1"/>
  <c r="F83" i="8" a="1"/>
  <c r="E103" i="8" a="1"/>
  <c r="F104" i="8" a="1"/>
  <c r="C46" i="15" a="1"/>
  <c r="E60" i="8" a="1"/>
  <c r="F58" i="8" a="1"/>
  <c r="R8" i="8" a="1"/>
  <c r="F73" i="8" a="1"/>
  <c r="F61" i="8" a="1"/>
  <c r="G46" i="15" a="1"/>
  <c r="R11" i="8" a="1"/>
  <c r="F52" i="8" a="1"/>
  <c r="B101" i="8"/>
  <c r="F85" i="8" a="1"/>
  <c r="E83" i="8" a="1"/>
  <c r="E84" i="8" a="1"/>
  <c r="F86" i="8" a="1"/>
  <c r="Q8" i="8" a="1"/>
  <c r="E70" i="8" a="1"/>
  <c r="Q10" i="8" a="1"/>
  <c r="G44" i="15" a="1"/>
  <c r="E102" i="8" a="1"/>
  <c r="E72" i="8" a="1"/>
  <c r="F76" i="8" a="1"/>
  <c r="F65" i="8" a="1"/>
  <c r="F53" i="8" a="1"/>
  <c r="E66" i="8" a="1"/>
  <c r="G43" i="15" a="1"/>
  <c r="E85" i="8" a="1"/>
  <c r="F66" i="8" a="1"/>
  <c r="F60" i="8" a="1"/>
  <c r="F103" i="8" a="1"/>
  <c r="F70" i="8" a="1"/>
  <c r="F80" i="8" a="1"/>
  <c r="E64" i="8" a="1"/>
  <c r="F74" i="8" a="1"/>
  <c r="Q13" i="8" a="1"/>
  <c r="F72" i="8" a="1"/>
  <c r="F46" i="15" a="1"/>
  <c r="F54" i="8" a="1"/>
  <c r="F68" i="8" a="1"/>
  <c r="B100" i="8"/>
  <c r="Q14" i="8" a="1"/>
  <c r="E67" i="8" a="1"/>
  <c r="G45" i="15" a="1"/>
  <c r="F78" i="8" a="1"/>
  <c r="F71" i="8" a="1"/>
  <c r="F77" i="8" a="1"/>
  <c r="E59" i="8" a="1"/>
  <c r="F64" i="8" a="1"/>
  <c r="E61" i="8" a="1"/>
  <c r="F56" i="8" a="1"/>
  <c r="Q11" i="8" a="1"/>
  <c r="F79" i="8" a="1"/>
  <c r="E71" i="8" a="1"/>
  <c r="F62" i="8" a="1"/>
  <c r="M10" i="8" l="1"/>
  <c r="M11" i="8"/>
  <c r="M9" i="8"/>
  <c r="M8" i="8"/>
  <c r="I8" i="8"/>
  <c r="H9" i="8"/>
  <c r="H10" i="8"/>
  <c r="H11" i="8"/>
  <c r="H8" i="8"/>
  <c r="Q12" i="8"/>
  <c r="R9" i="8"/>
  <c r="R11" i="8"/>
  <c r="Q15" i="8"/>
  <c r="Q13" i="8"/>
  <c r="Q14" i="8"/>
  <c r="F52" i="8"/>
  <c r="F53" i="8"/>
  <c r="F56" i="8"/>
  <c r="F54" i="8"/>
  <c r="F55" i="8"/>
  <c r="F77" i="8"/>
  <c r="F79" i="8"/>
  <c r="F76" i="8"/>
  <c r="F80" i="8"/>
  <c r="F78" i="8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Q8" i="8"/>
  <c r="Q11" i="8"/>
  <c r="R8" i="8"/>
  <c r="F108" i="15"/>
  <c r="E108" i="15"/>
  <c r="D46" i="15"/>
  <c r="D109" i="15" s="1"/>
  <c r="B109" i="15"/>
  <c r="Q9" i="8"/>
  <c r="Q10" i="8"/>
  <c r="R10" i="8"/>
  <c r="C46" i="15"/>
  <c r="C109" i="15" s="1"/>
  <c r="E46" i="15"/>
  <c r="F46" i="15"/>
  <c r="G45" i="15"/>
  <c r="G108" i="15" s="1"/>
  <c r="G43" i="15"/>
  <c r="G106" i="15" s="1"/>
  <c r="G44" i="15"/>
  <c r="G107" i="15" s="1"/>
  <c r="G46" i="15"/>
  <c r="I38" i="15"/>
  <c r="H39" i="15"/>
  <c r="H105" i="15" s="1"/>
  <c r="F104" i="8"/>
  <c r="F86" i="8"/>
  <c r="F74" i="8"/>
  <c r="F68" i="8"/>
  <c r="F62" i="8"/>
  <c r="E98" i="8"/>
  <c r="E92" i="8"/>
  <c r="E58" i="8"/>
  <c r="E94" i="8" s="1"/>
  <c r="E102" i="8"/>
  <c r="F59" i="8"/>
  <c r="E60" i="8"/>
  <c r="E59" i="8"/>
  <c r="F60" i="8"/>
  <c r="E61" i="8"/>
  <c r="F61" i="8"/>
  <c r="F66" i="8"/>
  <c r="F67" i="8"/>
  <c r="F65" i="8"/>
  <c r="E65" i="8"/>
  <c r="E66" i="8"/>
  <c r="E67" i="8"/>
  <c r="F72" i="8"/>
  <c r="F73" i="8"/>
  <c r="E73" i="8"/>
  <c r="E71" i="8"/>
  <c r="E72" i="8"/>
  <c r="F71" i="8"/>
  <c r="F83" i="8"/>
  <c r="F84" i="8"/>
  <c r="E85" i="8"/>
  <c r="F85" i="8"/>
  <c r="E84" i="8"/>
  <c r="E83" i="8"/>
  <c r="F102" i="8"/>
  <c r="G50" i="8"/>
  <c r="F58" i="8"/>
  <c r="F64" i="8"/>
  <c r="E64" i="8"/>
  <c r="F82" i="8"/>
  <c r="E82" i="8"/>
  <c r="F70" i="8"/>
  <c r="E70" i="8"/>
  <c r="F103" i="8"/>
  <c r="E103" i="8"/>
  <c r="G65" i="8" a="1"/>
  <c r="E100" i="8" a="1"/>
  <c r="H43" i="15" a="1"/>
  <c r="G76" i="8" a="1"/>
  <c r="C47" i="15" a="1"/>
  <c r="G100" i="8" a="1"/>
  <c r="G102" i="8" a="1"/>
  <c r="G77" i="8" a="1"/>
  <c r="G61" i="8" a="1"/>
  <c r="G47" i="15" a="1"/>
  <c r="G59" i="8" a="1"/>
  <c r="G82" i="8" a="1"/>
  <c r="G72" i="8" a="1"/>
  <c r="G79" i="8" a="1"/>
  <c r="G83" i="8" a="1"/>
  <c r="G80" i="8" a="1"/>
  <c r="G67" i="8" a="1"/>
  <c r="G74" i="8" a="1"/>
  <c r="G54" i="8" a="1"/>
  <c r="G64" i="8" a="1"/>
  <c r="F101" i="8" a="1"/>
  <c r="R14" i="8" a="1"/>
  <c r="G103" i="8" a="1"/>
  <c r="E101" i="8" a="1"/>
  <c r="G104" i="8" a="1"/>
  <c r="G85" i="8" a="1"/>
  <c r="R12" i="8" a="1"/>
  <c r="G58" i="8" a="1"/>
  <c r="G68" i="8" a="1"/>
  <c r="E47" i="15" a="1"/>
  <c r="H44" i="15" a="1"/>
  <c r="R15" i="8" a="1"/>
  <c r="G84" i="8" a="1"/>
  <c r="H45" i="15" a="1"/>
  <c r="G73" i="8" a="1"/>
  <c r="G52" i="8" a="1"/>
  <c r="G66" i="8" a="1"/>
  <c r="H47" i="15" a="1"/>
  <c r="R13" i="8" a="1"/>
  <c r="G71" i="8" a="1"/>
  <c r="G56" i="8" a="1"/>
  <c r="G55" i="8" a="1"/>
  <c r="F47" i="15" a="1"/>
  <c r="F100" i="8" a="1"/>
  <c r="G60" i="8" a="1"/>
  <c r="G62" i="8" a="1"/>
  <c r="G70" i="8" a="1"/>
  <c r="G53" i="8" a="1"/>
  <c r="G101" i="8" a="1"/>
  <c r="D47" i="15" a="1"/>
  <c r="G78" i="8" a="1"/>
  <c r="H46" i="15" a="1"/>
  <c r="G86" i="8" a="1"/>
  <c r="R14" i="8" l="1"/>
  <c r="R12" i="8"/>
  <c r="R15" i="8"/>
  <c r="R13" i="8"/>
  <c r="G56" i="8"/>
  <c r="G54" i="8"/>
  <c r="G52" i="8"/>
  <c r="G53" i="8"/>
  <c r="G55" i="8"/>
  <c r="G80" i="8"/>
  <c r="G78" i="8"/>
  <c r="G76" i="8"/>
  <c r="G77" i="8"/>
  <c r="G79" i="8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G109" i="15"/>
  <c r="F109" i="15"/>
  <c r="E109" i="15"/>
  <c r="D47" i="15"/>
  <c r="D110" i="15" s="1"/>
  <c r="B110" i="15"/>
  <c r="C47" i="15"/>
  <c r="C110" i="15" s="1"/>
  <c r="E47" i="15"/>
  <c r="F47" i="15"/>
  <c r="G47" i="15"/>
  <c r="H46" i="15"/>
  <c r="H109" i="15" s="1"/>
  <c r="H45" i="15"/>
  <c r="H108" i="15" s="1"/>
  <c r="H47" i="15"/>
  <c r="H44" i="15"/>
  <c r="H107" i="15" s="1"/>
  <c r="H43" i="15"/>
  <c r="H106" i="15" s="1"/>
  <c r="J38" i="15"/>
  <c r="B48" i="15"/>
  <c r="B171" i="15" s="1"/>
  <c r="F98" i="8"/>
  <c r="F92" i="8"/>
  <c r="G104" i="8"/>
  <c r="G86" i="8"/>
  <c r="G74" i="8"/>
  <c r="G68" i="8"/>
  <c r="G62" i="8"/>
  <c r="G61" i="8"/>
  <c r="G59" i="8"/>
  <c r="G60" i="8"/>
  <c r="G67" i="8"/>
  <c r="G65" i="8"/>
  <c r="G66" i="8"/>
  <c r="G73" i="8"/>
  <c r="G72" i="8"/>
  <c r="G71" i="8"/>
  <c r="G84" i="8"/>
  <c r="G85" i="8"/>
  <c r="G83" i="8"/>
  <c r="F91" i="8"/>
  <c r="E89" i="8"/>
  <c r="E91" i="8"/>
  <c r="F90" i="8"/>
  <c r="F89" i="8"/>
  <c r="E90" i="8"/>
  <c r="G102" i="8"/>
  <c r="G58" i="8"/>
  <c r="G88" i="8" s="1"/>
  <c r="G64" i="8"/>
  <c r="G82" i="8"/>
  <c r="G70" i="8"/>
  <c r="G103" i="8"/>
  <c r="H50" i="8"/>
  <c r="E96" i="8"/>
  <c r="E97" i="8"/>
  <c r="F95" i="8"/>
  <c r="F97" i="8"/>
  <c r="F96" i="8"/>
  <c r="E95" i="8"/>
  <c r="F88" i="8"/>
  <c r="F94" i="8"/>
  <c r="E88" i="8"/>
  <c r="G101" i="8"/>
  <c r="F101" i="8"/>
  <c r="E101" i="8"/>
  <c r="F100" i="8"/>
  <c r="G100" i="8"/>
  <c r="E100" i="8"/>
  <c r="H55" i="8" a="1"/>
  <c r="H62" i="8" a="1"/>
  <c r="H60" i="8" a="1"/>
  <c r="I39" i="15" a="1"/>
  <c r="H61" i="8" a="1"/>
  <c r="H66" i="8" a="1"/>
  <c r="I45" i="15" a="1"/>
  <c r="H65" i="8" a="1"/>
  <c r="F48" i="15" a="1"/>
  <c r="I48" i="15" a="1"/>
  <c r="H67" i="8" a="1"/>
  <c r="H71" i="8" a="1"/>
  <c r="H68" i="8" a="1"/>
  <c r="H80" i="8" a="1"/>
  <c r="H84" i="8" a="1"/>
  <c r="H102" i="8" a="1"/>
  <c r="I46" i="15" a="1"/>
  <c r="H59" i="8" a="1"/>
  <c r="H56" i="8" a="1"/>
  <c r="H64" i="8" a="1"/>
  <c r="I44" i="15" a="1"/>
  <c r="C48" i="15" a="1"/>
  <c r="H54" i="8" a="1"/>
  <c r="H79" i="8" a="1"/>
  <c r="H53" i="8" a="1"/>
  <c r="H76" i="8" a="1"/>
  <c r="H103" i="8" a="1"/>
  <c r="H48" i="15" a="1"/>
  <c r="H82" i="8" a="1"/>
  <c r="I47" i="15" a="1"/>
  <c r="I43" i="15" a="1"/>
  <c r="H101" i="8" a="1"/>
  <c r="E48" i="15" a="1"/>
  <c r="H85" i="8" a="1"/>
  <c r="H100" i="8" a="1"/>
  <c r="H83" i="8" a="1"/>
  <c r="H78" i="8" a="1"/>
  <c r="H70" i="8" a="1"/>
  <c r="H74" i="8" a="1"/>
  <c r="H52" i="8" a="1"/>
  <c r="H86" i="8" a="1"/>
  <c r="H72" i="8" a="1"/>
  <c r="H73" i="8" a="1"/>
  <c r="H77" i="8" a="1"/>
  <c r="G48" i="15" a="1"/>
  <c r="D48" i="15" a="1"/>
  <c r="H58" i="8" a="1"/>
  <c r="H104" i="8" a="1"/>
  <c r="K38" i="15" l="1"/>
  <c r="H55" i="8"/>
  <c r="H56" i="8"/>
  <c r="H54" i="8"/>
  <c r="H52" i="8"/>
  <c r="H53" i="8"/>
  <c r="H76" i="8"/>
  <c r="H80" i="8"/>
  <c r="H78" i="8"/>
  <c r="H77" i="8"/>
  <c r="H79" i="8"/>
  <c r="H110" i="15"/>
  <c r="F110" i="15"/>
  <c r="E110" i="15"/>
  <c r="G110" i="15"/>
  <c r="D48" i="15"/>
  <c r="D111" i="15" s="1"/>
  <c r="B111" i="15"/>
  <c r="I39" i="15"/>
  <c r="I105" i="15" s="1"/>
  <c r="C48" i="15"/>
  <c r="C111" i="15" s="1"/>
  <c r="E48" i="15"/>
  <c r="F48" i="15"/>
  <c r="G48" i="15"/>
  <c r="H48" i="15"/>
  <c r="I43" i="15"/>
  <c r="I106" i="15" s="1"/>
  <c r="I45" i="15"/>
  <c r="I108" i="15" s="1"/>
  <c r="I46" i="15"/>
  <c r="I109" i="15" s="1"/>
  <c r="I47" i="15"/>
  <c r="I110" i="15" s="1"/>
  <c r="I48" i="15"/>
  <c r="I44" i="15"/>
  <c r="I107" i="15" s="1"/>
  <c r="B49" i="15"/>
  <c r="B172" i="15" s="1"/>
  <c r="G92" i="8"/>
  <c r="G98" i="8"/>
  <c r="H104" i="8"/>
  <c r="H86" i="8"/>
  <c r="H74" i="8"/>
  <c r="H68" i="8"/>
  <c r="H62" i="8"/>
  <c r="G89" i="8"/>
  <c r="H61" i="8"/>
  <c r="H59" i="8"/>
  <c r="H60" i="8"/>
  <c r="H66" i="8"/>
  <c r="H65" i="8"/>
  <c r="H67" i="8"/>
  <c r="H71" i="8"/>
  <c r="H73" i="8"/>
  <c r="H72" i="8"/>
  <c r="H85" i="8"/>
  <c r="H83" i="8"/>
  <c r="H84" i="8"/>
  <c r="G90" i="8"/>
  <c r="G91" i="8"/>
  <c r="G94" i="8"/>
  <c r="G95" i="8"/>
  <c r="G97" i="8"/>
  <c r="H102" i="8"/>
  <c r="H58" i="8"/>
  <c r="H64" i="8"/>
  <c r="H82" i="8"/>
  <c r="H70" i="8"/>
  <c r="H103" i="8"/>
  <c r="H101" i="8"/>
  <c r="H100" i="8"/>
  <c r="I50" i="8"/>
  <c r="G96" i="8"/>
  <c r="J43" i="15" a="1"/>
  <c r="D49" i="15" a="1"/>
  <c r="I61" i="8" a="1"/>
  <c r="I86" i="8" a="1"/>
  <c r="I70" i="8" a="1"/>
  <c r="I80" i="8" a="1"/>
  <c r="K48" i="15" a="1"/>
  <c r="I100" i="8" a="1"/>
  <c r="I53" i="8" a="1"/>
  <c r="I67" i="8" a="1"/>
  <c r="J48" i="15" a="1"/>
  <c r="K45" i="15" a="1"/>
  <c r="I68" i="8" a="1"/>
  <c r="I54" i="8" a="1"/>
  <c r="J45" i="15" a="1"/>
  <c r="I84" i="8" a="1"/>
  <c r="K46" i="15" a="1"/>
  <c r="I59" i="8" a="1"/>
  <c r="I83" i="8" a="1"/>
  <c r="I101" i="8" a="1"/>
  <c r="J44" i="15" a="1"/>
  <c r="I77" i="8" a="1"/>
  <c r="G49" i="15" a="1"/>
  <c r="I102" i="8" a="1"/>
  <c r="I103" i="8" a="1"/>
  <c r="I72" i="8" a="1"/>
  <c r="F49" i="15" a="1"/>
  <c r="I64" i="8" a="1"/>
  <c r="I71" i="8" a="1"/>
  <c r="I104" i="8" a="1"/>
  <c r="I56" i="8" a="1"/>
  <c r="K47" i="15" a="1"/>
  <c r="J39" i="15" a="1"/>
  <c r="I62" i="8" a="1"/>
  <c r="I74" i="8" a="1"/>
  <c r="J49" i="15" a="1"/>
  <c r="K44" i="15" a="1"/>
  <c r="J47" i="15" a="1"/>
  <c r="I82" i="8" a="1"/>
  <c r="I49" i="15" a="1"/>
  <c r="I66" i="8" a="1"/>
  <c r="I76" i="8" a="1"/>
  <c r="I73" i="8" a="1"/>
  <c r="I85" i="8" a="1"/>
  <c r="E49" i="15" a="1"/>
  <c r="I55" i="8" a="1"/>
  <c r="H49" i="15" a="1"/>
  <c r="I52" i="8" a="1"/>
  <c r="I58" i="8" a="1"/>
  <c r="I79" i="8" a="1"/>
  <c r="J46" i="15" a="1"/>
  <c r="I65" i="8" a="1"/>
  <c r="C49" i="15" a="1"/>
  <c r="I78" i="8" a="1"/>
  <c r="I60" i="8" a="1"/>
  <c r="L38" i="15" l="1"/>
  <c r="M38" i="15" s="1"/>
  <c r="I54" i="8"/>
  <c r="I56" i="8"/>
  <c r="I53" i="8"/>
  <c r="I52" i="8"/>
  <c r="I55" i="8"/>
  <c r="I78" i="8"/>
  <c r="I76" i="8"/>
  <c r="I79" i="8"/>
  <c r="I77" i="8"/>
  <c r="I80" i="8"/>
  <c r="J39" i="15"/>
  <c r="J105" i="15" s="1"/>
  <c r="H111" i="15"/>
  <c r="F111" i="15"/>
  <c r="G111" i="15"/>
  <c r="I111" i="15"/>
  <c r="E111" i="15"/>
  <c r="D49" i="15"/>
  <c r="D112" i="15" s="1"/>
  <c r="B112" i="15"/>
  <c r="C49" i="15"/>
  <c r="C112" i="15" s="1"/>
  <c r="E49" i="15"/>
  <c r="F49" i="15"/>
  <c r="G49" i="15"/>
  <c r="H49" i="15"/>
  <c r="I49" i="15"/>
  <c r="J45" i="15"/>
  <c r="J108" i="15" s="1"/>
  <c r="J43" i="15"/>
  <c r="J106" i="15" s="1"/>
  <c r="J49" i="15"/>
  <c r="J48" i="15"/>
  <c r="J111" i="15" s="1"/>
  <c r="K48" i="15"/>
  <c r="K111" i="15" s="1"/>
  <c r="J44" i="15"/>
  <c r="J107" i="15" s="1"/>
  <c r="J47" i="15"/>
  <c r="J110" i="15" s="1"/>
  <c r="K46" i="15"/>
  <c r="K109" i="15" s="1"/>
  <c r="K47" i="15"/>
  <c r="K110" i="15" s="1"/>
  <c r="K44" i="15"/>
  <c r="K107" i="15" s="1"/>
  <c r="J46" i="15"/>
  <c r="J109" i="15" s="1"/>
  <c r="K45" i="15"/>
  <c r="K108" i="15" s="1"/>
  <c r="B50" i="15"/>
  <c r="B173" i="15" s="1"/>
  <c r="H92" i="8"/>
  <c r="H98" i="8"/>
  <c r="I104" i="8"/>
  <c r="I86" i="8"/>
  <c r="I74" i="8"/>
  <c r="I68" i="8"/>
  <c r="I62" i="8"/>
  <c r="I58" i="8"/>
  <c r="I59" i="8"/>
  <c r="I60" i="8"/>
  <c r="H89" i="8"/>
  <c r="I61" i="8"/>
  <c r="I65" i="8"/>
  <c r="I67" i="8"/>
  <c r="I66" i="8"/>
  <c r="I72" i="8"/>
  <c r="I71" i="8"/>
  <c r="I73" i="8"/>
  <c r="I83" i="8"/>
  <c r="I84" i="8"/>
  <c r="I85" i="8"/>
  <c r="H90" i="8"/>
  <c r="H91" i="8"/>
  <c r="H97" i="8"/>
  <c r="H95" i="8"/>
  <c r="I102" i="8"/>
  <c r="I64" i="8"/>
  <c r="I82" i="8"/>
  <c r="I70" i="8"/>
  <c r="I103" i="8"/>
  <c r="I101" i="8"/>
  <c r="I100" i="8"/>
  <c r="H94" i="8"/>
  <c r="H88" i="8"/>
  <c r="J50" i="8"/>
  <c r="H96" i="8"/>
  <c r="K49" i="15" a="1"/>
  <c r="K39" i="15" a="1"/>
  <c r="H50" i="15" a="1"/>
  <c r="J78" i="8" a="1"/>
  <c r="J86" i="8" a="1"/>
  <c r="J61" i="8" a="1"/>
  <c r="J79" i="8" a="1"/>
  <c r="L39" i="15" a="1"/>
  <c r="J66" i="8" a="1"/>
  <c r="L47" i="15" a="1"/>
  <c r="J60" i="8" a="1"/>
  <c r="G50" i="15" a="1"/>
  <c r="J72" i="8" a="1"/>
  <c r="J103" i="8" a="1"/>
  <c r="J53" i="8" a="1"/>
  <c r="L48" i="15" a="1"/>
  <c r="J59" i="8" a="1"/>
  <c r="J50" i="15" a="1"/>
  <c r="J80" i="8" a="1"/>
  <c r="E50" i="15" a="1"/>
  <c r="L49" i="15" a="1"/>
  <c r="J82" i="8" a="1"/>
  <c r="I50" i="15" a="1"/>
  <c r="J104" i="8" a="1"/>
  <c r="J68" i="8" a="1"/>
  <c r="D50" i="15" a="1"/>
  <c r="J52" i="8" a="1"/>
  <c r="J83" i="8" a="1"/>
  <c r="J100" i="8" a="1"/>
  <c r="J71" i="8" a="1"/>
  <c r="J77" i="8" a="1"/>
  <c r="J56" i="8" a="1"/>
  <c r="J76" i="8" a="1"/>
  <c r="J62" i="8" a="1"/>
  <c r="J55" i="8" a="1"/>
  <c r="J101" i="8" a="1"/>
  <c r="F50" i="15" a="1"/>
  <c r="J102" i="8" a="1"/>
  <c r="C50" i="15" a="1"/>
  <c r="L43" i="15" a="1"/>
  <c r="L44" i="15" a="1"/>
  <c r="J67" i="8" a="1"/>
  <c r="L50" i="15" a="1"/>
  <c r="L46" i="15" a="1"/>
  <c r="J54" i="8" a="1"/>
  <c r="J74" i="8" a="1"/>
  <c r="J70" i="8" a="1"/>
  <c r="J73" i="8" a="1"/>
  <c r="J85" i="8" a="1"/>
  <c r="J58" i="8" a="1"/>
  <c r="L45" i="15" a="1"/>
  <c r="J64" i="8" a="1"/>
  <c r="K50" i="15" a="1"/>
  <c r="J84" i="8" a="1"/>
  <c r="K43" i="15" a="1"/>
  <c r="J65" i="8" a="1"/>
  <c r="K49" i="15" l="1"/>
  <c r="K112" i="15" s="1"/>
  <c r="K43" i="15"/>
  <c r="K106" i="15" s="1"/>
  <c r="K39" i="15"/>
  <c r="K105" i="15" s="1"/>
  <c r="F112" i="15"/>
  <c r="J53" i="8"/>
  <c r="J56" i="8"/>
  <c r="J54" i="8"/>
  <c r="J52" i="8"/>
  <c r="J55" i="8"/>
  <c r="J77" i="8"/>
  <c r="J76" i="8"/>
  <c r="J79" i="8"/>
  <c r="J78" i="8"/>
  <c r="J80" i="8"/>
  <c r="I112" i="15"/>
  <c r="E112" i="15"/>
  <c r="J112" i="15"/>
  <c r="H112" i="15"/>
  <c r="G112" i="15"/>
  <c r="D50" i="15"/>
  <c r="D113" i="15" s="1"/>
  <c r="B113" i="15"/>
  <c r="C50" i="15"/>
  <c r="C113" i="15" s="1"/>
  <c r="E50" i="15"/>
  <c r="F50" i="15"/>
  <c r="G50" i="15"/>
  <c r="H50" i="15"/>
  <c r="I50" i="15"/>
  <c r="K50" i="15"/>
  <c r="J50" i="15"/>
  <c r="L45" i="15"/>
  <c r="L108" i="15" s="1"/>
  <c r="L47" i="15"/>
  <c r="L110" i="15" s="1"/>
  <c r="L50" i="15"/>
  <c r="L44" i="15"/>
  <c r="L107" i="15" s="1"/>
  <c r="L43" i="15"/>
  <c r="L106" i="15" s="1"/>
  <c r="L46" i="15"/>
  <c r="L109" i="15" s="1"/>
  <c r="L48" i="15"/>
  <c r="L111" i="15" s="1"/>
  <c r="L49" i="15"/>
  <c r="L112" i="15" s="1"/>
  <c r="L39" i="15"/>
  <c r="L105" i="15" s="1"/>
  <c r="N38" i="15"/>
  <c r="B51" i="15"/>
  <c r="B174" i="15" s="1"/>
  <c r="I92" i="8"/>
  <c r="J104" i="8"/>
  <c r="J86" i="8"/>
  <c r="J74" i="8"/>
  <c r="J68" i="8"/>
  <c r="J62" i="8"/>
  <c r="I98" i="8"/>
  <c r="I90" i="8"/>
  <c r="I89" i="8"/>
  <c r="J61" i="8"/>
  <c r="J60" i="8"/>
  <c r="J59" i="8"/>
  <c r="J65" i="8"/>
  <c r="J67" i="8"/>
  <c r="J66" i="8"/>
  <c r="J71" i="8"/>
  <c r="J72" i="8"/>
  <c r="J73" i="8"/>
  <c r="J84" i="8"/>
  <c r="J85" i="8"/>
  <c r="J83" i="8"/>
  <c r="I91" i="8"/>
  <c r="I97" i="8"/>
  <c r="J102" i="8"/>
  <c r="J58" i="8"/>
  <c r="J64" i="8"/>
  <c r="J82" i="8"/>
  <c r="J70" i="8"/>
  <c r="J103" i="8"/>
  <c r="J101" i="8"/>
  <c r="J100" i="8"/>
  <c r="I95" i="8"/>
  <c r="I94" i="8"/>
  <c r="I88" i="8"/>
  <c r="K50" i="8"/>
  <c r="I96" i="8"/>
  <c r="M44" i="15" a="1"/>
  <c r="K77" i="8" a="1"/>
  <c r="K56" i="8" a="1"/>
  <c r="K58" i="8" a="1"/>
  <c r="K78" i="8" a="1"/>
  <c r="M50" i="15" a="1"/>
  <c r="K83" i="8" a="1"/>
  <c r="K74" i="8" a="1"/>
  <c r="K59" i="8" a="1"/>
  <c r="K66" i="8" a="1"/>
  <c r="K65" i="8" a="1"/>
  <c r="G51" i="15" a="1"/>
  <c r="K104" i="8" a="1"/>
  <c r="M45" i="15" a="1"/>
  <c r="K51" i="15" a="1"/>
  <c r="K53" i="8" a="1"/>
  <c r="K103" i="8" a="1"/>
  <c r="M47" i="15" a="1"/>
  <c r="K101" i="8" a="1"/>
  <c r="K82" i="8" a="1"/>
  <c r="D51" i="15" a="1"/>
  <c r="K85" i="8" a="1"/>
  <c r="K72" i="8" a="1"/>
  <c r="K71" i="8" a="1"/>
  <c r="K55" i="8" a="1"/>
  <c r="M48" i="15" a="1"/>
  <c r="L51" i="15" a="1"/>
  <c r="K76" i="8" a="1"/>
  <c r="F51" i="15" a="1"/>
  <c r="M46" i="15" a="1"/>
  <c r="C51" i="15" a="1"/>
  <c r="K73" i="8" a="1"/>
  <c r="M49" i="15" a="1"/>
  <c r="I51" i="15" a="1"/>
  <c r="K70" i="8" a="1"/>
  <c r="K52" i="8" a="1"/>
  <c r="H51" i="15" a="1"/>
  <c r="M43" i="15" a="1"/>
  <c r="K79" i="8" a="1"/>
  <c r="E51" i="15" a="1"/>
  <c r="K62" i="8" a="1"/>
  <c r="K84" i="8" a="1"/>
  <c r="K54" i="8" a="1"/>
  <c r="K67" i="8" a="1"/>
  <c r="K60" i="8" a="1"/>
  <c r="K68" i="8" a="1"/>
  <c r="M39" i="15" a="1"/>
  <c r="K61" i="8" a="1"/>
  <c r="M51" i="15" a="1"/>
  <c r="K64" i="8" a="1"/>
  <c r="K86" i="8" a="1"/>
  <c r="J51" i="15" a="1"/>
  <c r="K100" i="8" a="1"/>
  <c r="K80" i="8" a="1"/>
  <c r="K102" i="8" a="1"/>
  <c r="L113" i="15" l="1"/>
  <c r="K113" i="15"/>
  <c r="F113" i="15"/>
  <c r="K55" i="8"/>
  <c r="K52" i="8"/>
  <c r="K54" i="8"/>
  <c r="K53" i="8"/>
  <c r="K56" i="8"/>
  <c r="K76" i="8"/>
  <c r="K77" i="8"/>
  <c r="K79" i="8"/>
  <c r="K80" i="8"/>
  <c r="K78" i="8"/>
  <c r="H113" i="15"/>
  <c r="J113" i="15"/>
  <c r="G113" i="15"/>
  <c r="I113" i="15"/>
  <c r="E113" i="15"/>
  <c r="D51" i="15"/>
  <c r="D114" i="15" s="1"/>
  <c r="B114" i="15"/>
  <c r="C51" i="15"/>
  <c r="C114" i="15" s="1"/>
  <c r="E51" i="15"/>
  <c r="F51" i="15"/>
  <c r="G51" i="15"/>
  <c r="H51" i="15"/>
  <c r="I51" i="15"/>
  <c r="K51" i="15"/>
  <c r="J51" i="15"/>
  <c r="L51" i="15"/>
  <c r="M43" i="15"/>
  <c r="M106" i="15" s="1"/>
  <c r="M46" i="15"/>
  <c r="M109" i="15" s="1"/>
  <c r="M51" i="15"/>
  <c r="M48" i="15"/>
  <c r="M111" i="15" s="1"/>
  <c r="M45" i="15"/>
  <c r="M108" i="15" s="1"/>
  <c r="M47" i="15"/>
  <c r="M110" i="15" s="1"/>
  <c r="M49" i="15"/>
  <c r="M112" i="15" s="1"/>
  <c r="M44" i="15"/>
  <c r="M107" i="15" s="1"/>
  <c r="M50" i="15"/>
  <c r="M113" i="15" s="1"/>
  <c r="M39" i="15"/>
  <c r="M105" i="15" s="1"/>
  <c r="O38" i="15"/>
  <c r="B52" i="15"/>
  <c r="B175" i="15" s="1"/>
  <c r="K104" i="8"/>
  <c r="K86" i="8"/>
  <c r="K74" i="8"/>
  <c r="K68" i="8"/>
  <c r="K62" i="8"/>
  <c r="J98" i="8"/>
  <c r="J92" i="8"/>
  <c r="J91" i="8"/>
  <c r="J89" i="8"/>
  <c r="K60" i="8"/>
  <c r="K61" i="8"/>
  <c r="K59" i="8"/>
  <c r="K65" i="8"/>
  <c r="K67" i="8"/>
  <c r="K66" i="8"/>
  <c r="K72" i="8"/>
  <c r="K71" i="8"/>
  <c r="K73" i="8"/>
  <c r="K83" i="8"/>
  <c r="K84" i="8"/>
  <c r="K85" i="8"/>
  <c r="J90" i="8"/>
  <c r="J97" i="8"/>
  <c r="K102" i="8"/>
  <c r="K58" i="8"/>
  <c r="K64" i="8"/>
  <c r="K82" i="8"/>
  <c r="K70" i="8"/>
  <c r="K103" i="8"/>
  <c r="K101" i="8"/>
  <c r="K100" i="8"/>
  <c r="J95" i="8"/>
  <c r="J94" i="8"/>
  <c r="J88" i="8"/>
  <c r="L50" i="8"/>
  <c r="J96" i="8"/>
  <c r="N44" i="15" a="1"/>
  <c r="L70" i="8" a="1"/>
  <c r="L76" i="8" a="1"/>
  <c r="L74" i="8" a="1"/>
  <c r="L58" i="8" a="1"/>
  <c r="L83" i="8" a="1"/>
  <c r="L66" i="8" a="1"/>
  <c r="L80" i="8" a="1"/>
  <c r="E52" i="15" a="1"/>
  <c r="L85" i="8" a="1"/>
  <c r="L52" i="8" a="1"/>
  <c r="L65" i="8" a="1"/>
  <c r="L72" i="8" a="1"/>
  <c r="L78" i="8" a="1"/>
  <c r="L73" i="8" a="1"/>
  <c r="N45" i="15" a="1"/>
  <c r="L86" i="8" a="1"/>
  <c r="L71" i="8" a="1"/>
  <c r="C52" i="15" a="1"/>
  <c r="N51" i="15" a="1"/>
  <c r="L103" i="8" a="1"/>
  <c r="L79" i="8" a="1"/>
  <c r="L59" i="8" a="1"/>
  <c r="L61" i="8" a="1"/>
  <c r="L54" i="8" a="1"/>
  <c r="K52" i="15" a="1"/>
  <c r="L77" i="8" a="1"/>
  <c r="N43" i="15" a="1"/>
  <c r="L67" i="8" a="1"/>
  <c r="N39" i="15" a="1"/>
  <c r="D52" i="15" a="1"/>
  <c r="N46" i="15" a="1"/>
  <c r="J52" i="15" a="1"/>
  <c r="L55" i="8" a="1"/>
  <c r="F52" i="15" a="1"/>
  <c r="L101" i="8" a="1"/>
  <c r="L62" i="8" a="1"/>
  <c r="L56" i="8" a="1"/>
  <c r="I52" i="15" a="1"/>
  <c r="L60" i="8" a="1"/>
  <c r="H52" i="15" a="1"/>
  <c r="L102" i="8" a="1"/>
  <c r="N50" i="15" a="1"/>
  <c r="L82" i="8" a="1"/>
  <c r="M52" i="15" a="1"/>
  <c r="G52" i="15" a="1"/>
  <c r="L52" i="15" a="1"/>
  <c r="N47" i="15" a="1"/>
  <c r="L53" i="8" a="1"/>
  <c r="L100" i="8" a="1"/>
  <c r="N49" i="15" a="1"/>
  <c r="L84" i="8" a="1"/>
  <c r="N48" i="15" a="1"/>
  <c r="L64" i="8" a="1"/>
  <c r="L104" i="8" a="1"/>
  <c r="N52" i="15" a="1"/>
  <c r="L68" i="8" a="1"/>
  <c r="L54" i="8" l="1"/>
  <c r="L55" i="8"/>
  <c r="L52" i="8"/>
  <c r="L53" i="8"/>
  <c r="L56" i="8"/>
  <c r="L78" i="8"/>
  <c r="L77" i="8"/>
  <c r="L79" i="8"/>
  <c r="L76" i="8"/>
  <c r="L80" i="8"/>
  <c r="K114" i="15"/>
  <c r="F114" i="15"/>
  <c r="M114" i="15"/>
  <c r="J114" i="15"/>
  <c r="G114" i="15"/>
  <c r="I114" i="15"/>
  <c r="E114" i="15"/>
  <c r="L114" i="15"/>
  <c r="H114" i="15"/>
  <c r="D52" i="15"/>
  <c r="D115" i="15" s="1"/>
  <c r="B115" i="15"/>
  <c r="C52" i="15"/>
  <c r="C115" i="15" s="1"/>
  <c r="E52" i="15"/>
  <c r="F52" i="15"/>
  <c r="G52" i="15"/>
  <c r="H52" i="15"/>
  <c r="I52" i="15"/>
  <c r="J52" i="15"/>
  <c r="K52" i="15"/>
  <c r="L52" i="15"/>
  <c r="M52" i="15"/>
  <c r="N44" i="15"/>
  <c r="N107" i="15" s="1"/>
  <c r="N43" i="15"/>
  <c r="N106" i="15" s="1"/>
  <c r="N49" i="15"/>
  <c r="N112" i="15" s="1"/>
  <c r="N46" i="15"/>
  <c r="N109" i="15" s="1"/>
  <c r="N50" i="15"/>
  <c r="N113" i="15" s="1"/>
  <c r="N45" i="15"/>
  <c r="N108" i="15" s="1"/>
  <c r="N52" i="15"/>
  <c r="N51" i="15"/>
  <c r="N114" i="15" s="1"/>
  <c r="N47" i="15"/>
  <c r="N110" i="15" s="1"/>
  <c r="N48" i="15"/>
  <c r="N111" i="15" s="1"/>
  <c r="N39" i="15"/>
  <c r="N105" i="15" s="1"/>
  <c r="P38" i="15"/>
  <c r="B53" i="15"/>
  <c r="B176" i="15" s="1"/>
  <c r="K98" i="8"/>
  <c r="L104" i="8"/>
  <c r="L86" i="8"/>
  <c r="L74" i="8"/>
  <c r="L68" i="8"/>
  <c r="L62" i="8"/>
  <c r="K92" i="8"/>
  <c r="K90" i="8"/>
  <c r="L61" i="8"/>
  <c r="L60" i="8"/>
  <c r="L59" i="8"/>
  <c r="L65" i="8"/>
  <c r="L67" i="8"/>
  <c r="L66" i="8"/>
  <c r="L73" i="8"/>
  <c r="L71" i="8"/>
  <c r="L72" i="8"/>
  <c r="L84" i="8"/>
  <c r="L85" i="8"/>
  <c r="L83" i="8"/>
  <c r="K89" i="8"/>
  <c r="K91" i="8"/>
  <c r="K97" i="8"/>
  <c r="L102" i="8"/>
  <c r="L58" i="8"/>
  <c r="L64" i="8"/>
  <c r="L82" i="8"/>
  <c r="L70" i="8"/>
  <c r="L103" i="8"/>
  <c r="L101" i="8"/>
  <c r="L100" i="8"/>
  <c r="K95" i="8"/>
  <c r="K94" i="8"/>
  <c r="K88" i="8"/>
  <c r="M50" i="8"/>
  <c r="K96" i="8"/>
  <c r="M74" i="8" a="1"/>
  <c r="K53" i="15" a="1"/>
  <c r="M102" i="8" a="1"/>
  <c r="O51" i="15" a="1"/>
  <c r="O39" i="15" a="1"/>
  <c r="O48" i="15" a="1"/>
  <c r="C53" i="15" a="1"/>
  <c r="M70" i="8" a="1"/>
  <c r="M84" i="8" a="1"/>
  <c r="M76" i="8" a="1"/>
  <c r="M54" i="8" a="1"/>
  <c r="O43" i="15" a="1"/>
  <c r="M73" i="8" a="1"/>
  <c r="O52" i="15" a="1"/>
  <c r="M80" i="8" a="1"/>
  <c r="N53" i="15" a="1"/>
  <c r="M86" i="8" a="1"/>
  <c r="H53" i="15" a="1"/>
  <c r="M79" i="8" a="1"/>
  <c r="M82" i="8" a="1"/>
  <c r="M59" i="8" a="1"/>
  <c r="L53" i="15" a="1"/>
  <c r="O47" i="15" a="1"/>
  <c r="M66" i="8" a="1"/>
  <c r="M72" i="8" a="1"/>
  <c r="M67" i="8" a="1"/>
  <c r="M77" i="8" a="1"/>
  <c r="M55" i="8" a="1"/>
  <c r="O45" i="15" a="1"/>
  <c r="D53" i="15" a="1"/>
  <c r="F53" i="15" a="1"/>
  <c r="M64" i="8" a="1"/>
  <c r="O50" i="15" a="1"/>
  <c r="J53" i="15" a="1"/>
  <c r="E53" i="15" a="1"/>
  <c r="M78" i="8" a="1"/>
  <c r="M56" i="8" a="1"/>
  <c r="M101" i="8" a="1"/>
  <c r="M53" i="15" a="1"/>
  <c r="M58" i="8" a="1"/>
  <c r="G53" i="15" a="1"/>
  <c r="M100" i="8" a="1"/>
  <c r="M68" i="8" a="1"/>
  <c r="M53" i="8" a="1"/>
  <c r="M61" i="8" a="1"/>
  <c r="O53" i="15" a="1"/>
  <c r="M65" i="8" a="1"/>
  <c r="O49" i="15" a="1"/>
  <c r="M83" i="8" a="1"/>
  <c r="M85" i="8" a="1"/>
  <c r="I53" i="15" a="1"/>
  <c r="M52" i="8" a="1"/>
  <c r="O44" i="15" a="1"/>
  <c r="M103" i="8" a="1"/>
  <c r="M62" i="8" a="1"/>
  <c r="M60" i="8" a="1"/>
  <c r="M71" i="8" a="1"/>
  <c r="M104" i="8" a="1"/>
  <c r="O46" i="15" a="1"/>
  <c r="M55" i="8" l="1"/>
  <c r="M52" i="8"/>
  <c r="M54" i="8"/>
  <c r="M53" i="8"/>
  <c r="M56" i="8"/>
  <c r="M79" i="8"/>
  <c r="M80" i="8"/>
  <c r="M78" i="8"/>
  <c r="M77" i="8"/>
  <c r="M76" i="8"/>
  <c r="F115" i="15"/>
  <c r="J115" i="15"/>
  <c r="N115" i="15"/>
  <c r="L115" i="15"/>
  <c r="H115" i="15"/>
  <c r="K115" i="15"/>
  <c r="G115" i="15"/>
  <c r="M115" i="15"/>
  <c r="I115" i="15"/>
  <c r="E115" i="15"/>
  <c r="D53" i="15"/>
  <c r="D116" i="15" s="1"/>
  <c r="B116" i="15"/>
  <c r="C53" i="15"/>
  <c r="C116" i="15" s="1"/>
  <c r="E53" i="15"/>
  <c r="F53" i="15"/>
  <c r="G53" i="15"/>
  <c r="H53" i="15"/>
  <c r="I53" i="15"/>
  <c r="J53" i="15"/>
  <c r="K53" i="15"/>
  <c r="L53" i="15"/>
  <c r="M53" i="15"/>
  <c r="N53" i="15"/>
  <c r="O46" i="15"/>
  <c r="O109" i="15" s="1"/>
  <c r="O45" i="15"/>
  <c r="O108" i="15" s="1"/>
  <c r="O51" i="15"/>
  <c r="O114" i="15" s="1"/>
  <c r="O43" i="15"/>
  <c r="O106" i="15" s="1"/>
  <c r="O47" i="15"/>
  <c r="O110" i="15" s="1"/>
  <c r="O52" i="15"/>
  <c r="O115" i="15" s="1"/>
  <c r="O50" i="15"/>
  <c r="O113" i="15" s="1"/>
  <c r="O48" i="15"/>
  <c r="O111" i="15" s="1"/>
  <c r="O44" i="15"/>
  <c r="O107" i="15" s="1"/>
  <c r="O49" i="15"/>
  <c r="O112" i="15" s="1"/>
  <c r="O53" i="15"/>
  <c r="O39" i="15"/>
  <c r="O105" i="15" s="1"/>
  <c r="Q38" i="15"/>
  <c r="B54" i="15"/>
  <c r="B177" i="15" s="1"/>
  <c r="L98" i="8"/>
  <c r="M104" i="8"/>
  <c r="M86" i="8"/>
  <c r="M74" i="8"/>
  <c r="M68" i="8"/>
  <c r="M62" i="8"/>
  <c r="L92" i="8"/>
  <c r="L89" i="8"/>
  <c r="L91" i="8"/>
  <c r="M60" i="8"/>
  <c r="M59" i="8"/>
  <c r="M61" i="8"/>
  <c r="M66" i="8"/>
  <c r="M65" i="8"/>
  <c r="M67" i="8"/>
  <c r="M71" i="8"/>
  <c r="M72" i="8"/>
  <c r="M73" i="8"/>
  <c r="M83" i="8"/>
  <c r="M85" i="8"/>
  <c r="M84" i="8"/>
  <c r="L90" i="8"/>
  <c r="L97" i="8"/>
  <c r="L95" i="8"/>
  <c r="M102" i="8"/>
  <c r="M58" i="8"/>
  <c r="M64" i="8"/>
  <c r="M82" i="8"/>
  <c r="M70" i="8"/>
  <c r="M103" i="8"/>
  <c r="M101" i="8"/>
  <c r="M100" i="8"/>
  <c r="N50" i="8"/>
  <c r="L88" i="8"/>
  <c r="L94" i="8"/>
  <c r="L96" i="8"/>
  <c r="P50" i="15" a="1"/>
  <c r="N80" i="8" a="1"/>
  <c r="N77" i="8" a="1"/>
  <c r="J54" i="15" a="1"/>
  <c r="N52" i="8" a="1"/>
  <c r="P54" i="15" a="1"/>
  <c r="N53" i="8" a="1"/>
  <c r="G54" i="15" a="1"/>
  <c r="N74" i="8" a="1"/>
  <c r="N100" i="8" a="1"/>
  <c r="N60" i="8" a="1"/>
  <c r="O54" i="15" a="1"/>
  <c r="P52" i="15" a="1"/>
  <c r="N103" i="8" a="1"/>
  <c r="P44" i="15" a="1"/>
  <c r="E54" i="15" a="1"/>
  <c r="L54" i="15" a="1"/>
  <c r="N65" i="8" a="1"/>
  <c r="N79" i="8" a="1"/>
  <c r="N102" i="8" a="1"/>
  <c r="N73" i="8" a="1"/>
  <c r="P39" i="15" a="1"/>
  <c r="N58" i="8" a="1"/>
  <c r="N86" i="8" a="1"/>
  <c r="N76" i="8" a="1"/>
  <c r="P47" i="15" a="1"/>
  <c r="N54" i="8" a="1"/>
  <c r="N84" i="8" a="1"/>
  <c r="N82" i="8" a="1"/>
  <c r="N68" i="8" a="1"/>
  <c r="N70" i="8" a="1"/>
  <c r="P51" i="15" a="1"/>
  <c r="P45" i="15" a="1"/>
  <c r="D54" i="15" a="1"/>
  <c r="N78" i="8" a="1"/>
  <c r="N67" i="8" a="1"/>
  <c r="N54" i="15" a="1"/>
  <c r="P49" i="15" a="1"/>
  <c r="P53" i="15" a="1"/>
  <c r="N72" i="8" a="1"/>
  <c r="H54" i="15" a="1"/>
  <c r="C54" i="15" a="1"/>
  <c r="N55" i="8" a="1"/>
  <c r="N83" i="8" a="1"/>
  <c r="N62" i="8" a="1"/>
  <c r="N66" i="8" a="1"/>
  <c r="I54" i="15" a="1"/>
  <c r="N85" i="8" a="1"/>
  <c r="P46" i="15" a="1"/>
  <c r="N64" i="8" a="1"/>
  <c r="N61" i="8" a="1"/>
  <c r="K54" i="15" a="1"/>
  <c r="F54" i="15" a="1"/>
  <c r="M54" i="15" a="1"/>
  <c r="N59" i="8" a="1"/>
  <c r="N104" i="8" a="1"/>
  <c r="N56" i="8" a="1"/>
  <c r="P48" i="15" a="1"/>
  <c r="N71" i="8" a="1"/>
  <c r="P43" i="15" a="1"/>
  <c r="N101" i="8" a="1"/>
  <c r="N52" i="8" l="1"/>
  <c r="N55" i="8"/>
  <c r="N53" i="8"/>
  <c r="N56" i="8"/>
  <c r="N54" i="8"/>
  <c r="N79" i="8"/>
  <c r="N80" i="8"/>
  <c r="N77" i="8"/>
  <c r="N76" i="8"/>
  <c r="N78" i="8"/>
  <c r="J116" i="15"/>
  <c r="N116" i="15"/>
  <c r="F116" i="15"/>
  <c r="O116" i="15"/>
  <c r="M116" i="15"/>
  <c r="E116" i="15"/>
  <c r="L116" i="15"/>
  <c r="H116" i="15"/>
  <c r="I116" i="15"/>
  <c r="K116" i="15"/>
  <c r="G116" i="15"/>
  <c r="D54" i="15"/>
  <c r="D117" i="15" s="1"/>
  <c r="B117" i="15"/>
  <c r="C54" i="15"/>
  <c r="C117" i="15" s="1"/>
  <c r="E54" i="15"/>
  <c r="F54" i="15"/>
  <c r="G54" i="15"/>
  <c r="H54" i="15"/>
  <c r="I54" i="15"/>
  <c r="J54" i="15"/>
  <c r="K54" i="15"/>
  <c r="L54" i="15"/>
  <c r="M54" i="15"/>
  <c r="N54" i="15"/>
  <c r="O54" i="15"/>
  <c r="P49" i="15"/>
  <c r="P112" i="15" s="1"/>
  <c r="P54" i="15"/>
  <c r="P43" i="15"/>
  <c r="P106" i="15" s="1"/>
  <c r="P50" i="15"/>
  <c r="P113" i="15" s="1"/>
  <c r="P52" i="15"/>
  <c r="P115" i="15" s="1"/>
  <c r="P47" i="15"/>
  <c r="P110" i="15" s="1"/>
  <c r="P45" i="15"/>
  <c r="P108" i="15" s="1"/>
  <c r="P51" i="15"/>
  <c r="P114" i="15" s="1"/>
  <c r="P44" i="15"/>
  <c r="P107" i="15" s="1"/>
  <c r="P48" i="15"/>
  <c r="P111" i="15" s="1"/>
  <c r="P53" i="15"/>
  <c r="P116" i="15" s="1"/>
  <c r="P46" i="15"/>
  <c r="P109" i="15" s="1"/>
  <c r="P39" i="15"/>
  <c r="P105" i="15" s="1"/>
  <c r="R38" i="15"/>
  <c r="B55" i="15"/>
  <c r="B178" i="15" s="1"/>
  <c r="M98" i="8"/>
  <c r="N104" i="8"/>
  <c r="N86" i="8"/>
  <c r="N74" i="8"/>
  <c r="N68" i="8"/>
  <c r="N62" i="8"/>
  <c r="M92" i="8"/>
  <c r="M91" i="8"/>
  <c r="N59" i="8"/>
  <c r="N61" i="8"/>
  <c r="N60" i="8"/>
  <c r="N67" i="8"/>
  <c r="N65" i="8"/>
  <c r="N66" i="8"/>
  <c r="N73" i="8"/>
  <c r="N72" i="8"/>
  <c r="N71" i="8"/>
  <c r="N84" i="8"/>
  <c r="N85" i="8"/>
  <c r="N83" i="8"/>
  <c r="M89" i="8"/>
  <c r="M90" i="8"/>
  <c r="M95" i="8"/>
  <c r="N102" i="8"/>
  <c r="N58" i="8"/>
  <c r="N64" i="8"/>
  <c r="N82" i="8"/>
  <c r="N70" i="8"/>
  <c r="N103" i="8"/>
  <c r="N101" i="8"/>
  <c r="N100" i="8"/>
  <c r="O50" i="8"/>
  <c r="M96" i="8"/>
  <c r="M97" i="8"/>
  <c r="M88" i="8"/>
  <c r="M94" i="8"/>
  <c r="O74" i="8" a="1"/>
  <c r="N55" i="15" a="1"/>
  <c r="O55" i="15" a="1"/>
  <c r="Q47" i="15" a="1"/>
  <c r="O76" i="8" a="1"/>
  <c r="Q45" i="15" a="1"/>
  <c r="O72" i="8" a="1"/>
  <c r="Q39" i="15" a="1"/>
  <c r="O58" i="8" a="1"/>
  <c r="O79" i="8" a="1"/>
  <c r="Q50" i="15" a="1"/>
  <c r="O70" i="8" a="1"/>
  <c r="O104" i="8" a="1"/>
  <c r="I55" i="15" a="1"/>
  <c r="O82" i="8" a="1"/>
  <c r="Q55" i="15" a="1"/>
  <c r="F55" i="15" a="1"/>
  <c r="O85" i="8" a="1"/>
  <c r="Q53" i="15" a="1"/>
  <c r="O52" i="8" a="1"/>
  <c r="O53" i="8" a="1"/>
  <c r="M55" i="15" a="1"/>
  <c r="O73" i="8" a="1"/>
  <c r="Q48" i="15" a="1"/>
  <c r="O54" i="8" a="1"/>
  <c r="O59" i="8" a="1"/>
  <c r="O67" i="8" a="1"/>
  <c r="O101" i="8" a="1"/>
  <c r="Q54" i="15" a="1"/>
  <c r="P55" i="15" a="1"/>
  <c r="O102" i="8" a="1"/>
  <c r="O56" i="8" a="1"/>
  <c r="K55" i="15" a="1"/>
  <c r="Q52" i="15" a="1"/>
  <c r="Q49" i="15" a="1"/>
  <c r="Q44" i="15" a="1"/>
  <c r="O66" i="8" a="1"/>
  <c r="O84" i="8" a="1"/>
  <c r="Q51" i="15" a="1"/>
  <c r="D55" i="15" a="1"/>
  <c r="E55" i="15" a="1"/>
  <c r="O71" i="8" a="1"/>
  <c r="O83" i="8" a="1"/>
  <c r="O65" i="8" a="1"/>
  <c r="O64" i="8" a="1"/>
  <c r="J55" i="15" a="1"/>
  <c r="O55" i="8" a="1"/>
  <c r="O61" i="8" a="1"/>
  <c r="O86" i="8" a="1"/>
  <c r="O62" i="8" a="1"/>
  <c r="Q46" i="15" a="1"/>
  <c r="O80" i="8" a="1"/>
  <c r="H55" i="15" a="1"/>
  <c r="G55" i="15" a="1"/>
  <c r="O77" i="8" a="1"/>
  <c r="O100" i="8" a="1"/>
  <c r="O103" i="8" a="1"/>
  <c r="O78" i="8" a="1"/>
  <c r="C55" i="15" a="1"/>
  <c r="Q43" i="15" a="1"/>
  <c r="O68" i="8" a="1"/>
  <c r="O60" i="8" a="1"/>
  <c r="L55" i="15" a="1"/>
  <c r="O54" i="8" l="1"/>
  <c r="O52" i="8"/>
  <c r="O56" i="8"/>
  <c r="O53" i="8"/>
  <c r="O55" i="8"/>
  <c r="O76" i="8"/>
  <c r="O77" i="8"/>
  <c r="O78" i="8"/>
  <c r="O79" i="8"/>
  <c r="O80" i="8"/>
  <c r="N117" i="15"/>
  <c r="F117" i="15"/>
  <c r="J117" i="15"/>
  <c r="L117" i="15"/>
  <c r="H117" i="15"/>
  <c r="P117" i="15"/>
  <c r="M117" i="15"/>
  <c r="I117" i="15"/>
  <c r="E117" i="15"/>
  <c r="O117" i="15"/>
  <c r="K117" i="15"/>
  <c r="G117" i="15"/>
  <c r="D55" i="15"/>
  <c r="D118" i="15" s="1"/>
  <c r="B118" i="15"/>
  <c r="C55" i="15"/>
  <c r="C118" i="15" s="1"/>
  <c r="E55" i="15"/>
  <c r="F55" i="15"/>
  <c r="G55" i="15"/>
  <c r="H55" i="15"/>
  <c r="I55" i="15"/>
  <c r="K55" i="15"/>
  <c r="J55" i="15"/>
  <c r="L55" i="15"/>
  <c r="M55" i="15"/>
  <c r="N55" i="15"/>
  <c r="O55" i="15"/>
  <c r="P55" i="15"/>
  <c r="Q44" i="15"/>
  <c r="Q107" i="15" s="1"/>
  <c r="Q55" i="15"/>
  <c r="Q51" i="15"/>
  <c r="Q114" i="15" s="1"/>
  <c r="Q43" i="15"/>
  <c r="Q106" i="15" s="1"/>
  <c r="Q48" i="15"/>
  <c r="Q111" i="15" s="1"/>
  <c r="Q53" i="15"/>
  <c r="Q116" i="15" s="1"/>
  <c r="Q49" i="15"/>
  <c r="Q112" i="15" s="1"/>
  <c r="Q46" i="15"/>
  <c r="Q109" i="15" s="1"/>
  <c r="Q45" i="15"/>
  <c r="Q108" i="15" s="1"/>
  <c r="Q50" i="15"/>
  <c r="Q113" i="15" s="1"/>
  <c r="Q47" i="15"/>
  <c r="Q110" i="15" s="1"/>
  <c r="Q54" i="15"/>
  <c r="Q117" i="15" s="1"/>
  <c r="Q52" i="15"/>
  <c r="Q115" i="15" s="1"/>
  <c r="Q39" i="15"/>
  <c r="Q105" i="15" s="1"/>
  <c r="S38" i="15"/>
  <c r="B56" i="15"/>
  <c r="B179" i="15" s="1"/>
  <c r="N92" i="8"/>
  <c r="N98" i="8"/>
  <c r="O104" i="8"/>
  <c r="O86" i="8"/>
  <c r="O74" i="8"/>
  <c r="O68" i="8"/>
  <c r="O62" i="8"/>
  <c r="N91" i="8"/>
  <c r="N89" i="8"/>
  <c r="N90" i="8"/>
  <c r="O60" i="8"/>
  <c r="O59" i="8"/>
  <c r="O61" i="8"/>
  <c r="O66" i="8"/>
  <c r="O65" i="8"/>
  <c r="O67" i="8"/>
  <c r="O71" i="8"/>
  <c r="O73" i="8"/>
  <c r="O72" i="8"/>
  <c r="O85" i="8"/>
  <c r="O84" i="8"/>
  <c r="O83" i="8"/>
  <c r="N97" i="8"/>
  <c r="O102" i="8"/>
  <c r="O58" i="8"/>
  <c r="O64" i="8"/>
  <c r="O82" i="8"/>
  <c r="O70" i="8"/>
  <c r="O103" i="8"/>
  <c r="O101" i="8"/>
  <c r="O100" i="8"/>
  <c r="P50" i="8"/>
  <c r="N95" i="8"/>
  <c r="N88" i="8"/>
  <c r="N94" i="8"/>
  <c r="N96" i="8"/>
  <c r="R56" i="15" a="1"/>
  <c r="R54" i="15" a="1"/>
  <c r="P67" i="8" a="1"/>
  <c r="I56" i="15" a="1"/>
  <c r="P70" i="8" a="1"/>
  <c r="R55" i="15" a="1"/>
  <c r="R45" i="15" a="1"/>
  <c r="R51" i="15" a="1"/>
  <c r="P104" i="8" a="1"/>
  <c r="J56" i="15" a="1"/>
  <c r="C56" i="15" a="1"/>
  <c r="R39" i="15" a="1"/>
  <c r="P77" i="8" a="1"/>
  <c r="H56" i="15" a="1"/>
  <c r="E56" i="15" a="1"/>
  <c r="R47" i="15" a="1"/>
  <c r="P82" i="8" a="1"/>
  <c r="P83" i="8" a="1"/>
  <c r="D56" i="15" a="1"/>
  <c r="P52" i="8" a="1"/>
  <c r="P84" i="8" a="1"/>
  <c r="P79" i="8" a="1"/>
  <c r="R44" i="15" a="1"/>
  <c r="R48" i="15" a="1"/>
  <c r="P62" i="8" a="1"/>
  <c r="P80" i="8" a="1"/>
  <c r="M56" i="15" a="1"/>
  <c r="P74" i="8" a="1"/>
  <c r="P102" i="8" a="1"/>
  <c r="P53" i="8" a="1"/>
  <c r="K56" i="15" a="1"/>
  <c r="P64" i="8" a="1"/>
  <c r="P71" i="8" a="1"/>
  <c r="Q56" i="15" a="1"/>
  <c r="P86" i="8" a="1"/>
  <c r="P54" i="8" a="1"/>
  <c r="P68" i="8" a="1"/>
  <c r="G56" i="15" a="1"/>
  <c r="R53" i="15" a="1"/>
  <c r="P60" i="8" a="1"/>
  <c r="P85" i="8" a="1"/>
  <c r="R43" i="15" a="1"/>
  <c r="R49" i="15" a="1"/>
  <c r="P101" i="8" a="1"/>
  <c r="P76" i="8" a="1"/>
  <c r="P66" i="8" a="1"/>
  <c r="P72" i="8" a="1"/>
  <c r="R46" i="15" a="1"/>
  <c r="P56" i="15" a="1"/>
  <c r="P56" i="8" a="1"/>
  <c r="P59" i="8" a="1"/>
  <c r="P78" i="8" a="1"/>
  <c r="L56" i="15" a="1"/>
  <c r="R52" i="15" a="1"/>
  <c r="O56" i="15" a="1"/>
  <c r="P58" i="8" a="1"/>
  <c r="P103" i="8" a="1"/>
  <c r="P73" i="8" a="1"/>
  <c r="R50" i="15" a="1"/>
  <c r="P100" i="8" a="1"/>
  <c r="P61" i="8" a="1"/>
  <c r="N56" i="15" a="1"/>
  <c r="P65" i="8" a="1"/>
  <c r="F56" i="15" a="1"/>
  <c r="P55" i="8" a="1"/>
  <c r="P53" i="8" l="1"/>
  <c r="P56" i="8"/>
  <c r="P54" i="8"/>
  <c r="P52" i="8"/>
  <c r="P55" i="8"/>
  <c r="P77" i="8"/>
  <c r="P76" i="8"/>
  <c r="P80" i="8"/>
  <c r="P78" i="8"/>
  <c r="P79" i="8"/>
  <c r="N118" i="15"/>
  <c r="Q118" i="15"/>
  <c r="K118" i="15"/>
  <c r="F118" i="15"/>
  <c r="M118" i="15"/>
  <c r="I118" i="15"/>
  <c r="E118" i="15"/>
  <c r="P118" i="15"/>
  <c r="L118" i="15"/>
  <c r="H118" i="15"/>
  <c r="O118" i="15"/>
  <c r="J118" i="15"/>
  <c r="G118" i="15"/>
  <c r="D56" i="15"/>
  <c r="D119" i="15" s="1"/>
  <c r="B119" i="15"/>
  <c r="C56" i="15"/>
  <c r="C119" i="15" s="1"/>
  <c r="E56" i="15"/>
  <c r="F56" i="15"/>
  <c r="G56" i="15"/>
  <c r="H56" i="15"/>
  <c r="I56" i="15"/>
  <c r="K56" i="15"/>
  <c r="J56" i="15"/>
  <c r="L56" i="15"/>
  <c r="M56" i="15"/>
  <c r="N56" i="15"/>
  <c r="N119" i="15" s="1"/>
  <c r="O56" i="15"/>
  <c r="P56" i="15"/>
  <c r="Q56" i="15"/>
  <c r="R50" i="15"/>
  <c r="R113" i="15" s="1"/>
  <c r="R46" i="15"/>
  <c r="R109" i="15" s="1"/>
  <c r="R53" i="15"/>
  <c r="R116" i="15" s="1"/>
  <c r="R47" i="15"/>
  <c r="R110" i="15" s="1"/>
  <c r="R51" i="15"/>
  <c r="R114" i="15" s="1"/>
  <c r="R44" i="15"/>
  <c r="R107" i="15" s="1"/>
  <c r="R43" i="15"/>
  <c r="R106" i="15" s="1"/>
  <c r="R54" i="15"/>
  <c r="R117" i="15" s="1"/>
  <c r="R48" i="15"/>
  <c r="R111" i="15" s="1"/>
  <c r="R52" i="15"/>
  <c r="R115" i="15" s="1"/>
  <c r="R56" i="15"/>
  <c r="R45" i="15"/>
  <c r="R108" i="15" s="1"/>
  <c r="R55" i="15"/>
  <c r="R118" i="15" s="1"/>
  <c r="R49" i="15"/>
  <c r="R112" i="15" s="1"/>
  <c r="R39" i="15"/>
  <c r="R105" i="15" s="1"/>
  <c r="T38" i="15"/>
  <c r="B57" i="15"/>
  <c r="B180" i="15" s="1"/>
  <c r="O98" i="8"/>
  <c r="P104" i="8"/>
  <c r="P86" i="8"/>
  <c r="P74" i="8"/>
  <c r="P68" i="8"/>
  <c r="P62" i="8"/>
  <c r="O92" i="8"/>
  <c r="O89" i="8"/>
  <c r="P60" i="8"/>
  <c r="P61" i="8"/>
  <c r="P59" i="8"/>
  <c r="P65" i="8"/>
  <c r="P67" i="8"/>
  <c r="P66" i="8"/>
  <c r="P71" i="8"/>
  <c r="P73" i="8"/>
  <c r="P72" i="8"/>
  <c r="P83" i="8"/>
  <c r="P84" i="8"/>
  <c r="P85" i="8"/>
  <c r="O91" i="8"/>
  <c r="O90" i="8"/>
  <c r="O97" i="8"/>
  <c r="P102" i="8"/>
  <c r="P58" i="8"/>
  <c r="P64" i="8"/>
  <c r="P82" i="8"/>
  <c r="P70" i="8"/>
  <c r="P103" i="8"/>
  <c r="P101" i="8"/>
  <c r="P100" i="8"/>
  <c r="O95" i="8"/>
  <c r="O94" i="8"/>
  <c r="O88" i="8"/>
  <c r="Q50" i="8"/>
  <c r="O96" i="8"/>
  <c r="Q76" i="8" a="1"/>
  <c r="E57" i="15" a="1"/>
  <c r="M57" i="15" a="1"/>
  <c r="N57" i="15" a="1"/>
  <c r="S51" i="15" a="1"/>
  <c r="R57" i="15" a="1"/>
  <c r="Q103" i="8" a="1"/>
  <c r="Q73" i="8" a="1"/>
  <c r="D57" i="15" a="1"/>
  <c r="Q72" i="8" a="1"/>
  <c r="S57" i="15" a="1"/>
  <c r="Q101" i="8" a="1"/>
  <c r="K57" i="15" a="1"/>
  <c r="S45" i="15" a="1"/>
  <c r="Q55" i="8" a="1"/>
  <c r="J57" i="15" a="1"/>
  <c r="S56" i="15" a="1"/>
  <c r="Q85" i="8" a="1"/>
  <c r="G57" i="15" a="1"/>
  <c r="Q66" i="8" a="1"/>
  <c r="F57" i="15" a="1"/>
  <c r="S47" i="15" a="1"/>
  <c r="S54" i="15" a="1"/>
  <c r="Q86" i="8" a="1"/>
  <c r="Q54" i="8" a="1"/>
  <c r="L57" i="15" a="1"/>
  <c r="Q82" i="8" a="1"/>
  <c r="Q58" i="8" a="1"/>
  <c r="Q80" i="8" a="1"/>
  <c r="Q104" i="8" a="1"/>
  <c r="Q77" i="8" a="1"/>
  <c r="Q65" i="8" a="1"/>
  <c r="Q52" i="8" a="1"/>
  <c r="Q102" i="8" a="1"/>
  <c r="S55" i="15" a="1"/>
  <c r="S44" i="15" a="1"/>
  <c r="Q78" i="8" a="1"/>
  <c r="C57" i="15" a="1"/>
  <c r="P57" i="15" a="1"/>
  <c r="Q64" i="8" a="1"/>
  <c r="S39" i="15" a="1"/>
  <c r="Q56" i="8" a="1"/>
  <c r="Q67" i="8" a="1"/>
  <c r="Q61" i="8" a="1"/>
  <c r="S48" i="15" a="1"/>
  <c r="Q71" i="8" a="1"/>
  <c r="Q59" i="8" a="1"/>
  <c r="Q57" i="15" a="1"/>
  <c r="Q84" i="8" a="1"/>
  <c r="I57" i="15" a="1"/>
  <c r="Q83" i="8" a="1"/>
  <c r="Q79" i="8" a="1"/>
  <c r="Q100" i="8" a="1"/>
  <c r="O57" i="15" a="1"/>
  <c r="S50" i="15" a="1"/>
  <c r="S49" i="15" a="1"/>
  <c r="Q60" i="8" a="1"/>
  <c r="S52" i="15" a="1"/>
  <c r="Q70" i="8" a="1"/>
  <c r="S46" i="15" a="1"/>
  <c r="Q74" i="8" a="1"/>
  <c r="Q68" i="8" a="1"/>
  <c r="Q53" i="8" a="1"/>
  <c r="S53" i="15" a="1"/>
  <c r="H57" i="15" a="1"/>
  <c r="Q62" i="8" a="1"/>
  <c r="S43" i="15" a="1"/>
  <c r="Q54" i="8" l="1"/>
  <c r="Q52" i="8"/>
  <c r="Q56" i="8"/>
  <c r="Q53" i="8"/>
  <c r="Q55" i="8"/>
  <c r="Q78" i="8"/>
  <c r="Q77" i="8"/>
  <c r="Q79" i="8"/>
  <c r="Q80" i="8"/>
  <c r="Q76" i="8"/>
  <c r="K119" i="15"/>
  <c r="F119" i="15"/>
  <c r="R119" i="15"/>
  <c r="P119" i="15"/>
  <c r="L119" i="15"/>
  <c r="H119" i="15"/>
  <c r="O119" i="15"/>
  <c r="J119" i="15"/>
  <c r="G119" i="15"/>
  <c r="Q119" i="15"/>
  <c r="M119" i="15"/>
  <c r="I119" i="15"/>
  <c r="E119" i="15"/>
  <c r="D57" i="15"/>
  <c r="D120" i="15" s="1"/>
  <c r="B120" i="15"/>
  <c r="C57" i="15"/>
  <c r="C120" i="15" s="1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6" i="15"/>
  <c r="S119" i="15" s="1"/>
  <c r="S44" i="15"/>
  <c r="S107" i="15" s="1"/>
  <c r="S47" i="15"/>
  <c r="S110" i="15" s="1"/>
  <c r="S57" i="15"/>
  <c r="S53" i="15"/>
  <c r="S116" i="15" s="1"/>
  <c r="S46" i="15"/>
  <c r="S109" i="15" s="1"/>
  <c r="S48" i="15"/>
  <c r="S111" i="15" s="1"/>
  <c r="S49" i="15"/>
  <c r="S112" i="15" s="1"/>
  <c r="S54" i="15"/>
  <c r="S117" i="15" s="1"/>
  <c r="S43" i="15"/>
  <c r="S106" i="15" s="1"/>
  <c r="S51" i="15"/>
  <c r="S114" i="15" s="1"/>
  <c r="S50" i="15"/>
  <c r="S113" i="15" s="1"/>
  <c r="S55" i="15"/>
  <c r="S118" i="15" s="1"/>
  <c r="S45" i="15"/>
  <c r="S108" i="15" s="1"/>
  <c r="S52" i="15"/>
  <c r="S115" i="15" s="1"/>
  <c r="S39" i="15"/>
  <c r="S105" i="15" s="1"/>
  <c r="U38" i="15"/>
  <c r="B58" i="15"/>
  <c r="B181" i="15" s="1"/>
  <c r="P98" i="8"/>
  <c r="Q104" i="8"/>
  <c r="Q86" i="8"/>
  <c r="Q74" i="8"/>
  <c r="Q68" i="8"/>
  <c r="Q62" i="8"/>
  <c r="P92" i="8"/>
  <c r="P90" i="8"/>
  <c r="P89" i="8"/>
  <c r="P91" i="8"/>
  <c r="Q60" i="8"/>
  <c r="Q61" i="8"/>
  <c r="Q59" i="8"/>
  <c r="Q65" i="8"/>
  <c r="Q67" i="8"/>
  <c r="Q66" i="8"/>
  <c r="Q72" i="8"/>
  <c r="Q71" i="8"/>
  <c r="Q73" i="8"/>
  <c r="Q85" i="8"/>
  <c r="Q84" i="8"/>
  <c r="Q83" i="8"/>
  <c r="P96" i="8"/>
  <c r="Q102" i="8"/>
  <c r="Q58" i="8"/>
  <c r="Q64" i="8"/>
  <c r="Q82" i="8"/>
  <c r="Q70" i="8"/>
  <c r="Q103" i="8"/>
  <c r="Q101" i="8"/>
  <c r="Q100" i="8"/>
  <c r="P97" i="8"/>
  <c r="P94" i="8"/>
  <c r="P88" i="8"/>
  <c r="R50" i="8"/>
  <c r="P95" i="8"/>
  <c r="E58" i="15" a="1"/>
  <c r="R52" i="8" a="1"/>
  <c r="T49" i="15" a="1"/>
  <c r="R58" i="8" a="1"/>
  <c r="R83" i="8" a="1"/>
  <c r="T58" i="15" a="1"/>
  <c r="T48" i="15" a="1"/>
  <c r="R55" i="8" a="1"/>
  <c r="R86" i="8" a="1"/>
  <c r="R58" i="15" a="1"/>
  <c r="I58" i="15" a="1"/>
  <c r="R68" i="8" a="1"/>
  <c r="T43" i="15" a="1"/>
  <c r="R64" i="8" a="1"/>
  <c r="L58" i="15" a="1"/>
  <c r="R84" i="8" a="1"/>
  <c r="R66" i="8" a="1"/>
  <c r="R71" i="8" a="1"/>
  <c r="R70" i="8" a="1"/>
  <c r="F58" i="15" a="1"/>
  <c r="R74" i="8" a="1"/>
  <c r="T39" i="15" a="1"/>
  <c r="T54" i="15" a="1"/>
  <c r="R79" i="8" a="1"/>
  <c r="G58" i="15" a="1"/>
  <c r="R82" i="8" a="1"/>
  <c r="R60" i="8" a="1"/>
  <c r="R101" i="8" a="1"/>
  <c r="R85" i="8" a="1"/>
  <c r="N58" i="15" a="1"/>
  <c r="R100" i="8" a="1"/>
  <c r="P58" i="15" a="1"/>
  <c r="R65" i="8" a="1"/>
  <c r="D58" i="15" a="1"/>
  <c r="R54" i="8" a="1"/>
  <c r="R53" i="8" a="1"/>
  <c r="T57" i="15" a="1"/>
  <c r="R56" i="8" a="1"/>
  <c r="T55" i="15" a="1"/>
  <c r="R62" i="8" a="1"/>
  <c r="R59" i="8" a="1"/>
  <c r="R67" i="8" a="1"/>
  <c r="R104" i="8" a="1"/>
  <c r="T47" i="15" a="1"/>
  <c r="T52" i="15" a="1"/>
  <c r="O58" i="15" a="1"/>
  <c r="K58" i="15" a="1"/>
  <c r="T46" i="15" a="1"/>
  <c r="J58" i="15" a="1"/>
  <c r="T44" i="15" a="1"/>
  <c r="T51" i="15" a="1"/>
  <c r="R78" i="8" a="1"/>
  <c r="C58" i="15" a="1"/>
  <c r="R80" i="8" a="1"/>
  <c r="H58" i="15" a="1"/>
  <c r="M58" i="15" a="1"/>
  <c r="U39" i="15" a="1"/>
  <c r="T50" i="15" a="1"/>
  <c r="R77" i="8" a="1"/>
  <c r="T45" i="15" a="1"/>
  <c r="R103" i="8" a="1"/>
  <c r="R73" i="8" a="1"/>
  <c r="R72" i="8" a="1"/>
  <c r="T53" i="15" a="1"/>
  <c r="R102" i="8" a="1"/>
  <c r="R61" i="8" a="1"/>
  <c r="R76" i="8" a="1"/>
  <c r="T56" i="15" a="1"/>
  <c r="Q58" i="15" a="1"/>
  <c r="S58" i="15" a="1"/>
  <c r="R55" i="8" l="1"/>
  <c r="R56" i="8"/>
  <c r="R54" i="8"/>
  <c r="R52" i="8"/>
  <c r="R53" i="8"/>
  <c r="R76" i="8"/>
  <c r="R80" i="8"/>
  <c r="R78" i="8"/>
  <c r="R77" i="8"/>
  <c r="R79" i="8"/>
  <c r="S120" i="15"/>
  <c r="R120" i="15"/>
  <c r="N120" i="15"/>
  <c r="J120" i="15"/>
  <c r="F120" i="15"/>
  <c r="O120" i="15"/>
  <c r="K120" i="15"/>
  <c r="G120" i="15"/>
  <c r="Q120" i="15"/>
  <c r="M120" i="15"/>
  <c r="I120" i="15"/>
  <c r="E120" i="15"/>
  <c r="P120" i="15"/>
  <c r="L120" i="15"/>
  <c r="H120" i="15"/>
  <c r="D58" i="15"/>
  <c r="D121" i="15" s="1"/>
  <c r="B121" i="15"/>
  <c r="C58" i="15"/>
  <c r="C121" i="15" s="1"/>
  <c r="E58" i="15"/>
  <c r="F58" i="15"/>
  <c r="G58" i="15"/>
  <c r="H58" i="15"/>
  <c r="I58" i="15"/>
  <c r="J58" i="15"/>
  <c r="J121" i="15" s="1"/>
  <c r="K58" i="15"/>
  <c r="L58" i="15"/>
  <c r="M58" i="15"/>
  <c r="N58" i="15"/>
  <c r="N121" i="15" s="1"/>
  <c r="O58" i="15"/>
  <c r="P58" i="15"/>
  <c r="Q58" i="15"/>
  <c r="R58" i="15"/>
  <c r="R121" i="15" s="1"/>
  <c r="S58" i="15"/>
  <c r="T43" i="15"/>
  <c r="T106" i="15" s="1"/>
  <c r="T56" i="15"/>
  <c r="T119" i="15" s="1"/>
  <c r="T45" i="15"/>
  <c r="T108" i="15" s="1"/>
  <c r="T52" i="15"/>
  <c r="T115" i="15" s="1"/>
  <c r="T53" i="15"/>
  <c r="T116" i="15" s="1"/>
  <c r="T44" i="15"/>
  <c r="T107" i="15" s="1"/>
  <c r="T54" i="15"/>
  <c r="T117" i="15" s="1"/>
  <c r="T58" i="15"/>
  <c r="T48" i="15"/>
  <c r="T111" i="15" s="1"/>
  <c r="T47" i="15"/>
  <c r="T110" i="15" s="1"/>
  <c r="T50" i="15"/>
  <c r="T113" i="15" s="1"/>
  <c r="T49" i="15"/>
  <c r="T112" i="15" s="1"/>
  <c r="T46" i="15"/>
  <c r="T109" i="15" s="1"/>
  <c r="T51" i="15"/>
  <c r="T114" i="15" s="1"/>
  <c r="T55" i="15"/>
  <c r="T118" i="15" s="1"/>
  <c r="T57" i="15"/>
  <c r="T120" i="15" s="1"/>
  <c r="V38" i="15"/>
  <c r="U39" i="15"/>
  <c r="U105" i="15" s="1"/>
  <c r="T39" i="15"/>
  <c r="T105" i="15" s="1"/>
  <c r="B59" i="15"/>
  <c r="B182" i="15" s="1"/>
  <c r="Q98" i="8"/>
  <c r="R104" i="8"/>
  <c r="R86" i="8"/>
  <c r="R74" i="8"/>
  <c r="R68" i="8"/>
  <c r="R62" i="8"/>
  <c r="Q92" i="8"/>
  <c r="Q90" i="8"/>
  <c r="R61" i="8"/>
  <c r="R59" i="8"/>
  <c r="R60" i="8"/>
  <c r="R65" i="8"/>
  <c r="R66" i="8"/>
  <c r="R67" i="8"/>
  <c r="R71" i="8"/>
  <c r="R72" i="8"/>
  <c r="R73" i="8"/>
  <c r="R83" i="8"/>
  <c r="R84" i="8"/>
  <c r="R85" i="8"/>
  <c r="Q91" i="8"/>
  <c r="Q89" i="8"/>
  <c r="Q96" i="8"/>
  <c r="R102" i="8"/>
  <c r="R58" i="8"/>
  <c r="R64" i="8"/>
  <c r="R82" i="8"/>
  <c r="R70" i="8"/>
  <c r="R103" i="8"/>
  <c r="R101" i="8"/>
  <c r="R100" i="8"/>
  <c r="Q94" i="8"/>
  <c r="Q88" i="8"/>
  <c r="Q97" i="8"/>
  <c r="S50" i="8"/>
  <c r="Q95" i="8"/>
  <c r="S67" i="8" a="1"/>
  <c r="U52" i="15" a="1"/>
  <c r="S70" i="8" a="1"/>
  <c r="S55" i="8" a="1"/>
  <c r="O59" i="15" a="1"/>
  <c r="U54" i="15" a="1"/>
  <c r="L59" i="15" a="1"/>
  <c r="U55" i="15" a="1"/>
  <c r="Q59" i="15" a="1"/>
  <c r="S53" i="8" a="1"/>
  <c r="M59" i="15" a="1"/>
  <c r="S85" i="8" a="1"/>
  <c r="P59" i="15" a="1"/>
  <c r="U58" i="15" a="1"/>
  <c r="S71" i="8" a="1"/>
  <c r="U51" i="15" a="1"/>
  <c r="U45" i="15" a="1"/>
  <c r="S84" i="8" a="1"/>
  <c r="H59" i="15" a="1"/>
  <c r="S68" i="8" a="1"/>
  <c r="C59" i="15" a="1"/>
  <c r="S65" i="8" a="1"/>
  <c r="S73" i="8" a="1"/>
  <c r="S102" i="8" a="1"/>
  <c r="S79" i="8" a="1"/>
  <c r="I59" i="15" a="1"/>
  <c r="K59" i="15" a="1"/>
  <c r="S76" i="8" a="1"/>
  <c r="S52" i="8" a="1"/>
  <c r="S61" i="8" a="1"/>
  <c r="S60" i="8" a="1"/>
  <c r="S86" i="8" a="1"/>
  <c r="U50" i="15" a="1"/>
  <c r="U48" i="15" a="1"/>
  <c r="S83" i="8" a="1"/>
  <c r="S103" i="8" a="1"/>
  <c r="R59" i="15" a="1"/>
  <c r="S58" i="8" a="1"/>
  <c r="U49" i="15" a="1"/>
  <c r="S101" i="8" a="1"/>
  <c r="U47" i="15" a="1"/>
  <c r="S77" i="8" a="1"/>
  <c r="U59" i="15" a="1"/>
  <c r="S64" i="8" a="1"/>
  <c r="U53" i="15" a="1"/>
  <c r="U57" i="15" a="1"/>
  <c r="S74" i="8" a="1"/>
  <c r="S56" i="8" a="1"/>
  <c r="U46" i="15" a="1"/>
  <c r="S66" i="8" a="1"/>
  <c r="U43" i="15" a="1"/>
  <c r="U44" i="15" a="1"/>
  <c r="J59" i="15" a="1"/>
  <c r="G59" i="15" a="1"/>
  <c r="S62" i="8" a="1"/>
  <c r="E59" i="15" a="1"/>
  <c r="S100" i="8" a="1"/>
  <c r="S59" i="8" a="1"/>
  <c r="S72" i="8" a="1"/>
  <c r="U56" i="15" a="1"/>
  <c r="F59" i="15" a="1"/>
  <c r="S82" i="8" a="1"/>
  <c r="D59" i="15" a="1"/>
  <c r="S80" i="8" a="1"/>
  <c r="S59" i="15" a="1"/>
  <c r="S54" i="8" a="1"/>
  <c r="T59" i="15" a="1"/>
  <c r="S78" i="8" a="1"/>
  <c r="S104" i="8" a="1"/>
  <c r="N59" i="15" a="1"/>
  <c r="V39" i="15" a="1"/>
  <c r="S52" i="8" l="1"/>
  <c r="S53" i="8"/>
  <c r="S55" i="8"/>
  <c r="S56" i="8"/>
  <c r="S54" i="8"/>
  <c r="S77" i="8"/>
  <c r="S79" i="8"/>
  <c r="S76" i="8"/>
  <c r="S78" i="8"/>
  <c r="S80" i="8"/>
  <c r="F121" i="15"/>
  <c r="T121" i="15"/>
  <c r="Q121" i="15"/>
  <c r="S121" i="15"/>
  <c r="O121" i="15"/>
  <c r="M121" i="15"/>
  <c r="I121" i="15"/>
  <c r="E121" i="15"/>
  <c r="P121" i="15"/>
  <c r="L121" i="15"/>
  <c r="K121" i="15"/>
  <c r="G121" i="15"/>
  <c r="H121" i="15"/>
  <c r="D59" i="15"/>
  <c r="D122" i="15" s="1"/>
  <c r="B122" i="15"/>
  <c r="C59" i="15"/>
  <c r="C122" i="15" s="1"/>
  <c r="E59" i="15"/>
  <c r="F59" i="15"/>
  <c r="G59" i="15"/>
  <c r="H59" i="15"/>
  <c r="I59" i="15"/>
  <c r="K59" i="15"/>
  <c r="J59" i="15"/>
  <c r="L59" i="15"/>
  <c r="M59" i="15"/>
  <c r="N59" i="15"/>
  <c r="O59" i="15"/>
  <c r="P59" i="15"/>
  <c r="Q59" i="15"/>
  <c r="R59" i="15"/>
  <c r="S59" i="15"/>
  <c r="T59" i="15"/>
  <c r="U52" i="15"/>
  <c r="U115" i="15" s="1"/>
  <c r="U47" i="15"/>
  <c r="U110" i="15" s="1"/>
  <c r="U56" i="15"/>
  <c r="U119" i="15" s="1"/>
  <c r="U45" i="15"/>
  <c r="U108" i="15" s="1"/>
  <c r="U58" i="15"/>
  <c r="U121" i="15" s="1"/>
  <c r="U53" i="15"/>
  <c r="U116" i="15" s="1"/>
  <c r="U59" i="15"/>
  <c r="U50" i="15"/>
  <c r="U113" i="15" s="1"/>
  <c r="U57" i="15"/>
  <c r="U120" i="15" s="1"/>
  <c r="U54" i="15"/>
  <c r="U117" i="15" s="1"/>
  <c r="U43" i="15"/>
  <c r="U106" i="15" s="1"/>
  <c r="U49" i="15"/>
  <c r="U112" i="15" s="1"/>
  <c r="U48" i="15"/>
  <c r="U111" i="15" s="1"/>
  <c r="U44" i="15"/>
  <c r="U107" i="15" s="1"/>
  <c r="U46" i="15"/>
  <c r="U109" i="15" s="1"/>
  <c r="U51" i="15"/>
  <c r="U114" i="15" s="1"/>
  <c r="U55" i="15"/>
  <c r="U118" i="15" s="1"/>
  <c r="W38" i="15"/>
  <c r="V39" i="15"/>
  <c r="V105" i="15" s="1"/>
  <c r="B60" i="15"/>
  <c r="B183" i="15" s="1"/>
  <c r="R98" i="8"/>
  <c r="R92" i="8"/>
  <c r="S104" i="8"/>
  <c r="S86" i="8"/>
  <c r="S74" i="8"/>
  <c r="S68" i="8"/>
  <c r="S62" i="8"/>
  <c r="R91" i="8"/>
  <c r="S61" i="8"/>
  <c r="S60" i="8"/>
  <c r="S59" i="8"/>
  <c r="S65" i="8"/>
  <c r="S66" i="8"/>
  <c r="S67" i="8"/>
  <c r="S72" i="8"/>
  <c r="S73" i="8"/>
  <c r="S71" i="8"/>
  <c r="S85" i="8"/>
  <c r="S83" i="8"/>
  <c r="S84" i="8"/>
  <c r="R89" i="8"/>
  <c r="R90" i="8"/>
  <c r="R97" i="8"/>
  <c r="R95" i="8"/>
  <c r="S102" i="8"/>
  <c r="S58" i="8"/>
  <c r="S64" i="8"/>
  <c r="S82" i="8"/>
  <c r="S70" i="8"/>
  <c r="S103" i="8"/>
  <c r="S101" i="8"/>
  <c r="S100" i="8"/>
  <c r="R88" i="8"/>
  <c r="R94" i="8"/>
  <c r="T50" i="8"/>
  <c r="R96" i="8"/>
  <c r="T104" i="8" a="1"/>
  <c r="T80" i="8" a="1"/>
  <c r="T79" i="8" a="1"/>
  <c r="V45" i="15" a="1"/>
  <c r="V56" i="15" a="1"/>
  <c r="T103" i="8" a="1"/>
  <c r="T59" i="8" a="1"/>
  <c r="T53" i="8" a="1"/>
  <c r="O60" i="15" a="1"/>
  <c r="T74" i="8" a="1"/>
  <c r="V44" i="15" a="1"/>
  <c r="V57" i="15" a="1"/>
  <c r="V52" i="15" a="1"/>
  <c r="R60" i="15" a="1"/>
  <c r="T61" i="8" a="1"/>
  <c r="T60" i="8" a="1"/>
  <c r="T83" i="8" a="1"/>
  <c r="D60" i="15" a="1"/>
  <c r="T52" i="8" a="1"/>
  <c r="T82" i="8" a="1"/>
  <c r="T55" i="8" a="1"/>
  <c r="N60" i="15" a="1"/>
  <c r="U60" i="15" a="1"/>
  <c r="T58" i="8" a="1"/>
  <c r="S60" i="15" a="1"/>
  <c r="T101" i="8" a="1"/>
  <c r="C60" i="15" a="1"/>
  <c r="T85" i="8" a="1"/>
  <c r="I60" i="15" a="1"/>
  <c r="T102" i="8" a="1"/>
  <c r="V46" i="15" a="1"/>
  <c r="L60" i="15" a="1"/>
  <c r="V51" i="15" a="1"/>
  <c r="T65" i="8" a="1"/>
  <c r="V53" i="15" a="1"/>
  <c r="K60" i="15" a="1"/>
  <c r="V55" i="15" a="1"/>
  <c r="T100" i="8" a="1"/>
  <c r="T54" i="8" a="1"/>
  <c r="J60" i="15" a="1"/>
  <c r="T73" i="8" a="1"/>
  <c r="Q60" i="15" a="1"/>
  <c r="T70" i="8" a="1"/>
  <c r="V49" i="15" a="1"/>
  <c r="T66" i="8" a="1"/>
  <c r="T71" i="8" a="1"/>
  <c r="T72" i="8" a="1"/>
  <c r="T60" i="15" a="1"/>
  <c r="T78" i="8" a="1"/>
  <c r="T67" i="8" a="1"/>
  <c r="V60" i="15" a="1"/>
  <c r="V47" i="15" a="1"/>
  <c r="V58" i="15" a="1"/>
  <c r="F60" i="15" a="1"/>
  <c r="T62" i="8" a="1"/>
  <c r="V59" i="15" a="1"/>
  <c r="T77" i="8" a="1"/>
  <c r="T86" i="8" a="1"/>
  <c r="G60" i="15" a="1"/>
  <c r="V54" i="15" a="1"/>
  <c r="T76" i="8" a="1"/>
  <c r="T64" i="8" a="1"/>
  <c r="V48" i="15" a="1"/>
  <c r="T84" i="8" a="1"/>
  <c r="T56" i="8" a="1"/>
  <c r="E60" i="15" a="1"/>
  <c r="T68" i="8" a="1"/>
  <c r="V43" i="15" a="1"/>
  <c r="M60" i="15" a="1"/>
  <c r="H60" i="15" a="1"/>
  <c r="V50" i="15" a="1"/>
  <c r="P60" i="15" a="1"/>
  <c r="W39" i="15" a="1"/>
  <c r="T54" i="8" l="1"/>
  <c r="T53" i="8"/>
  <c r="T52" i="8"/>
  <c r="T55" i="8"/>
  <c r="T56" i="8"/>
  <c r="T77" i="8"/>
  <c r="T78" i="8"/>
  <c r="T79" i="8"/>
  <c r="T76" i="8"/>
  <c r="T80" i="8"/>
  <c r="R122" i="15"/>
  <c r="N122" i="15"/>
  <c r="K122" i="15"/>
  <c r="F122" i="15"/>
  <c r="Q122" i="15"/>
  <c r="M122" i="15"/>
  <c r="I122" i="15"/>
  <c r="E122" i="15"/>
  <c r="T122" i="15"/>
  <c r="P122" i="15"/>
  <c r="L122" i="15"/>
  <c r="H122" i="15"/>
  <c r="U122" i="15"/>
  <c r="S122" i="15"/>
  <c r="O122" i="15"/>
  <c r="J122" i="15"/>
  <c r="G122" i="15"/>
  <c r="D60" i="15"/>
  <c r="D123" i="15" s="1"/>
  <c r="B123" i="15"/>
  <c r="C60" i="15"/>
  <c r="C123" i="15" s="1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54" i="15"/>
  <c r="V117" i="15" s="1"/>
  <c r="V48" i="15"/>
  <c r="V111" i="15" s="1"/>
  <c r="V44" i="15"/>
  <c r="V107" i="15" s="1"/>
  <c r="V47" i="15"/>
  <c r="V110" i="15" s="1"/>
  <c r="V55" i="15"/>
  <c r="V118" i="15" s="1"/>
  <c r="V50" i="15"/>
  <c r="V113" i="15" s="1"/>
  <c r="V49" i="15"/>
  <c r="V112" i="15" s="1"/>
  <c r="V60" i="15"/>
  <c r="V46" i="15"/>
  <c r="V109" i="15" s="1"/>
  <c r="V56" i="15"/>
  <c r="V119" i="15" s="1"/>
  <c r="V51" i="15"/>
  <c r="V114" i="15" s="1"/>
  <c r="V43" i="15"/>
  <c r="V106" i="15" s="1"/>
  <c r="V53" i="15"/>
  <c r="V116" i="15" s="1"/>
  <c r="V59" i="15"/>
  <c r="V122" i="15" s="1"/>
  <c r="V52" i="15"/>
  <c r="V115" i="15" s="1"/>
  <c r="V58" i="15"/>
  <c r="V121" i="15" s="1"/>
  <c r="V45" i="15"/>
  <c r="V108" i="15" s="1"/>
  <c r="V57" i="15"/>
  <c r="V120" i="15" s="1"/>
  <c r="X38" i="15"/>
  <c r="W39" i="15"/>
  <c r="W105" i="15" s="1"/>
  <c r="B61" i="15"/>
  <c r="B184" i="15" s="1"/>
  <c r="S92" i="8"/>
  <c r="S98" i="8"/>
  <c r="T104" i="8"/>
  <c r="T86" i="8"/>
  <c r="T74" i="8"/>
  <c r="T68" i="8"/>
  <c r="T62" i="8"/>
  <c r="S89" i="8"/>
  <c r="S91" i="8"/>
  <c r="T60" i="8"/>
  <c r="T59" i="8"/>
  <c r="T61" i="8"/>
  <c r="T66" i="8"/>
  <c r="T67" i="8"/>
  <c r="T65" i="8"/>
  <c r="T72" i="8"/>
  <c r="T71" i="8"/>
  <c r="T73" i="8"/>
  <c r="T84" i="8"/>
  <c r="T85" i="8"/>
  <c r="T83" i="8"/>
  <c r="S90" i="8"/>
  <c r="S95" i="8"/>
  <c r="T102" i="8"/>
  <c r="T58" i="8"/>
  <c r="T64" i="8"/>
  <c r="T82" i="8"/>
  <c r="T70" i="8"/>
  <c r="T103" i="8"/>
  <c r="T101" i="8"/>
  <c r="T100" i="8"/>
  <c r="U50" i="8"/>
  <c r="S94" i="8"/>
  <c r="S88" i="8"/>
  <c r="S97" i="8"/>
  <c r="S96" i="8"/>
  <c r="U80" i="8" a="1"/>
  <c r="W47" i="15" a="1"/>
  <c r="Q61" i="15" a="1"/>
  <c r="U74" i="8" a="1"/>
  <c r="U84" i="8" a="1"/>
  <c r="U71" i="8" a="1"/>
  <c r="U85" i="8" a="1"/>
  <c r="K61" i="15" a="1"/>
  <c r="W52" i="15" a="1"/>
  <c r="U73" i="8" a="1"/>
  <c r="U55" i="8" a="1"/>
  <c r="U70" i="8" a="1"/>
  <c r="U103" i="8" a="1"/>
  <c r="X39" i="15" a="1"/>
  <c r="U86" i="8" a="1"/>
  <c r="U61" i="15" a="1"/>
  <c r="W48" i="15" a="1"/>
  <c r="U61" i="8" a="1"/>
  <c r="E61" i="15" a="1"/>
  <c r="M61" i="15" a="1"/>
  <c r="U66" i="8" a="1"/>
  <c r="W58" i="15" a="1"/>
  <c r="L61" i="15" a="1"/>
  <c r="U52" i="8" a="1"/>
  <c r="W49" i="15" a="1"/>
  <c r="U79" i="8" a="1"/>
  <c r="W55" i="15" a="1"/>
  <c r="U82" i="8" a="1"/>
  <c r="R61" i="15" a="1"/>
  <c r="U76" i="8" a="1"/>
  <c r="F61" i="15" a="1"/>
  <c r="U83" i="8" a="1"/>
  <c r="U78" i="8" a="1"/>
  <c r="U102" i="8" a="1"/>
  <c r="W43" i="15" a="1"/>
  <c r="W50" i="15" a="1"/>
  <c r="U56" i="8" a="1"/>
  <c r="U64" i="8" a="1"/>
  <c r="S61" i="15" a="1"/>
  <c r="U58" i="8" a="1"/>
  <c r="U68" i="8" a="1"/>
  <c r="U72" i="8" a="1"/>
  <c r="O61" i="15" a="1"/>
  <c r="W61" i="15" a="1"/>
  <c r="W44" i="15" a="1"/>
  <c r="I61" i="15" a="1"/>
  <c r="U77" i="8" a="1"/>
  <c r="U67" i="8" a="1"/>
  <c r="V61" i="15" a="1"/>
  <c r="D61" i="15" a="1"/>
  <c r="U65" i="8" a="1"/>
  <c r="U54" i="8" a="1"/>
  <c r="W59" i="15" a="1"/>
  <c r="W54" i="15" a="1"/>
  <c r="U62" i="8" a="1"/>
  <c r="G61" i="15" a="1"/>
  <c r="N61" i="15" a="1"/>
  <c r="W56" i="15" a="1"/>
  <c r="T61" i="15" a="1"/>
  <c r="W51" i="15" a="1"/>
  <c r="P61" i="15" a="1"/>
  <c r="W57" i="15" a="1"/>
  <c r="U101" i="8" a="1"/>
  <c r="U104" i="8" a="1"/>
  <c r="H61" i="15" a="1"/>
  <c r="U60" i="8" a="1"/>
  <c r="W46" i="15" a="1"/>
  <c r="U53" i="8" a="1"/>
  <c r="U59" i="8" a="1"/>
  <c r="W45" i="15" a="1"/>
  <c r="J61" i="15" a="1"/>
  <c r="U100" i="8" a="1"/>
  <c r="W53" i="15" a="1"/>
  <c r="W60" i="15" a="1"/>
  <c r="C61" i="15" a="1"/>
  <c r="R123" i="15" l="1"/>
  <c r="U53" i="8"/>
  <c r="U55" i="8"/>
  <c r="U52" i="8"/>
  <c r="U56" i="8"/>
  <c r="U54" i="8"/>
  <c r="U77" i="8"/>
  <c r="U79" i="8"/>
  <c r="U78" i="8"/>
  <c r="U76" i="8"/>
  <c r="U80" i="8"/>
  <c r="N123" i="15"/>
  <c r="J123" i="15"/>
  <c r="F123" i="15"/>
  <c r="V123" i="15"/>
  <c r="U123" i="15"/>
  <c r="M123" i="15"/>
  <c r="E123" i="15"/>
  <c r="T123" i="15"/>
  <c r="P123" i="15"/>
  <c r="L123" i="15"/>
  <c r="H123" i="15"/>
  <c r="Q123" i="15"/>
  <c r="I123" i="15"/>
  <c r="S123" i="15"/>
  <c r="O123" i="15"/>
  <c r="K123" i="15"/>
  <c r="G123" i="15"/>
  <c r="D61" i="15"/>
  <c r="D124" i="15" s="1"/>
  <c r="B124" i="15"/>
  <c r="C61" i="15"/>
  <c r="C124" i="15" s="1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43" i="15"/>
  <c r="W106" i="15" s="1"/>
  <c r="W47" i="15"/>
  <c r="W110" i="15" s="1"/>
  <c r="W44" i="15"/>
  <c r="W107" i="15" s="1"/>
  <c r="W52" i="15"/>
  <c r="W115" i="15" s="1"/>
  <c r="W48" i="15"/>
  <c r="W111" i="15" s="1"/>
  <c r="W54" i="15"/>
  <c r="W117" i="15" s="1"/>
  <c r="W58" i="15"/>
  <c r="W121" i="15" s="1"/>
  <c r="W60" i="15"/>
  <c r="W123" i="15" s="1"/>
  <c r="W49" i="15"/>
  <c r="W112" i="15" s="1"/>
  <c r="W53" i="15"/>
  <c r="W116" i="15" s="1"/>
  <c r="W61" i="15"/>
  <c r="W46" i="15"/>
  <c r="W109" i="15" s="1"/>
  <c r="W57" i="15"/>
  <c r="W120" i="15" s="1"/>
  <c r="W50" i="15"/>
  <c r="W113" i="15" s="1"/>
  <c r="W55" i="15"/>
  <c r="W118" i="15" s="1"/>
  <c r="W45" i="15"/>
  <c r="W108" i="15" s="1"/>
  <c r="W59" i="15"/>
  <c r="W122" i="15" s="1"/>
  <c r="W51" i="15"/>
  <c r="W114" i="15" s="1"/>
  <c r="W56" i="15"/>
  <c r="W119" i="15" s="1"/>
  <c r="Y38" i="15"/>
  <c r="X39" i="15"/>
  <c r="X105" i="15" s="1"/>
  <c r="B62" i="15"/>
  <c r="B185" i="15" s="1"/>
  <c r="U104" i="8"/>
  <c r="U86" i="8"/>
  <c r="U74" i="8"/>
  <c r="U68" i="8"/>
  <c r="U62" i="8"/>
  <c r="T98" i="8"/>
  <c r="T92" i="8"/>
  <c r="T91" i="8"/>
  <c r="T90" i="8"/>
  <c r="T89" i="8"/>
  <c r="U61" i="8"/>
  <c r="U59" i="8"/>
  <c r="U60" i="8"/>
  <c r="U66" i="8"/>
  <c r="U65" i="8"/>
  <c r="U67" i="8"/>
  <c r="U71" i="8"/>
  <c r="U72" i="8"/>
  <c r="U73" i="8"/>
  <c r="U85" i="8"/>
  <c r="U83" i="8"/>
  <c r="U84" i="8"/>
  <c r="T96" i="8"/>
  <c r="T97" i="8"/>
  <c r="U102" i="8"/>
  <c r="U58" i="8"/>
  <c r="U64" i="8"/>
  <c r="U82" i="8"/>
  <c r="U70" i="8"/>
  <c r="U103" i="8"/>
  <c r="U101" i="8"/>
  <c r="U100" i="8"/>
  <c r="T88" i="8"/>
  <c r="T94" i="8"/>
  <c r="V50" i="8"/>
  <c r="T95" i="8"/>
  <c r="X62" i="15" a="1"/>
  <c r="V53" i="8" a="1"/>
  <c r="V82" i="8" a="1"/>
  <c r="O62" i="15" a="1"/>
  <c r="L62" i="15" a="1"/>
  <c r="V73" i="8" a="1"/>
  <c r="V72" i="8" a="1"/>
  <c r="V71" i="8" a="1"/>
  <c r="V85" i="8" a="1"/>
  <c r="V80" i="8" a="1"/>
  <c r="R62" i="15" a="1"/>
  <c r="T62" i="15" a="1"/>
  <c r="X46" i="15" a="1"/>
  <c r="V52" i="8" a="1"/>
  <c r="W62" i="15" a="1"/>
  <c r="D62" i="15" a="1"/>
  <c r="X44" i="15" a="1"/>
  <c r="I62" i="15" a="1"/>
  <c r="X51" i="15" a="1"/>
  <c r="X54" i="15" a="1"/>
  <c r="X57" i="15" a="1"/>
  <c r="V104" i="8" a="1"/>
  <c r="X60" i="15" a="1"/>
  <c r="X53" i="15" a="1"/>
  <c r="X55" i="15" a="1"/>
  <c r="Y39" i="15" a="1"/>
  <c r="X52" i="15" a="1"/>
  <c r="V67" i="8" a="1"/>
  <c r="V103" i="8" a="1"/>
  <c r="H62" i="15" a="1"/>
  <c r="V101" i="8" a="1"/>
  <c r="V79" i="8" a="1"/>
  <c r="N62" i="15" a="1"/>
  <c r="S62" i="15" a="1"/>
  <c r="E62" i="15" a="1"/>
  <c r="V54" i="8" a="1"/>
  <c r="V102" i="8" a="1"/>
  <c r="G62" i="15" a="1"/>
  <c r="V62" i="15" a="1"/>
  <c r="Q62" i="15" a="1"/>
  <c r="X49" i="15" a="1"/>
  <c r="V77" i="8" a="1"/>
  <c r="J62" i="15" a="1"/>
  <c r="V74" i="8" a="1"/>
  <c r="C62" i="15" a="1"/>
  <c r="V61" i="8" a="1"/>
  <c r="U62" i="15" a="1"/>
  <c r="V100" i="8" a="1"/>
  <c r="P62" i="15" a="1"/>
  <c r="M62" i="15" a="1"/>
  <c r="V78" i="8" a="1"/>
  <c r="V59" i="8" a="1"/>
  <c r="K62" i="15" a="1"/>
  <c r="X45" i="15" a="1"/>
  <c r="V68" i="8" a="1"/>
  <c r="X43" i="15" a="1"/>
  <c r="V83" i="8" a="1"/>
  <c r="V66" i="8" a="1"/>
  <c r="X61" i="15" a="1"/>
  <c r="V55" i="8" a="1"/>
  <c r="X50" i="15" a="1"/>
  <c r="V84" i="8" a="1"/>
  <c r="V56" i="8" a="1"/>
  <c r="V76" i="8" a="1"/>
  <c r="V64" i="8" a="1"/>
  <c r="V65" i="8" a="1"/>
  <c r="V86" i="8" a="1"/>
  <c r="V70" i="8" a="1"/>
  <c r="V58" i="8" a="1"/>
  <c r="V62" i="8" a="1"/>
  <c r="X59" i="15" a="1"/>
  <c r="X48" i="15" a="1"/>
  <c r="X58" i="15" a="1"/>
  <c r="X47" i="15" a="1"/>
  <c r="F62" i="15" a="1"/>
  <c r="X56" i="15" a="1"/>
  <c r="V60" i="8" a="1"/>
  <c r="V52" i="8" l="1"/>
  <c r="V53" i="8"/>
  <c r="V56" i="8"/>
  <c r="V54" i="8"/>
  <c r="V55" i="8"/>
  <c r="V77" i="8"/>
  <c r="V79" i="8"/>
  <c r="V76" i="8"/>
  <c r="V80" i="8"/>
  <c r="V78" i="8"/>
  <c r="V124" i="15"/>
  <c r="R124" i="15"/>
  <c r="N124" i="15"/>
  <c r="J124" i="15"/>
  <c r="F124" i="15"/>
  <c r="T124" i="15"/>
  <c r="P124" i="15"/>
  <c r="L124" i="15"/>
  <c r="W124" i="15"/>
  <c r="U124" i="15"/>
  <c r="Q124" i="15"/>
  <c r="M124" i="15"/>
  <c r="I124" i="15"/>
  <c r="E124" i="15"/>
  <c r="H124" i="15"/>
  <c r="S124" i="15"/>
  <c r="O124" i="15"/>
  <c r="K124" i="15"/>
  <c r="G124" i="15"/>
  <c r="D62" i="15"/>
  <c r="D125" i="15" s="1"/>
  <c r="B125" i="15"/>
  <c r="C62" i="15"/>
  <c r="C125" i="15" s="1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46" i="15"/>
  <c r="X109" i="15" s="1"/>
  <c r="X52" i="15"/>
  <c r="X115" i="15" s="1"/>
  <c r="X58" i="15"/>
  <c r="X121" i="15" s="1"/>
  <c r="X43" i="15"/>
  <c r="X106" i="15" s="1"/>
  <c r="X48" i="15"/>
  <c r="X111" i="15" s="1"/>
  <c r="X53" i="15"/>
  <c r="X116" i="15" s="1"/>
  <c r="X57" i="15"/>
  <c r="X120" i="15" s="1"/>
  <c r="X60" i="15"/>
  <c r="X123" i="15" s="1"/>
  <c r="X59" i="15"/>
  <c r="X122" i="15" s="1"/>
  <c r="X45" i="15"/>
  <c r="X108" i="15" s="1"/>
  <c r="X54" i="15"/>
  <c r="X117" i="15" s="1"/>
  <c r="X50" i="15"/>
  <c r="X113" i="15" s="1"/>
  <c r="X47" i="15"/>
  <c r="X110" i="15" s="1"/>
  <c r="X61" i="15"/>
  <c r="X124" i="15" s="1"/>
  <c r="X44" i="15"/>
  <c r="X107" i="15" s="1"/>
  <c r="X51" i="15"/>
  <c r="X114" i="15" s="1"/>
  <c r="X55" i="15"/>
  <c r="X118" i="15" s="1"/>
  <c r="X49" i="15"/>
  <c r="X112" i="15" s="1"/>
  <c r="X56" i="15"/>
  <c r="X119" i="15" s="1"/>
  <c r="X62" i="15"/>
  <c r="Z38" i="15"/>
  <c r="Y39" i="15"/>
  <c r="Y105" i="15" s="1"/>
  <c r="B63" i="15"/>
  <c r="B186" i="15" s="1"/>
  <c r="V104" i="8"/>
  <c r="V86" i="8"/>
  <c r="V74" i="8"/>
  <c r="V68" i="8"/>
  <c r="V62" i="8"/>
  <c r="U98" i="8"/>
  <c r="U92" i="8"/>
  <c r="U91" i="8"/>
  <c r="U89" i="8"/>
  <c r="V59" i="8"/>
  <c r="V61" i="8"/>
  <c r="V60" i="8"/>
  <c r="V66" i="8"/>
  <c r="V65" i="8"/>
  <c r="V67" i="8"/>
  <c r="V72" i="8"/>
  <c r="V71" i="8"/>
  <c r="V73" i="8"/>
  <c r="V85" i="8"/>
  <c r="V84" i="8"/>
  <c r="V83" i="8"/>
  <c r="U90" i="8"/>
  <c r="U96" i="8"/>
  <c r="V102" i="8"/>
  <c r="V58" i="8"/>
  <c r="V64" i="8"/>
  <c r="V82" i="8"/>
  <c r="V70" i="8"/>
  <c r="V103" i="8"/>
  <c r="V101" i="8"/>
  <c r="V100" i="8"/>
  <c r="U97" i="8"/>
  <c r="U88" i="8"/>
  <c r="U94" i="8"/>
  <c r="W50" i="8"/>
  <c r="U95" i="8"/>
  <c r="W80" i="8" a="1"/>
  <c r="W55" i="8" a="1"/>
  <c r="W68" i="8" a="1"/>
  <c r="W52" i="8" a="1"/>
  <c r="X63" i="15" a="1"/>
  <c r="W62" i="8" a="1"/>
  <c r="Y59" i="15" a="1"/>
  <c r="Y46" i="15" a="1"/>
  <c r="W63" i="15" a="1"/>
  <c r="W70" i="8" a="1"/>
  <c r="W65" i="8" a="1"/>
  <c r="Y60" i="15" a="1"/>
  <c r="Y51" i="15" a="1"/>
  <c r="D63" i="15" a="1"/>
  <c r="Y58" i="15" a="1"/>
  <c r="Y48" i="15" a="1"/>
  <c r="Y52" i="15" a="1"/>
  <c r="W103" i="8" a="1"/>
  <c r="W66" i="8" a="1"/>
  <c r="Z39" i="15" a="1"/>
  <c r="C63" i="15" a="1"/>
  <c r="O63" i="15" a="1"/>
  <c r="W71" i="8" a="1"/>
  <c r="W102" i="8" a="1"/>
  <c r="V63" i="15" a="1"/>
  <c r="W100" i="8" a="1"/>
  <c r="H63" i="15" a="1"/>
  <c r="Y43" i="15" a="1"/>
  <c r="E63" i="15" a="1"/>
  <c r="Y54" i="15" a="1"/>
  <c r="W86" i="8" a="1"/>
  <c r="G63" i="15" a="1"/>
  <c r="W84" i="8" a="1"/>
  <c r="W82" i="8" a="1"/>
  <c r="N63" i="15" a="1"/>
  <c r="M63" i="15" a="1"/>
  <c r="S63" i="15" a="1"/>
  <c r="W74" i="8" a="1"/>
  <c r="W60" i="8" a="1"/>
  <c r="W83" i="8" a="1"/>
  <c r="Y49" i="15" a="1"/>
  <c r="W64" i="8" a="1"/>
  <c r="I63" i="15" a="1"/>
  <c r="W79" i="8" a="1"/>
  <c r="Y61" i="15" a="1"/>
  <c r="Y57" i="15" a="1"/>
  <c r="W85" i="8" a="1"/>
  <c r="W73" i="8" a="1"/>
  <c r="W101" i="8" a="1"/>
  <c r="T63" i="15" a="1"/>
  <c r="Y44" i="15" a="1"/>
  <c r="W61" i="8" a="1"/>
  <c r="Y63" i="15" a="1"/>
  <c r="U63" i="15" a="1"/>
  <c r="Y55" i="15" a="1"/>
  <c r="Y50" i="15" a="1"/>
  <c r="J63" i="15" a="1"/>
  <c r="Y45" i="15" a="1"/>
  <c r="W56" i="8" a="1"/>
  <c r="Y53" i="15" a="1"/>
  <c r="W72" i="8" a="1"/>
  <c r="Y47" i="15" a="1"/>
  <c r="W77" i="8" a="1"/>
  <c r="W67" i="8" a="1"/>
  <c r="W58" i="8" a="1"/>
  <c r="W54" i="8" a="1"/>
  <c r="R63" i="15" a="1"/>
  <c r="L63" i="15" a="1"/>
  <c r="W104" i="8" a="1"/>
  <c r="W59" i="8" a="1"/>
  <c r="Y56" i="15" a="1"/>
  <c r="F63" i="15" a="1"/>
  <c r="W78" i="8" a="1"/>
  <c r="K63" i="15" a="1"/>
  <c r="W76" i="8" a="1"/>
  <c r="Q63" i="15" a="1"/>
  <c r="Y62" i="15" a="1"/>
  <c r="W53" i="8" a="1"/>
  <c r="P63" i="15" a="1"/>
  <c r="V125" i="15" l="1"/>
  <c r="R125" i="15"/>
  <c r="N125" i="15"/>
  <c r="W56" i="8"/>
  <c r="W54" i="8"/>
  <c r="W53" i="8"/>
  <c r="W52" i="8"/>
  <c r="W55" i="8"/>
  <c r="W78" i="8"/>
  <c r="W77" i="8"/>
  <c r="W76" i="8"/>
  <c r="W80" i="8"/>
  <c r="W79" i="8"/>
  <c r="J125" i="15"/>
  <c r="F125" i="15"/>
  <c r="T125" i="15"/>
  <c r="P125" i="15"/>
  <c r="L125" i="15"/>
  <c r="H125" i="15"/>
  <c r="U125" i="15"/>
  <c r="Q125" i="15"/>
  <c r="M125" i="15"/>
  <c r="I125" i="15"/>
  <c r="E125" i="15"/>
  <c r="X125" i="15"/>
  <c r="W125" i="15"/>
  <c r="S125" i="15"/>
  <c r="O125" i="15"/>
  <c r="K125" i="15"/>
  <c r="G125" i="15"/>
  <c r="D63" i="15"/>
  <c r="D126" i="15" s="1"/>
  <c r="B126" i="15"/>
  <c r="C63" i="15"/>
  <c r="C126" i="15" s="1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50" i="15"/>
  <c r="Y113" i="15" s="1"/>
  <c r="Y57" i="15"/>
  <c r="Y120" i="15" s="1"/>
  <c r="Y43" i="15"/>
  <c r="Y106" i="15" s="1"/>
  <c r="Y47" i="15"/>
  <c r="Y110" i="15" s="1"/>
  <c r="Y51" i="15"/>
  <c r="Y114" i="15" s="1"/>
  <c r="Y54" i="15"/>
  <c r="Y117" i="15" s="1"/>
  <c r="Y58" i="15"/>
  <c r="Y121" i="15" s="1"/>
  <c r="Y61" i="15"/>
  <c r="Y124" i="15" s="1"/>
  <c r="Y60" i="15"/>
  <c r="Y123" i="15" s="1"/>
  <c r="Y45" i="15"/>
  <c r="Y108" i="15" s="1"/>
  <c r="Y48" i="15"/>
  <c r="Y111" i="15" s="1"/>
  <c r="Y55" i="15"/>
  <c r="Y118" i="15" s="1"/>
  <c r="Y59" i="15"/>
  <c r="Y122" i="15" s="1"/>
  <c r="Y44" i="15"/>
  <c r="Y107" i="15" s="1"/>
  <c r="Y49" i="15"/>
  <c r="Y112" i="15" s="1"/>
  <c r="Y52" i="15"/>
  <c r="Y115" i="15" s="1"/>
  <c r="Y56" i="15"/>
  <c r="Y119" i="15" s="1"/>
  <c r="Y63" i="15"/>
  <c r="Y62" i="15"/>
  <c r="Y125" i="15" s="1"/>
  <c r="Y46" i="15"/>
  <c r="Y109" i="15" s="1"/>
  <c r="Y53" i="15"/>
  <c r="Y116" i="15" s="1"/>
  <c r="AA38" i="15"/>
  <c r="Z39" i="15"/>
  <c r="Z105" i="15" s="1"/>
  <c r="B64" i="15"/>
  <c r="B187" i="15" s="1"/>
  <c r="V98" i="8"/>
  <c r="W104" i="8"/>
  <c r="W86" i="8"/>
  <c r="W74" i="8"/>
  <c r="W68" i="8"/>
  <c r="W62" i="8"/>
  <c r="V92" i="8"/>
  <c r="V89" i="8"/>
  <c r="W61" i="8"/>
  <c r="W59" i="8"/>
  <c r="W60" i="8"/>
  <c r="W65" i="8"/>
  <c r="W67" i="8"/>
  <c r="W66" i="8"/>
  <c r="W73" i="8"/>
  <c r="W71" i="8"/>
  <c r="W72" i="8"/>
  <c r="W83" i="8"/>
  <c r="W84" i="8"/>
  <c r="W85" i="8"/>
  <c r="V91" i="8"/>
  <c r="V90" i="8"/>
  <c r="V96" i="8"/>
  <c r="W102" i="8"/>
  <c r="W58" i="8"/>
  <c r="W64" i="8"/>
  <c r="W82" i="8"/>
  <c r="W70" i="8"/>
  <c r="W103" i="8"/>
  <c r="W101" i="8"/>
  <c r="W100" i="8"/>
  <c r="V88" i="8"/>
  <c r="V94" i="8"/>
  <c r="X50" i="8"/>
  <c r="V97" i="8"/>
  <c r="V95" i="8"/>
  <c r="Z52" i="15" a="1"/>
  <c r="Q64" i="15" a="1"/>
  <c r="X66" i="8" a="1"/>
  <c r="P64" i="15" a="1"/>
  <c r="X62" i="8" a="1"/>
  <c r="X55" i="8" a="1"/>
  <c r="Z50" i="15" a="1"/>
  <c r="V64" i="15" a="1"/>
  <c r="Z63" i="15" a="1"/>
  <c r="X100" i="8" a="1"/>
  <c r="M64" i="15" a="1"/>
  <c r="X83" i="8" a="1"/>
  <c r="Z46" i="15" a="1"/>
  <c r="K64" i="15" a="1"/>
  <c r="Z45" i="15" a="1"/>
  <c r="X53" i="8" a="1"/>
  <c r="F64" i="15" a="1"/>
  <c r="R64" i="15" a="1"/>
  <c r="N64" i="15" a="1"/>
  <c r="X68" i="8" a="1"/>
  <c r="X70" i="8" a="1"/>
  <c r="X86" i="8" a="1"/>
  <c r="X74" i="8" a="1"/>
  <c r="J64" i="15" a="1"/>
  <c r="Z60" i="15" a="1"/>
  <c r="Z54" i="15" a="1"/>
  <c r="W64" i="15" a="1"/>
  <c r="X65" i="8" a="1"/>
  <c r="X64" i="15" a="1"/>
  <c r="X71" i="8" a="1"/>
  <c r="O64" i="15" a="1"/>
  <c r="Z58" i="15" a="1"/>
  <c r="Z53" i="15" a="1"/>
  <c r="X52" i="8" a="1"/>
  <c r="X59" i="8" a="1"/>
  <c r="Z51" i="15" a="1"/>
  <c r="X60" i="8" a="1"/>
  <c r="U64" i="15" a="1"/>
  <c r="X77" i="8" a="1"/>
  <c r="Z43" i="15" a="1"/>
  <c r="D64" i="15" a="1"/>
  <c r="X61" i="8" a="1"/>
  <c r="Z59" i="15" a="1"/>
  <c r="Z64" i="15" a="1"/>
  <c r="Z62" i="15" a="1"/>
  <c r="E64" i="15" a="1"/>
  <c r="Z55" i="15" a="1"/>
  <c r="L64" i="15" a="1"/>
  <c r="X102" i="8" a="1"/>
  <c r="Z49" i="15" a="1"/>
  <c r="X85" i="8" a="1"/>
  <c r="G64" i="15" a="1"/>
  <c r="Z57" i="15" a="1"/>
  <c r="X80" i="8" a="1"/>
  <c r="T64" i="15" a="1"/>
  <c r="X82" i="8" a="1"/>
  <c r="X103" i="8" a="1"/>
  <c r="Z44" i="15" a="1"/>
  <c r="X67" i="8" a="1"/>
  <c r="X76" i="8" a="1"/>
  <c r="X56" i="8" a="1"/>
  <c r="Z56" i="15" a="1"/>
  <c r="X54" i="8" a="1"/>
  <c r="Y64" i="15" a="1"/>
  <c r="X64" i="8" a="1"/>
  <c r="X78" i="8" a="1"/>
  <c r="Z48" i="15" a="1"/>
  <c r="X72" i="8" a="1"/>
  <c r="Z61" i="15" a="1"/>
  <c r="S64" i="15" a="1"/>
  <c r="X79" i="8" a="1"/>
  <c r="X84" i="8" a="1"/>
  <c r="Z47" i="15" a="1"/>
  <c r="X104" i="8" a="1"/>
  <c r="X73" i="8" a="1"/>
  <c r="X101" i="8" a="1"/>
  <c r="C64" i="15" a="1"/>
  <c r="I64" i="15" a="1"/>
  <c r="H64" i="15" a="1"/>
  <c r="X58" i="8" a="1"/>
  <c r="AA39" i="15" a="1"/>
  <c r="X55" i="8" l="1"/>
  <c r="X56" i="8"/>
  <c r="X54" i="8"/>
  <c r="X52" i="8"/>
  <c r="X53" i="8"/>
  <c r="X76" i="8"/>
  <c r="X80" i="8"/>
  <c r="X79" i="8"/>
  <c r="X78" i="8"/>
  <c r="X77" i="8"/>
  <c r="R126" i="15"/>
  <c r="Y126" i="15"/>
  <c r="V126" i="15"/>
  <c r="N126" i="15"/>
  <c r="F126" i="15"/>
  <c r="J126" i="15"/>
  <c r="X126" i="15"/>
  <c r="T126" i="15"/>
  <c r="P126" i="15"/>
  <c r="L126" i="15"/>
  <c r="H126" i="15"/>
  <c r="U126" i="15"/>
  <c r="Q126" i="15"/>
  <c r="M126" i="15"/>
  <c r="I126" i="15"/>
  <c r="E126" i="15"/>
  <c r="W126" i="15"/>
  <c r="S126" i="15"/>
  <c r="O126" i="15"/>
  <c r="K126" i="15"/>
  <c r="G126" i="15"/>
  <c r="D64" i="15"/>
  <c r="D127" i="15" s="1"/>
  <c r="B127" i="15"/>
  <c r="C64" i="15"/>
  <c r="C127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43" i="15"/>
  <c r="Z106" i="15" s="1"/>
  <c r="Z57" i="15"/>
  <c r="Z120" i="15" s="1"/>
  <c r="Z48" i="15"/>
  <c r="Z111" i="15" s="1"/>
  <c r="Z52" i="15"/>
  <c r="Z115" i="15" s="1"/>
  <c r="Z60" i="15"/>
  <c r="Z123" i="15" s="1"/>
  <c r="Z44" i="15"/>
  <c r="Z107" i="15" s="1"/>
  <c r="Z59" i="15"/>
  <c r="Z122" i="15" s="1"/>
  <c r="Z55" i="15"/>
  <c r="Z118" i="15" s="1"/>
  <c r="Z49" i="15"/>
  <c r="Z112" i="15" s="1"/>
  <c r="Z58" i="15"/>
  <c r="Z121" i="15" s="1"/>
  <c r="Z64" i="15"/>
  <c r="Z47" i="15"/>
  <c r="Z110" i="15" s="1"/>
  <c r="Z62" i="15"/>
  <c r="Z125" i="15" s="1"/>
  <c r="Z46" i="15"/>
  <c r="Z109" i="15" s="1"/>
  <c r="Z56" i="15"/>
  <c r="Z119" i="15" s="1"/>
  <c r="Z50" i="15"/>
  <c r="Z113" i="15" s="1"/>
  <c r="Z45" i="15"/>
  <c r="Z108" i="15" s="1"/>
  <c r="Z53" i="15"/>
  <c r="Z116" i="15" s="1"/>
  <c r="Z61" i="15"/>
  <c r="Z124" i="15" s="1"/>
  <c r="Z51" i="15"/>
  <c r="Z114" i="15" s="1"/>
  <c r="Z54" i="15"/>
  <c r="Z117" i="15" s="1"/>
  <c r="Z63" i="15"/>
  <c r="Z126" i="15" s="1"/>
  <c r="AB38" i="15"/>
  <c r="AA39" i="15"/>
  <c r="AA105" i="15" s="1"/>
  <c r="B65" i="15"/>
  <c r="B188" i="15" s="1"/>
  <c r="W98" i="8"/>
  <c r="X104" i="8"/>
  <c r="X86" i="8"/>
  <c r="X74" i="8"/>
  <c r="X68" i="8"/>
  <c r="X62" i="8"/>
  <c r="W92" i="8"/>
  <c r="W90" i="8"/>
  <c r="X61" i="8"/>
  <c r="X59" i="8"/>
  <c r="X60" i="8"/>
  <c r="X65" i="8"/>
  <c r="X66" i="8"/>
  <c r="X67" i="8"/>
  <c r="X71" i="8"/>
  <c r="X72" i="8"/>
  <c r="X73" i="8"/>
  <c r="X85" i="8"/>
  <c r="X83" i="8"/>
  <c r="X84" i="8"/>
  <c r="W89" i="8"/>
  <c r="W91" i="8"/>
  <c r="W95" i="8"/>
  <c r="W97" i="8"/>
  <c r="X102" i="8"/>
  <c r="X58" i="8"/>
  <c r="X64" i="8"/>
  <c r="X82" i="8"/>
  <c r="X70" i="8"/>
  <c r="X103" i="8"/>
  <c r="X101" i="8"/>
  <c r="X100" i="8"/>
  <c r="W94" i="8"/>
  <c r="W88" i="8"/>
  <c r="Y50" i="8"/>
  <c r="W96" i="8"/>
  <c r="Y77" i="8" a="1"/>
  <c r="Y71" i="8" a="1"/>
  <c r="AA50" i="15" a="1"/>
  <c r="AA57" i="15" a="1"/>
  <c r="Y64" i="8" a="1"/>
  <c r="L65" i="15" a="1"/>
  <c r="P65" i="15" a="1"/>
  <c r="Y73" i="8" a="1"/>
  <c r="E65" i="15" a="1"/>
  <c r="AA48" i="15" a="1"/>
  <c r="Y61" i="8" a="1"/>
  <c r="Y82" i="8" a="1"/>
  <c r="Y83" i="8" a="1"/>
  <c r="R65" i="15" a="1"/>
  <c r="X65" i="15" a="1"/>
  <c r="Y84" i="8" a="1"/>
  <c r="M65" i="15" a="1"/>
  <c r="AA56" i="15" a="1"/>
  <c r="AA59" i="15" a="1"/>
  <c r="Y72" i="8" a="1"/>
  <c r="AA64" i="15" a="1"/>
  <c r="AA63" i="15" a="1"/>
  <c r="Y58" i="8" a="1"/>
  <c r="Y67" i="8" a="1"/>
  <c r="Y74" i="8" a="1"/>
  <c r="Y62" i="8" a="1"/>
  <c r="Q65" i="15" a="1"/>
  <c r="AA47" i="15" a="1"/>
  <c r="Y86" i="8" a="1"/>
  <c r="AA61" i="15" a="1"/>
  <c r="Y66" i="8" a="1"/>
  <c r="K65" i="15" a="1"/>
  <c r="H65" i="15" a="1"/>
  <c r="Y60" i="8" a="1"/>
  <c r="Y80" i="8" a="1"/>
  <c r="AA51" i="15" a="1"/>
  <c r="I65" i="15" a="1"/>
  <c r="AA65" i="15" a="1"/>
  <c r="U65" i="15" a="1"/>
  <c r="S65" i="15" a="1"/>
  <c r="Y65" i="8" a="1"/>
  <c r="AA58" i="15" a="1"/>
  <c r="Y85" i="8" a="1"/>
  <c r="AA60" i="15" a="1"/>
  <c r="AA44" i="15" a="1"/>
  <c r="Y59" i="8" a="1"/>
  <c r="Z65" i="15" a="1"/>
  <c r="Y70" i="8" a="1"/>
  <c r="J65" i="15" a="1"/>
  <c r="N65" i="15" a="1"/>
  <c r="Y54" i="8" a="1"/>
  <c r="AA62" i="15" a="1"/>
  <c r="Y101" i="8" a="1"/>
  <c r="Y55" i="8" a="1"/>
  <c r="AA45" i="15" a="1"/>
  <c r="AA55" i="15" a="1"/>
  <c r="T65" i="15" a="1"/>
  <c r="Y76" i="8" a="1"/>
  <c r="Y102" i="8" a="1"/>
  <c r="Y56" i="8" a="1"/>
  <c r="AA43" i="15" a="1"/>
  <c r="F65" i="15" a="1"/>
  <c r="O65" i="15" a="1"/>
  <c r="Y103" i="8" a="1"/>
  <c r="Y100" i="8" a="1"/>
  <c r="G65" i="15" a="1"/>
  <c r="Y68" i="8" a="1"/>
  <c r="V65" i="15" a="1"/>
  <c r="AA54" i="15" a="1"/>
  <c r="Y104" i="8" a="1"/>
  <c r="Y78" i="8" a="1"/>
  <c r="D65" i="15" a="1"/>
  <c r="Y53" i="8" a="1"/>
  <c r="AA53" i="15" a="1"/>
  <c r="Y79" i="8" a="1"/>
  <c r="AA52" i="15" a="1"/>
  <c r="W65" i="15" a="1"/>
  <c r="AA49" i="15" a="1"/>
  <c r="Y65" i="15" a="1"/>
  <c r="Y52" i="8" a="1"/>
  <c r="AA46" i="15" a="1"/>
  <c r="C65" i="15" a="1"/>
  <c r="AC38" i="15" l="1"/>
  <c r="Y54" i="8"/>
  <c r="Y56" i="8"/>
  <c r="Y53" i="8"/>
  <c r="Y52" i="8"/>
  <c r="Y55" i="8"/>
  <c r="Y78" i="8"/>
  <c r="Y80" i="8"/>
  <c r="Y79" i="8"/>
  <c r="Y76" i="8"/>
  <c r="Y77" i="8"/>
  <c r="V127" i="15"/>
  <c r="R127" i="15"/>
  <c r="N127" i="15"/>
  <c r="K127" i="15"/>
  <c r="F127" i="15"/>
  <c r="Z127" i="15"/>
  <c r="X127" i="15"/>
  <c r="T127" i="15"/>
  <c r="P127" i="15"/>
  <c r="L127" i="15"/>
  <c r="H127" i="15"/>
  <c r="W127" i="15"/>
  <c r="S127" i="15"/>
  <c r="O127" i="15"/>
  <c r="J127" i="15"/>
  <c r="G127" i="15"/>
  <c r="Y127" i="15"/>
  <c r="U127" i="15"/>
  <c r="Q127" i="15"/>
  <c r="M127" i="15"/>
  <c r="I127" i="15"/>
  <c r="E127" i="15"/>
  <c r="D65" i="15"/>
  <c r="D128" i="15" s="1"/>
  <c r="B128" i="15"/>
  <c r="C65" i="15"/>
  <c r="C128" i="15" s="1"/>
  <c r="E65" i="15"/>
  <c r="F65" i="15"/>
  <c r="G65" i="15"/>
  <c r="H65" i="15"/>
  <c r="I65" i="15"/>
  <c r="K65" i="15"/>
  <c r="J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Z65" i="15"/>
  <c r="Z128" i="15" s="1"/>
  <c r="AA45" i="15"/>
  <c r="AA108" i="15" s="1"/>
  <c r="AA61" i="15"/>
  <c r="AA124" i="15" s="1"/>
  <c r="AA55" i="15"/>
  <c r="AA118" i="15" s="1"/>
  <c r="AA63" i="15"/>
  <c r="AA126" i="15" s="1"/>
  <c r="AA43" i="15"/>
  <c r="AA106" i="15" s="1"/>
  <c r="AA52" i="15"/>
  <c r="AA115" i="15" s="1"/>
  <c r="AA47" i="15"/>
  <c r="AA110" i="15" s="1"/>
  <c r="AA51" i="15"/>
  <c r="AA114" i="15" s="1"/>
  <c r="AA56" i="15"/>
  <c r="AA119" i="15" s="1"/>
  <c r="AA58" i="15"/>
  <c r="AA121" i="15" s="1"/>
  <c r="AA48" i="15"/>
  <c r="AA111" i="15" s="1"/>
  <c r="AA60" i="15"/>
  <c r="AA123" i="15" s="1"/>
  <c r="AA44" i="15"/>
  <c r="AA107" i="15" s="1"/>
  <c r="AA59" i="15"/>
  <c r="AA122" i="15" s="1"/>
  <c r="AA53" i="15"/>
  <c r="AA116" i="15" s="1"/>
  <c r="AA62" i="15"/>
  <c r="AA125" i="15" s="1"/>
  <c r="AA46" i="15"/>
  <c r="AA109" i="15" s="1"/>
  <c r="AA57" i="15"/>
  <c r="AA120" i="15" s="1"/>
  <c r="AA49" i="15"/>
  <c r="AA112" i="15" s="1"/>
  <c r="AA54" i="15"/>
  <c r="AA117" i="15" s="1"/>
  <c r="AA64" i="15"/>
  <c r="AA127" i="15" s="1"/>
  <c r="AA50" i="15"/>
  <c r="AA113" i="15" s="1"/>
  <c r="AA65" i="15"/>
  <c r="B66" i="15"/>
  <c r="B189" i="15" s="1"/>
  <c r="X98" i="8"/>
  <c r="Y104" i="8"/>
  <c r="Y86" i="8"/>
  <c r="Y74" i="8"/>
  <c r="Y68" i="8"/>
  <c r="Y62" i="8"/>
  <c r="X92" i="8"/>
  <c r="X89" i="8"/>
  <c r="X91" i="8"/>
  <c r="Y60" i="8"/>
  <c r="Y59" i="8"/>
  <c r="Y61" i="8"/>
  <c r="Y65" i="8"/>
  <c r="Y67" i="8"/>
  <c r="Y66" i="8"/>
  <c r="Y73" i="8"/>
  <c r="Y71" i="8"/>
  <c r="Y72" i="8"/>
  <c r="Y84" i="8"/>
  <c r="Y83" i="8"/>
  <c r="Y85" i="8"/>
  <c r="X90" i="8"/>
  <c r="X96" i="8"/>
  <c r="Y102" i="8"/>
  <c r="Y58" i="8"/>
  <c r="Y64" i="8"/>
  <c r="Y82" i="8"/>
  <c r="Y70" i="8"/>
  <c r="Y103" i="8"/>
  <c r="Y101" i="8"/>
  <c r="Y100" i="8"/>
  <c r="X95" i="8"/>
  <c r="X88" i="8"/>
  <c r="X94" i="8"/>
  <c r="Z50" i="8"/>
  <c r="X97" i="8"/>
  <c r="AB62" i="15" a="1"/>
  <c r="V66" i="15" a="1"/>
  <c r="AB57" i="15" a="1"/>
  <c r="AB45" i="15" a="1"/>
  <c r="L66" i="15" a="1"/>
  <c r="M66" i="15" a="1"/>
  <c r="AB43" i="15" a="1"/>
  <c r="AA66" i="15" a="1"/>
  <c r="X66" i="15" a="1"/>
  <c r="Z59" i="8" a="1"/>
  <c r="AC44" i="15" a="1"/>
  <c r="D66" i="15" a="1"/>
  <c r="Z54" i="8" a="1"/>
  <c r="AC58" i="15" a="1"/>
  <c r="K66" i="15" a="1"/>
  <c r="Z73" i="8" a="1"/>
  <c r="AC51" i="15" a="1"/>
  <c r="Z72" i="8" a="1"/>
  <c r="Z76" i="8" a="1"/>
  <c r="AC43" i="15" a="1"/>
  <c r="AC54" i="15" a="1"/>
  <c r="AB64" i="15" a="1"/>
  <c r="AB61" i="15" a="1"/>
  <c r="AB50" i="15" a="1"/>
  <c r="E66" i="15" a="1"/>
  <c r="Z100" i="8" a="1"/>
  <c r="Z104" i="8" a="1"/>
  <c r="AC64" i="15" a="1"/>
  <c r="Z84" i="8" a="1"/>
  <c r="AC55" i="15" a="1"/>
  <c r="AC45" i="15" a="1"/>
  <c r="Z102" i="8" a="1"/>
  <c r="P66" i="15" a="1"/>
  <c r="Z79" i="8" a="1"/>
  <c r="Z56" i="8" a="1"/>
  <c r="AC63" i="15" a="1"/>
  <c r="J66" i="15" a="1"/>
  <c r="AB39" i="15" a="1"/>
  <c r="AC56" i="15" a="1"/>
  <c r="AC46" i="15" a="1"/>
  <c r="AB65" i="15" a="1"/>
  <c r="Z66" i="15" a="1"/>
  <c r="Z68" i="8" a="1"/>
  <c r="Z101" i="8" a="1"/>
  <c r="Z86" i="8" a="1"/>
  <c r="F66" i="15" a="1"/>
  <c r="Z82" i="8" a="1"/>
  <c r="Z61" i="8" a="1"/>
  <c r="AB55" i="15" a="1"/>
  <c r="AB53" i="15" a="1"/>
  <c r="Z74" i="8" a="1"/>
  <c r="R66" i="15" a="1"/>
  <c r="AC57" i="15" a="1"/>
  <c r="Z65" i="8" a="1"/>
  <c r="AC53" i="15" a="1"/>
  <c r="AC66" i="15" a="1"/>
  <c r="AB63" i="15" a="1"/>
  <c r="I66" i="15" a="1"/>
  <c r="G66" i="15" a="1"/>
  <c r="AC39" i="15" a="1"/>
  <c r="S66" i="15" a="1"/>
  <c r="Z55" i="8" a="1"/>
  <c r="O66" i="15" a="1"/>
  <c r="Z85" i="8" a="1"/>
  <c r="Y66" i="15" a="1"/>
  <c r="T66" i="15" a="1"/>
  <c r="Z71" i="8" a="1"/>
  <c r="AB46" i="15" a="1"/>
  <c r="Z66" i="8" a="1"/>
  <c r="Z103" i="8" a="1"/>
  <c r="C66" i="15" a="1"/>
  <c r="AC47" i="15" a="1"/>
  <c r="N66" i="15" a="1"/>
  <c r="Z52" i="8" a="1"/>
  <c r="Z77" i="8" a="1"/>
  <c r="Z83" i="8" a="1"/>
  <c r="AB48" i="15" a="1"/>
  <c r="AB66" i="15" a="1"/>
  <c r="Z62" i="8" a="1"/>
  <c r="AC52" i="15" a="1"/>
  <c r="Q66" i="15" a="1"/>
  <c r="Z80" i="8" a="1"/>
  <c r="AB56" i="15" a="1"/>
  <c r="AB52" i="15" a="1"/>
  <c r="AC60" i="15" a="1"/>
  <c r="AC59" i="15" a="1"/>
  <c r="AB58" i="15" a="1"/>
  <c r="AC65" i="15" a="1"/>
  <c r="U66" i="15" a="1"/>
  <c r="AC62" i="15" a="1"/>
  <c r="AB49" i="15" a="1"/>
  <c r="Z78" i="8" a="1"/>
  <c r="Z70" i="8" a="1"/>
  <c r="AB44" i="15" a="1"/>
  <c r="AB51" i="15" a="1"/>
  <c r="AB54" i="15" a="1"/>
  <c r="Z58" i="8" a="1"/>
  <c r="AB59" i="15" a="1"/>
  <c r="Z64" i="8" a="1"/>
  <c r="AC49" i="15" a="1"/>
  <c r="AB60" i="15" a="1"/>
  <c r="Z53" i="8" a="1"/>
  <c r="AC50" i="15" a="1"/>
  <c r="Z67" i="8" a="1"/>
  <c r="AC61" i="15" a="1"/>
  <c r="W66" i="15" a="1"/>
  <c r="H66" i="15" a="1"/>
  <c r="AC48" i="15" a="1"/>
  <c r="AB47" i="15" a="1"/>
  <c r="Z60" i="8" a="1"/>
  <c r="AD38" i="15" l="1"/>
  <c r="AE38" i="15" s="1"/>
  <c r="V128" i="15"/>
  <c r="Z56" i="8"/>
  <c r="Z54" i="8"/>
  <c r="Z53" i="8"/>
  <c r="Z52" i="8"/>
  <c r="Z55" i="8"/>
  <c r="Z77" i="8"/>
  <c r="Z76" i="8"/>
  <c r="Z79" i="8"/>
  <c r="Z78" i="8"/>
  <c r="Z80" i="8"/>
  <c r="N128" i="15"/>
  <c r="R128" i="15"/>
  <c r="AB39" i="15"/>
  <c r="AB105" i="15" s="1"/>
  <c r="K128" i="15"/>
  <c r="F128" i="15"/>
  <c r="X128" i="15"/>
  <c r="T128" i="15"/>
  <c r="P128" i="15"/>
  <c r="L128" i="15"/>
  <c r="H128" i="15"/>
  <c r="W128" i="15"/>
  <c r="S128" i="15"/>
  <c r="O128" i="15"/>
  <c r="J128" i="15"/>
  <c r="G128" i="15"/>
  <c r="AA128" i="15"/>
  <c r="Y128" i="15"/>
  <c r="U128" i="15"/>
  <c r="Q128" i="15"/>
  <c r="M128" i="15"/>
  <c r="I128" i="15"/>
  <c r="E128" i="15"/>
  <c r="D66" i="15"/>
  <c r="D129" i="15" s="1"/>
  <c r="B129" i="15"/>
  <c r="C66" i="15"/>
  <c r="C129" i="15" s="1"/>
  <c r="E66" i="15"/>
  <c r="F66" i="15"/>
  <c r="G66" i="15"/>
  <c r="H66" i="15"/>
  <c r="I66" i="15"/>
  <c r="K66" i="15"/>
  <c r="J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49" i="15"/>
  <c r="AB112" i="15" s="1"/>
  <c r="AB47" i="15"/>
  <c r="AB110" i="15" s="1"/>
  <c r="AC50" i="15"/>
  <c r="AC113" i="15" s="1"/>
  <c r="AB44" i="15"/>
  <c r="AB107" i="15" s="1"/>
  <c r="AB51" i="15"/>
  <c r="AB114" i="15" s="1"/>
  <c r="AB55" i="15"/>
  <c r="AB118" i="15" s="1"/>
  <c r="AB50" i="15"/>
  <c r="AB113" i="15" s="1"/>
  <c r="AB63" i="15"/>
  <c r="AB126" i="15" s="1"/>
  <c r="AB61" i="15"/>
  <c r="AB124" i="15" s="1"/>
  <c r="AC43" i="15"/>
  <c r="AC106" i="15" s="1"/>
  <c r="AC47" i="15"/>
  <c r="AC110" i="15" s="1"/>
  <c r="AC51" i="15"/>
  <c r="AC114" i="15" s="1"/>
  <c r="AC53" i="15"/>
  <c r="AC116" i="15" s="1"/>
  <c r="AC60" i="15"/>
  <c r="AC123" i="15" s="1"/>
  <c r="AC66" i="15"/>
  <c r="AC64" i="15"/>
  <c r="AC127" i="15" s="1"/>
  <c r="AB52" i="15"/>
  <c r="AB115" i="15" s="1"/>
  <c r="AB60" i="15"/>
  <c r="AB123" i="15" s="1"/>
  <c r="AB65" i="15"/>
  <c r="AB128" i="15" s="1"/>
  <c r="AC48" i="15"/>
  <c r="AC111" i="15" s="1"/>
  <c r="AC57" i="15"/>
  <c r="AC120" i="15" s="1"/>
  <c r="AC54" i="15"/>
  <c r="AC117" i="15" s="1"/>
  <c r="AC61" i="15"/>
  <c r="AC124" i="15" s="1"/>
  <c r="AC59" i="15"/>
  <c r="AC122" i="15" s="1"/>
  <c r="AB46" i="15"/>
  <c r="AB109" i="15" s="1"/>
  <c r="AB56" i="15"/>
  <c r="AB119" i="15" s="1"/>
  <c r="AB64" i="15"/>
  <c r="AB127" i="15" s="1"/>
  <c r="AC45" i="15"/>
  <c r="AC108" i="15" s="1"/>
  <c r="AB43" i="15"/>
  <c r="AB106" i="15" s="1"/>
  <c r="AB48" i="15"/>
  <c r="AB111" i="15" s="1"/>
  <c r="AB53" i="15"/>
  <c r="AB116" i="15" s="1"/>
  <c r="AB58" i="15"/>
  <c r="AB121" i="15" s="1"/>
  <c r="AB57" i="15"/>
  <c r="AB120" i="15" s="1"/>
  <c r="AB62" i="15"/>
  <c r="AB125" i="15" s="1"/>
  <c r="AC44" i="15"/>
  <c r="AC107" i="15" s="1"/>
  <c r="AC49" i="15"/>
  <c r="AC112" i="15" s="1"/>
  <c r="AC58" i="15"/>
  <c r="AC121" i="15" s="1"/>
  <c r="AC55" i="15"/>
  <c r="AC118" i="15" s="1"/>
  <c r="AC65" i="15"/>
  <c r="AC128" i="15" s="1"/>
  <c r="AC63" i="15"/>
  <c r="AC126" i="15" s="1"/>
  <c r="AB45" i="15"/>
  <c r="AB108" i="15" s="1"/>
  <c r="AB54" i="15"/>
  <c r="AB117" i="15" s="1"/>
  <c r="AB59" i="15"/>
  <c r="AB122" i="15" s="1"/>
  <c r="AB66" i="15"/>
  <c r="AC46" i="15"/>
  <c r="AC109" i="15" s="1"/>
  <c r="AC52" i="15"/>
  <c r="AC115" i="15" s="1"/>
  <c r="AC56" i="15"/>
  <c r="AC119" i="15" s="1"/>
  <c r="AC62" i="15"/>
  <c r="AC125" i="15" s="1"/>
  <c r="AC39" i="15"/>
  <c r="AC105" i="15" s="1"/>
  <c r="B67" i="15"/>
  <c r="B190" i="15" s="1"/>
  <c r="Z104" i="8"/>
  <c r="Z86" i="8"/>
  <c r="Z74" i="8"/>
  <c r="Z68" i="8"/>
  <c r="Z62" i="8"/>
  <c r="Y98" i="8"/>
  <c r="Y92" i="8"/>
  <c r="Y90" i="8"/>
  <c r="Y89" i="8"/>
  <c r="Z61" i="8"/>
  <c r="Z60" i="8"/>
  <c r="Z59" i="8"/>
  <c r="Z67" i="8"/>
  <c r="Z66" i="8"/>
  <c r="Z65" i="8"/>
  <c r="Z71" i="8"/>
  <c r="Z73" i="8"/>
  <c r="Z72" i="8"/>
  <c r="Z84" i="8"/>
  <c r="Z85" i="8"/>
  <c r="Z83" i="8"/>
  <c r="Y91" i="8"/>
  <c r="Y95" i="8"/>
  <c r="Y96" i="8"/>
  <c r="Z102" i="8"/>
  <c r="Z58" i="8"/>
  <c r="Z64" i="8"/>
  <c r="Z82" i="8"/>
  <c r="Z70" i="8"/>
  <c r="Z103" i="8"/>
  <c r="Z101" i="8"/>
  <c r="Z100" i="8"/>
  <c r="Y97" i="8"/>
  <c r="Y94" i="8"/>
  <c r="Y88" i="8"/>
  <c r="AA50" i="8"/>
  <c r="O67" i="15" a="1"/>
  <c r="AD65" i="15" a="1"/>
  <c r="M67" i="15" a="1"/>
  <c r="AD52" i="15" a="1"/>
  <c r="AA77" i="8" a="1"/>
  <c r="AA100" i="8" a="1"/>
  <c r="AD51" i="15" a="1"/>
  <c r="AA85" i="8" a="1"/>
  <c r="AA80" i="8" a="1"/>
  <c r="AA79" i="8" a="1"/>
  <c r="R67" i="15" a="1"/>
  <c r="AD48" i="15" a="1"/>
  <c r="AA67" i="15" a="1"/>
  <c r="AA74" i="8" a="1"/>
  <c r="AD45" i="15" a="1"/>
  <c r="AD43" i="15" a="1"/>
  <c r="AA65" i="8" a="1"/>
  <c r="AA67" i="8" a="1"/>
  <c r="AD39" i="15" a="1"/>
  <c r="P67" i="15" a="1"/>
  <c r="AD53" i="15" a="1"/>
  <c r="J67" i="15" a="1"/>
  <c r="V67" i="15" a="1"/>
  <c r="AA52" i="8" a="1"/>
  <c r="AA83" i="8" a="1"/>
  <c r="Q67" i="15" a="1"/>
  <c r="AA56" i="8" a="1"/>
  <c r="AA102" i="8" a="1"/>
  <c r="F67" i="15" a="1"/>
  <c r="AA60" i="8" a="1"/>
  <c r="L67" i="15" a="1"/>
  <c r="I67" i="15" a="1"/>
  <c r="AA103" i="8" a="1"/>
  <c r="AA53" i="8" a="1"/>
  <c r="AD61" i="15" a="1"/>
  <c r="X67" i="15" a="1"/>
  <c r="AD66" i="15" a="1"/>
  <c r="C67" i="15" a="1"/>
  <c r="AA62" i="8" a="1"/>
  <c r="AD62" i="15" a="1"/>
  <c r="S67" i="15" a="1"/>
  <c r="AA68" i="8" a="1"/>
  <c r="AD58" i="15" a="1"/>
  <c r="Z67" i="15" a="1"/>
  <c r="W67" i="15" a="1"/>
  <c r="AA82" i="8" a="1"/>
  <c r="AD46" i="15" a="1"/>
  <c r="K67" i="15" a="1"/>
  <c r="AD63" i="15" a="1"/>
  <c r="AD44" i="15" a="1"/>
  <c r="AA86" i="8" a="1"/>
  <c r="AA72" i="8" a="1"/>
  <c r="AA78" i="8" a="1"/>
  <c r="AA59" i="8" a="1"/>
  <c r="AD67" i="15" a="1"/>
  <c r="AD54" i="15" a="1"/>
  <c r="AA61" i="8" a="1"/>
  <c r="AA76" i="8" a="1"/>
  <c r="Y67" i="15" a="1"/>
  <c r="D67" i="15" a="1"/>
  <c r="T67" i="15" a="1"/>
  <c r="N67" i="15" a="1"/>
  <c r="AA54" i="8" a="1"/>
  <c r="AA104" i="8" a="1"/>
  <c r="H67" i="15" a="1"/>
  <c r="E67" i="15" a="1"/>
  <c r="AA71" i="8" a="1"/>
  <c r="AD47" i="15" a="1"/>
  <c r="AA55" i="8" a="1"/>
  <c r="U67" i="15" a="1"/>
  <c r="AD56" i="15" a="1"/>
  <c r="AD60" i="15" a="1"/>
  <c r="AC67" i="15" a="1"/>
  <c r="AD55" i="15" a="1"/>
  <c r="AA66" i="8" a="1"/>
  <c r="AD49" i="15" a="1"/>
  <c r="AA58" i="8" a="1"/>
  <c r="AA70" i="8" a="1"/>
  <c r="AA84" i="8" a="1"/>
  <c r="AD59" i="15" a="1"/>
  <c r="AA64" i="8" a="1"/>
  <c r="G67" i="15" a="1"/>
  <c r="AD57" i="15" a="1"/>
  <c r="AD64" i="15" a="1"/>
  <c r="AD50" i="15" a="1"/>
  <c r="AB67" i="15" a="1"/>
  <c r="AA101" i="8" a="1"/>
  <c r="AA73" i="8" a="1"/>
  <c r="AA55" i="8" l="1"/>
  <c r="AA54" i="8"/>
  <c r="AA52" i="8"/>
  <c r="AA53" i="8"/>
  <c r="AA56" i="8"/>
  <c r="AA79" i="8"/>
  <c r="AA76" i="8"/>
  <c r="AA80" i="8"/>
  <c r="AA77" i="8"/>
  <c r="AA78" i="8"/>
  <c r="X129" i="15"/>
  <c r="T129" i="15"/>
  <c r="P129" i="15"/>
  <c r="L129" i="15"/>
  <c r="H129" i="15"/>
  <c r="Y129" i="15"/>
  <c r="U129" i="15"/>
  <c r="Q129" i="15"/>
  <c r="M129" i="15"/>
  <c r="I129" i="15"/>
  <c r="AB129" i="15"/>
  <c r="AA129" i="15"/>
  <c r="W129" i="15"/>
  <c r="S129" i="15"/>
  <c r="O129" i="15"/>
  <c r="J129" i="15"/>
  <c r="G129" i="15"/>
  <c r="AC129" i="15"/>
  <c r="Z129" i="15"/>
  <c r="V129" i="15"/>
  <c r="R129" i="15"/>
  <c r="N129" i="15"/>
  <c r="K129" i="15"/>
  <c r="F129" i="15"/>
  <c r="E129" i="15"/>
  <c r="D67" i="15"/>
  <c r="D130" i="15" s="1"/>
  <c r="B130" i="15"/>
  <c r="C67" i="15"/>
  <c r="C130" i="15" s="1"/>
  <c r="E67" i="15"/>
  <c r="F67" i="15"/>
  <c r="G67" i="15"/>
  <c r="H67" i="15"/>
  <c r="I67" i="15"/>
  <c r="K67" i="15"/>
  <c r="J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Y67" i="15"/>
  <c r="Z67" i="15"/>
  <c r="AA67" i="15"/>
  <c r="AB67" i="15"/>
  <c r="AC67" i="15"/>
  <c r="AD46" i="15"/>
  <c r="AD109" i="15" s="1"/>
  <c r="AD51" i="15"/>
  <c r="AD114" i="15" s="1"/>
  <c r="AD63" i="15"/>
  <c r="AD126" i="15" s="1"/>
  <c r="AD43" i="15"/>
  <c r="AD106" i="15" s="1"/>
  <c r="AD50" i="15"/>
  <c r="AD113" i="15" s="1"/>
  <c r="AD56" i="15"/>
  <c r="AD119" i="15" s="1"/>
  <c r="AD52" i="15"/>
  <c r="AD115" i="15" s="1"/>
  <c r="AD64" i="15"/>
  <c r="AD127" i="15" s="1"/>
  <c r="AD58" i="15"/>
  <c r="AD121" i="15" s="1"/>
  <c r="AD67" i="15"/>
  <c r="AD47" i="15"/>
  <c r="AD110" i="15" s="1"/>
  <c r="AD60" i="15"/>
  <c r="AD123" i="15" s="1"/>
  <c r="AD48" i="15"/>
  <c r="AD111" i="15" s="1"/>
  <c r="AD62" i="15"/>
  <c r="AD125" i="15" s="1"/>
  <c r="AD55" i="15"/>
  <c r="AD118" i="15" s="1"/>
  <c r="AD45" i="15"/>
  <c r="AD108" i="15" s="1"/>
  <c r="AD53" i="15"/>
  <c r="AD116" i="15" s="1"/>
  <c r="AD57" i="15"/>
  <c r="AD120" i="15" s="1"/>
  <c r="AD65" i="15"/>
  <c r="AD128" i="15" s="1"/>
  <c r="AD44" i="15"/>
  <c r="AD107" i="15" s="1"/>
  <c r="AD61" i="15"/>
  <c r="AD124" i="15" s="1"/>
  <c r="AD54" i="15"/>
  <c r="AD117" i="15" s="1"/>
  <c r="AD49" i="15"/>
  <c r="AD112" i="15" s="1"/>
  <c r="AD59" i="15"/>
  <c r="AD122" i="15" s="1"/>
  <c r="AD66" i="15"/>
  <c r="AD129" i="15" s="1"/>
  <c r="AD39" i="15"/>
  <c r="AD105" i="15" s="1"/>
  <c r="AF38" i="15"/>
  <c r="B68" i="15"/>
  <c r="B191" i="15" s="1"/>
  <c r="AA104" i="8"/>
  <c r="AA86" i="8"/>
  <c r="AA74" i="8"/>
  <c r="AA68" i="8"/>
  <c r="AA62" i="8"/>
  <c r="Z98" i="8"/>
  <c r="Z92" i="8"/>
  <c r="Z91" i="8"/>
  <c r="AA60" i="8"/>
  <c r="AA61" i="8"/>
  <c r="AA59" i="8"/>
  <c r="AA65" i="8"/>
  <c r="AA66" i="8"/>
  <c r="AA67" i="8"/>
  <c r="AA73" i="8"/>
  <c r="AA71" i="8"/>
  <c r="AA72" i="8"/>
  <c r="AA83" i="8"/>
  <c r="AA84" i="8"/>
  <c r="AA85" i="8"/>
  <c r="Z89" i="8"/>
  <c r="Z90" i="8"/>
  <c r="Z97" i="8"/>
  <c r="Z95" i="8"/>
  <c r="AA102" i="8"/>
  <c r="AA58" i="8"/>
  <c r="AA64" i="8"/>
  <c r="AA82" i="8"/>
  <c r="AA70" i="8"/>
  <c r="AA103" i="8"/>
  <c r="AA101" i="8"/>
  <c r="AA100" i="8"/>
  <c r="Z88" i="8"/>
  <c r="Z94" i="8"/>
  <c r="AB50" i="8"/>
  <c r="Z96" i="8"/>
  <c r="AC68" i="15" a="1"/>
  <c r="AB68" i="15" a="1"/>
  <c r="Q68" i="15" a="1"/>
  <c r="AB66" i="8" a="1"/>
  <c r="E68" i="15" a="1"/>
  <c r="AE59" i="15" a="1"/>
  <c r="AE52" i="15" a="1"/>
  <c r="AB72" i="8" a="1"/>
  <c r="AE68" i="15" a="1"/>
  <c r="Z68" i="15" a="1"/>
  <c r="AE55" i="15" a="1"/>
  <c r="AE50" i="15" a="1"/>
  <c r="AE60" i="15" a="1"/>
  <c r="AB86" i="8" a="1"/>
  <c r="R68" i="15" a="1"/>
  <c r="AB70" i="8" a="1"/>
  <c r="AE62" i="15" a="1"/>
  <c r="G68" i="15" a="1"/>
  <c r="AE48" i="15" a="1"/>
  <c r="V68" i="15" a="1"/>
  <c r="AB61" i="8" a="1"/>
  <c r="AB100" i="8" a="1"/>
  <c r="AE58" i="15" a="1"/>
  <c r="AA68" i="15" a="1"/>
  <c r="AE65" i="15" a="1"/>
  <c r="AE63" i="15" a="1"/>
  <c r="AB71" i="8" a="1"/>
  <c r="AE53" i="15" a="1"/>
  <c r="AB83" i="8" a="1"/>
  <c r="AB55" i="8" a="1"/>
  <c r="N68" i="15" a="1"/>
  <c r="AB53" i="8" a="1"/>
  <c r="AE46" i="15" a="1"/>
  <c r="AB85" i="8" a="1"/>
  <c r="I68" i="15" a="1"/>
  <c r="AE47" i="15" a="1"/>
  <c r="O68" i="15" a="1"/>
  <c r="AE61" i="15" a="1"/>
  <c r="D68" i="15" a="1"/>
  <c r="H68" i="15" a="1"/>
  <c r="AB76" i="8" a="1"/>
  <c r="AB102" i="8" a="1"/>
  <c r="AB78" i="8" a="1"/>
  <c r="M68" i="15" a="1"/>
  <c r="W68" i="15" a="1"/>
  <c r="AE44" i="15" a="1"/>
  <c r="AE43" i="15" a="1"/>
  <c r="AB56" i="8" a="1"/>
  <c r="AB65" i="8" a="1"/>
  <c r="AB80" i="8" a="1"/>
  <c r="T68" i="15" a="1"/>
  <c r="AB73" i="8" a="1"/>
  <c r="X68" i="15" a="1"/>
  <c r="J68" i="15" a="1"/>
  <c r="S68" i="15" a="1"/>
  <c r="AE64" i="15" a="1"/>
  <c r="AB84" i="8" a="1"/>
  <c r="P68" i="15" a="1"/>
  <c r="AE45" i="15" a="1"/>
  <c r="AB79" i="8" a="1"/>
  <c r="AE49" i="15" a="1"/>
  <c r="K68" i="15" a="1"/>
  <c r="AB62" i="8" a="1"/>
  <c r="AE56" i="15" a="1"/>
  <c r="AB52" i="8" a="1"/>
  <c r="AB104" i="8" a="1"/>
  <c r="Y68" i="15" a="1"/>
  <c r="AE66" i="15" a="1"/>
  <c r="AB54" i="8" a="1"/>
  <c r="AB59" i="8" a="1"/>
  <c r="AB67" i="8" a="1"/>
  <c r="C68" i="15" a="1"/>
  <c r="AE67" i="15" a="1"/>
  <c r="AB58" i="8" a="1"/>
  <c r="AD68" i="15" a="1"/>
  <c r="AE54" i="15" a="1"/>
  <c r="AE51" i="15" a="1"/>
  <c r="AE39" i="15" a="1"/>
  <c r="AB101" i="8" a="1"/>
  <c r="AB74" i="8" a="1"/>
  <c r="L68" i="15" a="1"/>
  <c r="AB60" i="8" a="1"/>
  <c r="AB82" i="8" a="1"/>
  <c r="AE57" i="15" a="1"/>
  <c r="AB64" i="8" a="1"/>
  <c r="F68" i="15" a="1"/>
  <c r="AB103" i="8" a="1"/>
  <c r="AB68" i="8" a="1"/>
  <c r="U68" i="15" a="1"/>
  <c r="AB77" i="8" a="1"/>
  <c r="Z130" i="15" l="1"/>
  <c r="V130" i="15"/>
  <c r="R130" i="15"/>
  <c r="K130" i="15"/>
  <c r="AB54" i="8"/>
  <c r="AB55" i="8"/>
  <c r="AB52" i="8"/>
  <c r="AB53" i="8"/>
  <c r="AB56" i="8"/>
  <c r="AB78" i="8"/>
  <c r="AB79" i="8"/>
  <c r="AB77" i="8"/>
  <c r="AB76" i="8"/>
  <c r="AB80" i="8"/>
  <c r="N130" i="15"/>
  <c r="AB130" i="15"/>
  <c r="X130" i="15"/>
  <c r="T130" i="15"/>
  <c r="L130" i="15"/>
  <c r="H130" i="15"/>
  <c r="AD130" i="15"/>
  <c r="AA130" i="15"/>
  <c r="W130" i="15"/>
  <c r="S130" i="15"/>
  <c r="O130" i="15"/>
  <c r="J130" i="15"/>
  <c r="G130" i="15"/>
  <c r="F130" i="15"/>
  <c r="AC130" i="15"/>
  <c r="Y130" i="15"/>
  <c r="U130" i="15"/>
  <c r="Q130" i="15"/>
  <c r="M130" i="15"/>
  <c r="I130" i="15"/>
  <c r="E130" i="15"/>
  <c r="P130" i="15"/>
  <c r="D68" i="15"/>
  <c r="D131" i="15" s="1"/>
  <c r="B131" i="15"/>
  <c r="C68" i="15"/>
  <c r="C131" i="15" s="1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AA68" i="15"/>
  <c r="AC68" i="15"/>
  <c r="AB68" i="15"/>
  <c r="AD68" i="15"/>
  <c r="AE45" i="15"/>
  <c r="AE108" i="15" s="1"/>
  <c r="AE57" i="15"/>
  <c r="AE120" i="15" s="1"/>
  <c r="AE55" i="15"/>
  <c r="AE118" i="15" s="1"/>
  <c r="AE65" i="15"/>
  <c r="AE128" i="15" s="1"/>
  <c r="AE43" i="15"/>
  <c r="AE106" i="15" s="1"/>
  <c r="AE49" i="15"/>
  <c r="AE112" i="15" s="1"/>
  <c r="AE59" i="15"/>
  <c r="AE122" i="15" s="1"/>
  <c r="AE50" i="15"/>
  <c r="AE113" i="15" s="1"/>
  <c r="AE56" i="15"/>
  <c r="AE119" i="15" s="1"/>
  <c r="AE63" i="15"/>
  <c r="AE126" i="15" s="1"/>
  <c r="AE67" i="15"/>
  <c r="AE130" i="15" s="1"/>
  <c r="AE51" i="15"/>
  <c r="AE114" i="15" s="1"/>
  <c r="AE58" i="15"/>
  <c r="AE121" i="15" s="1"/>
  <c r="AE68" i="15"/>
  <c r="AE44" i="15"/>
  <c r="AE107" i="15" s="1"/>
  <c r="AE61" i="15"/>
  <c r="AE124" i="15" s="1"/>
  <c r="AE53" i="15"/>
  <c r="AE116" i="15" s="1"/>
  <c r="AE60" i="15"/>
  <c r="AE123" i="15" s="1"/>
  <c r="AE46" i="15"/>
  <c r="AE109" i="15" s="1"/>
  <c r="AE52" i="15"/>
  <c r="AE115" i="15" s="1"/>
  <c r="AE47" i="15"/>
  <c r="AE110" i="15" s="1"/>
  <c r="AE54" i="15"/>
  <c r="AE117" i="15" s="1"/>
  <c r="AE62" i="15"/>
  <c r="AE125" i="15" s="1"/>
  <c r="AE64" i="15"/>
  <c r="AE127" i="15" s="1"/>
  <c r="AE48" i="15"/>
  <c r="AE111" i="15" s="1"/>
  <c r="AE66" i="15"/>
  <c r="AE129" i="15" s="1"/>
  <c r="AE39" i="15"/>
  <c r="AE105" i="15" s="1"/>
  <c r="AG38" i="15"/>
  <c r="B69" i="15"/>
  <c r="B192" i="15" s="1"/>
  <c r="AB104" i="8"/>
  <c r="AB86" i="8"/>
  <c r="AB74" i="8"/>
  <c r="AB68" i="8"/>
  <c r="AB62" i="8"/>
  <c r="AA98" i="8"/>
  <c r="AA92" i="8"/>
  <c r="AA89" i="8"/>
  <c r="AA91" i="8"/>
  <c r="AB59" i="8"/>
  <c r="AB61" i="8"/>
  <c r="AB60" i="8"/>
  <c r="AB65" i="8"/>
  <c r="AB67" i="8"/>
  <c r="AB66" i="8"/>
  <c r="AB73" i="8"/>
  <c r="AB72" i="8"/>
  <c r="AB71" i="8"/>
  <c r="AB84" i="8"/>
  <c r="AB85" i="8"/>
  <c r="AB83" i="8"/>
  <c r="AA90" i="8"/>
  <c r="AA97" i="8"/>
  <c r="AB102" i="8"/>
  <c r="AB58" i="8"/>
  <c r="AB64" i="8"/>
  <c r="AB82" i="8"/>
  <c r="AB70" i="8"/>
  <c r="AB103" i="8"/>
  <c r="AB101" i="8"/>
  <c r="AB100" i="8"/>
  <c r="AA94" i="8"/>
  <c r="AA88" i="8"/>
  <c r="AC50" i="8"/>
  <c r="AA96" i="8"/>
  <c r="AA95" i="8"/>
  <c r="H69" i="15" a="1"/>
  <c r="AF65" i="15" a="1"/>
  <c r="N69" i="15" a="1"/>
  <c r="AC104" i="8" a="1"/>
  <c r="P69" i="15" a="1"/>
  <c r="AC80" i="8" a="1"/>
  <c r="Q69" i="15" a="1"/>
  <c r="AF48" i="15" a="1"/>
  <c r="X69" i="15" a="1"/>
  <c r="AF54" i="15" a="1"/>
  <c r="AC65" i="8" a="1"/>
  <c r="AC84" i="8" a="1"/>
  <c r="Y69" i="15" a="1"/>
  <c r="AC102" i="8" a="1"/>
  <c r="AF60" i="15" a="1"/>
  <c r="AC100" i="8" a="1"/>
  <c r="Z69" i="15" a="1"/>
  <c r="AC73" i="8" a="1"/>
  <c r="G69" i="15" a="1"/>
  <c r="AC78" i="8" a="1"/>
  <c r="AF39" i="15" a="1"/>
  <c r="F69" i="15" a="1"/>
  <c r="AF56" i="15" a="1"/>
  <c r="AE69" i="15" a="1"/>
  <c r="AC72" i="8" a="1"/>
  <c r="AF55" i="15" a="1"/>
  <c r="AC103" i="8" a="1"/>
  <c r="AC70" i="8" a="1"/>
  <c r="AC60" i="8" a="1"/>
  <c r="AF61" i="15" a="1"/>
  <c r="D69" i="15" a="1"/>
  <c r="AC66" i="8" a="1"/>
  <c r="AF57" i="15" a="1"/>
  <c r="AF52" i="15" a="1"/>
  <c r="AF46" i="15" a="1"/>
  <c r="AC69" i="15" a="1"/>
  <c r="AC77" i="8" a="1"/>
  <c r="AC71" i="8" a="1"/>
  <c r="S69" i="15" a="1"/>
  <c r="AF50" i="15" a="1"/>
  <c r="AF49" i="15" a="1"/>
  <c r="AC101" i="8" a="1"/>
  <c r="AC55" i="8" a="1"/>
  <c r="AF53" i="15" a="1"/>
  <c r="L69" i="15" a="1"/>
  <c r="W69" i="15" a="1"/>
  <c r="AC67" i="8" a="1"/>
  <c r="AF64" i="15" a="1"/>
  <c r="M69" i="15" a="1"/>
  <c r="AF66" i="15" a="1"/>
  <c r="AC53" i="8" a="1"/>
  <c r="AF47" i="15" a="1"/>
  <c r="AF43" i="15" a="1"/>
  <c r="AC68" i="8" a="1"/>
  <c r="J69" i="15" a="1"/>
  <c r="AC59" i="8" a="1"/>
  <c r="AF69" i="15" a="1"/>
  <c r="V69" i="15" a="1"/>
  <c r="R69" i="15" a="1"/>
  <c r="AC79" i="8" a="1"/>
  <c r="C69" i="15" a="1"/>
  <c r="AC74" i="8" a="1"/>
  <c r="AC82" i="8" a="1"/>
  <c r="AF67" i="15" a="1"/>
  <c r="AC62" i="8" a="1"/>
  <c r="AF68" i="15" a="1"/>
  <c r="AC54" i="8" a="1"/>
  <c r="I69" i="15" a="1"/>
  <c r="K69" i="15" a="1"/>
  <c r="U69" i="15" a="1"/>
  <c r="AF59" i="15" a="1"/>
  <c r="AC85" i="8" a="1"/>
  <c r="AC52" i="8" a="1"/>
  <c r="AC58" i="8" a="1"/>
  <c r="AC83" i="8" a="1"/>
  <c r="AC86" i="8" a="1"/>
  <c r="AC64" i="8" a="1"/>
  <c r="O69" i="15" a="1"/>
  <c r="AC61" i="8" a="1"/>
  <c r="AB69" i="15" a="1"/>
  <c r="AF58" i="15" a="1"/>
  <c r="AF44" i="15" a="1"/>
  <c r="E69" i="15" a="1"/>
  <c r="AC76" i="8" a="1"/>
  <c r="AF45" i="15" a="1"/>
  <c r="AC56" i="8" a="1"/>
  <c r="T69" i="15" a="1"/>
  <c r="AD69" i="15" a="1"/>
  <c r="AF63" i="15" a="1"/>
  <c r="AF62" i="15" a="1"/>
  <c r="AA69" i="15" a="1"/>
  <c r="AF51" i="15" a="1"/>
  <c r="AD131" i="15" l="1"/>
  <c r="Z131" i="15"/>
  <c r="V131" i="15"/>
  <c r="R131" i="15"/>
  <c r="N131" i="15"/>
  <c r="AC55" i="8"/>
  <c r="AC52" i="8"/>
  <c r="AC56" i="8"/>
  <c r="AC54" i="8"/>
  <c r="AC53" i="8"/>
  <c r="AC79" i="8"/>
  <c r="AC76" i="8"/>
  <c r="AC77" i="8"/>
  <c r="AC78" i="8"/>
  <c r="AC80" i="8"/>
  <c r="F131" i="15"/>
  <c r="J131" i="15"/>
  <c r="AA131" i="15"/>
  <c r="W131" i="15"/>
  <c r="S131" i="15"/>
  <c r="O131" i="15"/>
  <c r="K131" i="15"/>
  <c r="G131" i="15"/>
  <c r="AB131" i="15"/>
  <c r="Y131" i="15"/>
  <c r="U131" i="15"/>
  <c r="Q131" i="15"/>
  <c r="M131" i="15"/>
  <c r="I131" i="15"/>
  <c r="E131" i="15"/>
  <c r="AE131" i="15"/>
  <c r="AC131" i="15"/>
  <c r="X131" i="15"/>
  <c r="T131" i="15"/>
  <c r="P131" i="15"/>
  <c r="L131" i="15"/>
  <c r="H131" i="15"/>
  <c r="D69" i="15"/>
  <c r="D132" i="15" s="1"/>
  <c r="B132" i="15"/>
  <c r="C69" i="15"/>
  <c r="C132" i="15" s="1"/>
  <c r="E69" i="15"/>
  <c r="F69" i="15"/>
  <c r="G69" i="15"/>
  <c r="H69" i="15"/>
  <c r="I69" i="15"/>
  <c r="K69" i="15"/>
  <c r="J69" i="15"/>
  <c r="L69" i="15"/>
  <c r="M69" i="15"/>
  <c r="N69" i="15"/>
  <c r="O69" i="15"/>
  <c r="P69" i="15"/>
  <c r="Q69" i="15"/>
  <c r="R69" i="15"/>
  <c r="S69" i="15"/>
  <c r="T69" i="15"/>
  <c r="U69" i="15"/>
  <c r="V69" i="15"/>
  <c r="V132" i="15" s="1"/>
  <c r="W69" i="15"/>
  <c r="X69" i="15"/>
  <c r="Y69" i="15"/>
  <c r="Z69" i="15"/>
  <c r="Z132" i="15" s="1"/>
  <c r="AA69" i="15"/>
  <c r="AC69" i="15"/>
  <c r="AB69" i="15"/>
  <c r="AD69" i="15"/>
  <c r="AD132" i="15" s="1"/>
  <c r="AE69" i="15"/>
  <c r="AF49" i="15"/>
  <c r="AF112" i="15" s="1"/>
  <c r="AF65" i="15"/>
  <c r="AF128" i="15" s="1"/>
  <c r="AF52" i="15"/>
  <c r="AF115" i="15" s="1"/>
  <c r="AF51" i="15"/>
  <c r="AF114" i="15" s="1"/>
  <c r="AF68" i="15"/>
  <c r="AF131" i="15" s="1"/>
  <c r="AF43" i="15"/>
  <c r="AF106" i="15" s="1"/>
  <c r="AF58" i="15"/>
  <c r="AF121" i="15" s="1"/>
  <c r="AF54" i="15"/>
  <c r="AF117" i="15" s="1"/>
  <c r="AF60" i="15"/>
  <c r="AF123" i="15" s="1"/>
  <c r="AF53" i="15"/>
  <c r="AF116" i="15" s="1"/>
  <c r="AF66" i="15"/>
  <c r="AF129" i="15" s="1"/>
  <c r="AF59" i="15"/>
  <c r="AF122" i="15" s="1"/>
  <c r="AF44" i="15"/>
  <c r="AF107" i="15" s="1"/>
  <c r="AF69" i="15"/>
  <c r="AF57" i="15"/>
  <c r="AF120" i="15" s="1"/>
  <c r="AF45" i="15"/>
  <c r="AF108" i="15" s="1"/>
  <c r="AF48" i="15"/>
  <c r="AF111" i="15" s="1"/>
  <c r="AF55" i="15"/>
  <c r="AF118" i="15" s="1"/>
  <c r="AF47" i="15"/>
  <c r="AF110" i="15" s="1"/>
  <c r="AF61" i="15"/>
  <c r="AF124" i="15" s="1"/>
  <c r="AF67" i="15"/>
  <c r="AF130" i="15" s="1"/>
  <c r="AF63" i="15"/>
  <c r="AF126" i="15" s="1"/>
  <c r="AF50" i="15"/>
  <c r="AF113" i="15" s="1"/>
  <c r="AF64" i="15"/>
  <c r="AF127" i="15" s="1"/>
  <c r="AF56" i="15"/>
  <c r="AF119" i="15" s="1"/>
  <c r="AF46" i="15"/>
  <c r="AF109" i="15" s="1"/>
  <c r="AF62" i="15"/>
  <c r="AF125" i="15" s="1"/>
  <c r="AF39" i="15"/>
  <c r="AF105" i="15" s="1"/>
  <c r="AH38" i="15"/>
  <c r="B70" i="15"/>
  <c r="B193" i="15" s="1"/>
  <c r="AC104" i="8"/>
  <c r="AC86" i="8"/>
  <c r="AC74" i="8"/>
  <c r="AC68" i="8"/>
  <c r="AC62" i="8"/>
  <c r="AB98" i="8"/>
  <c r="AB92" i="8"/>
  <c r="AB90" i="8"/>
  <c r="AB91" i="8"/>
  <c r="AC60" i="8"/>
  <c r="AC59" i="8"/>
  <c r="AC61" i="8"/>
  <c r="AC67" i="8"/>
  <c r="AC65" i="8"/>
  <c r="AC66" i="8"/>
  <c r="AC73" i="8"/>
  <c r="AC71" i="8"/>
  <c r="AC72" i="8"/>
  <c r="AC84" i="8"/>
  <c r="AC85" i="8"/>
  <c r="AC83" i="8"/>
  <c r="AB89" i="8"/>
  <c r="AB96" i="8"/>
  <c r="AC102" i="8"/>
  <c r="AC58" i="8"/>
  <c r="AC64" i="8"/>
  <c r="AC82" i="8"/>
  <c r="AC70" i="8"/>
  <c r="AC103" i="8"/>
  <c r="AC101" i="8"/>
  <c r="AC100" i="8"/>
  <c r="AB95" i="8"/>
  <c r="AB94" i="8"/>
  <c r="AB88" i="8"/>
  <c r="AD50" i="8"/>
  <c r="AB97" i="8"/>
  <c r="AG44" i="15" a="1"/>
  <c r="AD102" i="8" a="1"/>
  <c r="AD64" i="8" a="1"/>
  <c r="AD54" i="8" a="1"/>
  <c r="AD66" i="8" a="1"/>
  <c r="F70" i="15" a="1"/>
  <c r="AE70" i="15" a="1"/>
  <c r="R70" i="15" a="1"/>
  <c r="AG58" i="15" a="1"/>
  <c r="I70" i="15" a="1"/>
  <c r="AG50" i="15" a="1"/>
  <c r="Q70" i="15" a="1"/>
  <c r="AG45" i="15" a="1"/>
  <c r="AD83" i="8" a="1"/>
  <c r="AG66" i="15" a="1"/>
  <c r="AG64" i="15" a="1"/>
  <c r="AG60" i="15" a="1"/>
  <c r="AD53" i="8" a="1"/>
  <c r="AB70" i="15" a="1"/>
  <c r="K70" i="15" a="1"/>
  <c r="Y70" i="15" a="1"/>
  <c r="AD103" i="8" a="1"/>
  <c r="AF70" i="15" a="1"/>
  <c r="L70" i="15" a="1"/>
  <c r="AG70" i="15" a="1"/>
  <c r="C70" i="15" a="1"/>
  <c r="AD76" i="8" a="1"/>
  <c r="AD60" i="8" a="1"/>
  <c r="AC70" i="15" a="1"/>
  <c r="AD79" i="8" a="1"/>
  <c r="P70" i="15" a="1"/>
  <c r="AG55" i="15" a="1"/>
  <c r="AG62" i="15" a="1"/>
  <c r="AG53" i="15" a="1"/>
  <c r="S70" i="15" a="1"/>
  <c r="AG61" i="15" a="1"/>
  <c r="T70" i="15" a="1"/>
  <c r="AD86" i="8" a="1"/>
  <c r="AD61" i="8" a="1"/>
  <c r="AD70" i="15" a="1"/>
  <c r="AG48" i="15" a="1"/>
  <c r="AG43" i="15" a="1"/>
  <c r="H70" i="15" a="1"/>
  <c r="AA70" i="15" a="1"/>
  <c r="AD56" i="8" a="1"/>
  <c r="AD67" i="8" a="1"/>
  <c r="AD74" i="8" a="1"/>
  <c r="X70" i="15" a="1"/>
  <c r="AD85" i="8" a="1"/>
  <c r="AD52" i="8" a="1"/>
  <c r="AD72" i="8" a="1"/>
  <c r="V70" i="15" a="1"/>
  <c r="AD84" i="8" a="1"/>
  <c r="AD65" i="8" a="1"/>
  <c r="O70" i="15" a="1"/>
  <c r="AD78" i="8" a="1"/>
  <c r="AD82" i="8" a="1"/>
  <c r="AD55" i="8" a="1"/>
  <c r="AD77" i="8" a="1"/>
  <c r="D70" i="15" a="1"/>
  <c r="AD70" i="8" a="1"/>
  <c r="AD101" i="8" a="1"/>
  <c r="AG68" i="15" a="1"/>
  <c r="AG65" i="15" a="1"/>
  <c r="AG39" i="15" a="1"/>
  <c r="AG51" i="15" a="1"/>
  <c r="AG59" i="15" a="1"/>
  <c r="AG63" i="15" a="1"/>
  <c r="AG69" i="15" a="1"/>
  <c r="U70" i="15" a="1"/>
  <c r="M70" i="15" a="1"/>
  <c r="AD58" i="8" a="1"/>
  <c r="W70" i="15" a="1"/>
  <c r="AD59" i="8" a="1"/>
  <c r="G70" i="15" a="1"/>
  <c r="Z70" i="15" a="1"/>
  <c r="AG54" i="15" a="1"/>
  <c r="AD62" i="8" a="1"/>
  <c r="AD80" i="8" a="1"/>
  <c r="J70" i="15" a="1"/>
  <c r="AD71" i="8" a="1"/>
  <c r="AG56" i="15" a="1"/>
  <c r="AG52" i="15" a="1"/>
  <c r="AG49" i="15" a="1"/>
  <c r="AD100" i="8" a="1"/>
  <c r="AG67" i="15" a="1"/>
  <c r="AD68" i="8" a="1"/>
  <c r="AD104" i="8" a="1"/>
  <c r="AG46" i="15" a="1"/>
  <c r="AG57" i="15" a="1"/>
  <c r="N70" i="15" a="1"/>
  <c r="AG47" i="15" a="1"/>
  <c r="E70" i="15" a="1"/>
  <c r="AD73" i="8" a="1"/>
  <c r="N132" i="15" l="1"/>
  <c r="R132" i="15"/>
  <c r="AD52" i="8"/>
  <c r="AD55" i="8"/>
  <c r="AD53" i="8"/>
  <c r="AD56" i="8"/>
  <c r="AD54" i="8"/>
  <c r="AD79" i="8"/>
  <c r="AD80" i="8"/>
  <c r="AD76" i="8"/>
  <c r="AD77" i="8"/>
  <c r="AD78" i="8"/>
  <c r="F132" i="15"/>
  <c r="K132" i="15"/>
  <c r="AC132" i="15"/>
  <c r="X132" i="15"/>
  <c r="T132" i="15"/>
  <c r="P132" i="15"/>
  <c r="L132" i="15"/>
  <c r="H132" i="15"/>
  <c r="AE132" i="15"/>
  <c r="AA132" i="15"/>
  <c r="W132" i="15"/>
  <c r="S132" i="15"/>
  <c r="O132" i="15"/>
  <c r="J132" i="15"/>
  <c r="G132" i="15"/>
  <c r="AF132" i="15"/>
  <c r="AB132" i="15"/>
  <c r="Y132" i="15"/>
  <c r="U132" i="15"/>
  <c r="Q132" i="15"/>
  <c r="M132" i="15"/>
  <c r="I132" i="15"/>
  <c r="E132" i="15"/>
  <c r="D70" i="15"/>
  <c r="D133" i="15" s="1"/>
  <c r="B133" i="15"/>
  <c r="C70" i="15"/>
  <c r="C133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Z70" i="15"/>
  <c r="AA70" i="15"/>
  <c r="AB70" i="15"/>
  <c r="AC70" i="15"/>
  <c r="AD70" i="15"/>
  <c r="AE70" i="15"/>
  <c r="AF70" i="15"/>
  <c r="AG43" i="15"/>
  <c r="AG106" i="15" s="1"/>
  <c r="AG47" i="15"/>
  <c r="AG110" i="15" s="1"/>
  <c r="AG60" i="15"/>
  <c r="AG123" i="15" s="1"/>
  <c r="AG53" i="15"/>
  <c r="AG116" i="15" s="1"/>
  <c r="AG57" i="15"/>
  <c r="AG120" i="15" s="1"/>
  <c r="AG61" i="15"/>
  <c r="AG124" i="15" s="1"/>
  <c r="AG67" i="15"/>
  <c r="AG130" i="15" s="1"/>
  <c r="AG63" i="15"/>
  <c r="AG126" i="15" s="1"/>
  <c r="AG46" i="15"/>
  <c r="AG109" i="15" s="1"/>
  <c r="AG52" i="15"/>
  <c r="AG115" i="15" s="1"/>
  <c r="AG64" i="15"/>
  <c r="AG127" i="15" s="1"/>
  <c r="AG70" i="15"/>
  <c r="AG45" i="15"/>
  <c r="AG108" i="15" s="1"/>
  <c r="AG48" i="15"/>
  <c r="AG111" i="15" s="1"/>
  <c r="AG49" i="15"/>
  <c r="AG112" i="15" s="1"/>
  <c r="AG54" i="15"/>
  <c r="AG117" i="15" s="1"/>
  <c r="AG59" i="15"/>
  <c r="AG122" i="15" s="1"/>
  <c r="AG65" i="15"/>
  <c r="AG128" i="15" s="1"/>
  <c r="AG68" i="15"/>
  <c r="AG131" i="15" s="1"/>
  <c r="AG50" i="15"/>
  <c r="AG113" i="15" s="1"/>
  <c r="AG55" i="15"/>
  <c r="AG118" i="15" s="1"/>
  <c r="AG62" i="15"/>
  <c r="AG125" i="15" s="1"/>
  <c r="AG69" i="15"/>
  <c r="AG132" i="15" s="1"/>
  <c r="AG44" i="15"/>
  <c r="AG107" i="15" s="1"/>
  <c r="AG51" i="15"/>
  <c r="AG114" i="15" s="1"/>
  <c r="AG58" i="15"/>
  <c r="AG121" i="15" s="1"/>
  <c r="AG56" i="15"/>
  <c r="AG119" i="15" s="1"/>
  <c r="AG66" i="15"/>
  <c r="AG129" i="15" s="1"/>
  <c r="AG39" i="15"/>
  <c r="AG105" i="15" s="1"/>
  <c r="AI38" i="15"/>
  <c r="B71" i="15"/>
  <c r="B194" i="15" s="1"/>
  <c r="AD104" i="8"/>
  <c r="AD86" i="8"/>
  <c r="AD74" i="8"/>
  <c r="AD68" i="8"/>
  <c r="AD62" i="8"/>
  <c r="AC98" i="8"/>
  <c r="AC92" i="8"/>
  <c r="AC89" i="8"/>
  <c r="AC91" i="8"/>
  <c r="AC90" i="8"/>
  <c r="AD60" i="8"/>
  <c r="AD59" i="8"/>
  <c r="AD61" i="8"/>
  <c r="AD65" i="8"/>
  <c r="AD67" i="8"/>
  <c r="AD66" i="8"/>
  <c r="AD71" i="8"/>
  <c r="AD72" i="8"/>
  <c r="AD73" i="8"/>
  <c r="AD85" i="8"/>
  <c r="AD84" i="8"/>
  <c r="AD83" i="8"/>
  <c r="AC96" i="8"/>
  <c r="AD102" i="8"/>
  <c r="AD58" i="8"/>
  <c r="AD64" i="8"/>
  <c r="AD82" i="8"/>
  <c r="AD70" i="8"/>
  <c r="AD103" i="8"/>
  <c r="AD101" i="8"/>
  <c r="AD100" i="8"/>
  <c r="AC97" i="8"/>
  <c r="AC94" i="8"/>
  <c r="AC88" i="8"/>
  <c r="AE50" i="8"/>
  <c r="AC95" i="8"/>
  <c r="AE77" i="8" a="1"/>
  <c r="AF71" i="15" a="1"/>
  <c r="L71" i="15" a="1"/>
  <c r="N71" i="15" a="1"/>
  <c r="AA71" i="15" a="1"/>
  <c r="AH57" i="15" a="1"/>
  <c r="G71" i="15" a="1"/>
  <c r="AE59" i="8" a="1"/>
  <c r="AE80" i="8" a="1"/>
  <c r="O71" i="15" a="1"/>
  <c r="AH61" i="15" a="1"/>
  <c r="AH70" i="15" a="1"/>
  <c r="K71" i="15" a="1"/>
  <c r="AH44" i="15" a="1"/>
  <c r="AH63" i="15" a="1"/>
  <c r="S71" i="15" a="1"/>
  <c r="AH71" i="15" a="1"/>
  <c r="Z71" i="15" a="1"/>
  <c r="AH49" i="15" a="1"/>
  <c r="AE61" i="8" a="1"/>
  <c r="AH51" i="15" a="1"/>
  <c r="AH45" i="15" a="1"/>
  <c r="AE71" i="15" a="1"/>
  <c r="AH48" i="15" a="1"/>
  <c r="AH64" i="15" a="1"/>
  <c r="AE85" i="8" a="1"/>
  <c r="AH58" i="15" a="1"/>
  <c r="E71" i="15" a="1"/>
  <c r="AE101" i="8" a="1"/>
  <c r="I71" i="15" a="1"/>
  <c r="AC71" i="15" a="1"/>
  <c r="AH46" i="15" a="1"/>
  <c r="AH47" i="15" a="1"/>
  <c r="AE79" i="8" a="1"/>
  <c r="AE86" i="8" a="1"/>
  <c r="AD71" i="15" a="1"/>
  <c r="AE65" i="8" a="1"/>
  <c r="AE73" i="8" a="1"/>
  <c r="AE82" i="8" a="1"/>
  <c r="Q71" i="15" a="1"/>
  <c r="AE60" i="8" a="1"/>
  <c r="H71" i="15" a="1"/>
  <c r="T71" i="15" a="1"/>
  <c r="AH53" i="15" a="1"/>
  <c r="AE53" i="8" a="1"/>
  <c r="R71" i="15" a="1"/>
  <c r="AE74" i="8" a="1"/>
  <c r="C71" i="15" a="1"/>
  <c r="AE104" i="8" a="1"/>
  <c r="AH52" i="15" a="1"/>
  <c r="AE103" i="8" a="1"/>
  <c r="AE55" i="8" a="1"/>
  <c r="AE62" i="8" a="1"/>
  <c r="AH43" i="15" a="1"/>
  <c r="AB71" i="15" a="1"/>
  <c r="AE78" i="8" a="1"/>
  <c r="Y71" i="15" a="1"/>
  <c r="AE100" i="8" a="1"/>
  <c r="AH39" i="15" a="1"/>
  <c r="AH68" i="15" a="1"/>
  <c r="AH50" i="15" a="1"/>
  <c r="M71" i="15" a="1"/>
  <c r="D71" i="15" a="1"/>
  <c r="J71" i="15" a="1"/>
  <c r="AE58" i="8" a="1"/>
  <c r="AE72" i="8" a="1"/>
  <c r="AH60" i="15" a="1"/>
  <c r="AH65" i="15" a="1"/>
  <c r="AE84" i="8" a="1"/>
  <c r="AH56" i="15" a="1"/>
  <c r="AH67" i="15" a="1"/>
  <c r="F71" i="15" a="1"/>
  <c r="AE70" i="8" a="1"/>
  <c r="AH55" i="15" a="1"/>
  <c r="AE71" i="8" a="1"/>
  <c r="U71" i="15" a="1"/>
  <c r="P71" i="15" a="1"/>
  <c r="AH54" i="15" a="1"/>
  <c r="AE102" i="8" a="1"/>
  <c r="AH66" i="15" a="1"/>
  <c r="AE76" i="8" a="1"/>
  <c r="AE68" i="8" a="1"/>
  <c r="AG71" i="15" a="1"/>
  <c r="AH69" i="15" a="1"/>
  <c r="W71" i="15" a="1"/>
  <c r="V71" i="15" a="1"/>
  <c r="AH62" i="15" a="1"/>
  <c r="AE54" i="8" a="1"/>
  <c r="AE56" i="8" a="1"/>
  <c r="AE67" i="8" a="1"/>
  <c r="AH59" i="15" a="1"/>
  <c r="AE52" i="8" a="1"/>
  <c r="AE66" i="8" a="1"/>
  <c r="AE64" i="8" a="1"/>
  <c r="X71" i="15" a="1"/>
  <c r="AE83" i="8" a="1"/>
  <c r="AD133" i="15" l="1"/>
  <c r="AE54" i="8"/>
  <c r="AE53" i="8"/>
  <c r="AE52" i="8"/>
  <c r="AE56" i="8"/>
  <c r="AE55" i="8"/>
  <c r="AE77" i="8"/>
  <c r="AE78" i="8"/>
  <c r="AE76" i="8"/>
  <c r="AE80" i="8"/>
  <c r="AE79" i="8"/>
  <c r="Z133" i="15"/>
  <c r="R133" i="15"/>
  <c r="N133" i="15"/>
  <c r="V133" i="15"/>
  <c r="K133" i="15"/>
  <c r="F133" i="15"/>
  <c r="AC133" i="15"/>
  <c r="U133" i="15"/>
  <c r="M133" i="15"/>
  <c r="E133" i="15"/>
  <c r="AG133" i="15"/>
  <c r="AF133" i="15"/>
  <c r="AB133" i="15"/>
  <c r="X133" i="15"/>
  <c r="T133" i="15"/>
  <c r="P133" i="15"/>
  <c r="L133" i="15"/>
  <c r="H133" i="15"/>
  <c r="Y133" i="15"/>
  <c r="Q133" i="15"/>
  <c r="I133" i="15"/>
  <c r="AE133" i="15"/>
  <c r="AA133" i="15"/>
  <c r="W133" i="15"/>
  <c r="S133" i="15"/>
  <c r="O133" i="15"/>
  <c r="J133" i="15"/>
  <c r="G133" i="15"/>
  <c r="D71" i="15"/>
  <c r="D134" i="15" s="1"/>
  <c r="B134" i="15"/>
  <c r="C71" i="15"/>
  <c r="C134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Y71" i="15"/>
  <c r="Z71" i="15"/>
  <c r="AA71" i="15"/>
  <c r="AC71" i="15"/>
  <c r="AB71" i="15"/>
  <c r="AD71" i="15"/>
  <c r="AE71" i="15"/>
  <c r="AF71" i="15"/>
  <c r="AG71" i="15"/>
  <c r="AH43" i="15"/>
  <c r="AH106" i="15" s="1"/>
  <c r="AH56" i="15"/>
  <c r="AH119" i="15" s="1"/>
  <c r="AH59" i="15"/>
  <c r="AH122" i="15" s="1"/>
  <c r="AH70" i="15"/>
  <c r="AH133" i="15" s="1"/>
  <c r="AH71" i="15"/>
  <c r="AH134" i="15" s="1"/>
  <c r="AH44" i="15"/>
  <c r="AH107" i="15" s="1"/>
  <c r="AH57" i="15"/>
  <c r="AH120" i="15" s="1"/>
  <c r="AH53" i="15"/>
  <c r="AH116" i="15" s="1"/>
  <c r="AH48" i="15"/>
  <c r="AH111" i="15" s="1"/>
  <c r="AH61" i="15"/>
  <c r="AH124" i="15" s="1"/>
  <c r="AH60" i="15"/>
  <c r="AH123" i="15" s="1"/>
  <c r="AH69" i="15"/>
  <c r="AH132" i="15" s="1"/>
  <c r="AH46" i="15"/>
  <c r="AH109" i="15" s="1"/>
  <c r="AH54" i="15"/>
  <c r="AH117" i="15" s="1"/>
  <c r="AH63" i="15"/>
  <c r="AH126" i="15" s="1"/>
  <c r="AH47" i="15"/>
  <c r="AH110" i="15" s="1"/>
  <c r="AH49" i="15"/>
  <c r="AH112" i="15" s="1"/>
  <c r="AH58" i="15"/>
  <c r="AH121" i="15" s="1"/>
  <c r="AH64" i="15"/>
  <c r="AH127" i="15" s="1"/>
  <c r="AH45" i="15"/>
  <c r="AH108" i="15" s="1"/>
  <c r="AH50" i="15"/>
  <c r="AH113" i="15" s="1"/>
  <c r="AH55" i="15"/>
  <c r="AH118" i="15" s="1"/>
  <c r="AH52" i="15"/>
  <c r="AH115" i="15" s="1"/>
  <c r="AH62" i="15"/>
  <c r="AH125" i="15" s="1"/>
  <c r="AH68" i="15"/>
  <c r="AH131" i="15" s="1"/>
  <c r="AH65" i="15"/>
  <c r="AH128" i="15" s="1"/>
  <c r="AH51" i="15"/>
  <c r="AH114" i="15" s="1"/>
  <c r="AH66" i="15"/>
  <c r="AH129" i="15" s="1"/>
  <c r="AH67" i="15"/>
  <c r="AH130" i="15" s="1"/>
  <c r="AH39" i="15"/>
  <c r="AH105" i="15" s="1"/>
  <c r="AJ38" i="15"/>
  <c r="B72" i="15"/>
  <c r="B195" i="15" s="1"/>
  <c r="AE104" i="8"/>
  <c r="AE86" i="8"/>
  <c r="AE74" i="8"/>
  <c r="AE68" i="8"/>
  <c r="AE62" i="8"/>
  <c r="AD92" i="8"/>
  <c r="AD98" i="8"/>
  <c r="AD91" i="8"/>
  <c r="AD90" i="8"/>
  <c r="AE60" i="8"/>
  <c r="AE59" i="8"/>
  <c r="AE61" i="8"/>
  <c r="AE67" i="8"/>
  <c r="AE66" i="8"/>
  <c r="AE65" i="8"/>
  <c r="AE71" i="8"/>
  <c r="AE72" i="8"/>
  <c r="AE73" i="8"/>
  <c r="AE83" i="8"/>
  <c r="AE85" i="8"/>
  <c r="AE84" i="8"/>
  <c r="AD89" i="8"/>
  <c r="AD95" i="8"/>
  <c r="AE102" i="8"/>
  <c r="AE58" i="8"/>
  <c r="AE64" i="8"/>
  <c r="AE82" i="8"/>
  <c r="AE70" i="8"/>
  <c r="AE103" i="8"/>
  <c r="AE101" i="8"/>
  <c r="AE100" i="8"/>
  <c r="AF50" i="8"/>
  <c r="AD97" i="8"/>
  <c r="AD94" i="8"/>
  <c r="AD88" i="8"/>
  <c r="AD96" i="8"/>
  <c r="AI45" i="15" a="1"/>
  <c r="AF84" i="8" a="1"/>
  <c r="Q72" i="15" a="1"/>
  <c r="AF80" i="8" a="1"/>
  <c r="AI70" i="15" a="1"/>
  <c r="AI52" i="15" a="1"/>
  <c r="AF64" i="8" a="1"/>
  <c r="AI63" i="15" a="1"/>
  <c r="W72" i="15" a="1"/>
  <c r="J72" i="15" a="1"/>
  <c r="AI44" i="15" a="1"/>
  <c r="G72" i="15" a="1"/>
  <c r="U72" i="15" a="1"/>
  <c r="AF72" i="15" a="1"/>
  <c r="AF55" i="8" a="1"/>
  <c r="AF56" i="8" a="1"/>
  <c r="AF101" i="8" a="1"/>
  <c r="AF73" i="8" a="1"/>
  <c r="AI43" i="15" a="1"/>
  <c r="AF71" i="8" a="1"/>
  <c r="AF82" i="8" a="1"/>
  <c r="AB72" i="15" a="1"/>
  <c r="AI50" i="15" a="1"/>
  <c r="AI57" i="15" a="1"/>
  <c r="AF67" i="8" a="1"/>
  <c r="AF61" i="8" a="1"/>
  <c r="AI47" i="15" a="1"/>
  <c r="I72" i="15" a="1"/>
  <c r="P72" i="15" a="1"/>
  <c r="AI56" i="15" a="1"/>
  <c r="AI54" i="15" a="1"/>
  <c r="AI66" i="15" a="1"/>
  <c r="AI58" i="15" a="1"/>
  <c r="C72" i="15" a="1"/>
  <c r="AF62" i="8" a="1"/>
  <c r="AI39" i="15" a="1"/>
  <c r="T72" i="15" a="1"/>
  <c r="AF72" i="8" a="1"/>
  <c r="AF100" i="8" a="1"/>
  <c r="AI62" i="15" a="1"/>
  <c r="AF52" i="8" a="1"/>
  <c r="AF58" i="8" a="1"/>
  <c r="AI64" i="15" a="1"/>
  <c r="AF86" i="8" a="1"/>
  <c r="AF66" i="8" a="1"/>
  <c r="AI72" i="15" a="1"/>
  <c r="AF65" i="8" a="1"/>
  <c r="X72" i="15" a="1"/>
  <c r="AI49" i="15" a="1"/>
  <c r="AA72" i="15" a="1"/>
  <c r="AI71" i="15" a="1"/>
  <c r="AI51" i="15" a="1"/>
  <c r="AF59" i="8" a="1"/>
  <c r="AF53" i="8" a="1"/>
  <c r="AI48" i="15" a="1"/>
  <c r="AF68" i="8" a="1"/>
  <c r="AI61" i="15" a="1"/>
  <c r="AC72" i="15" a="1"/>
  <c r="F72" i="15" a="1"/>
  <c r="AF78" i="8" a="1"/>
  <c r="AI55" i="15" a="1"/>
  <c r="AD72" i="15" a="1"/>
  <c r="AI69" i="15" a="1"/>
  <c r="AF79" i="8" a="1"/>
  <c r="Z72" i="15" a="1"/>
  <c r="S72" i="15" a="1"/>
  <c r="AI65" i="15" a="1"/>
  <c r="K72" i="15" a="1"/>
  <c r="AE72" i="15" a="1"/>
  <c r="N72" i="15" a="1"/>
  <c r="AF85" i="8" a="1"/>
  <c r="O72" i="15" a="1"/>
  <c r="AF102" i="8" a="1"/>
  <c r="AF77" i="8" a="1"/>
  <c r="E72" i="15" a="1"/>
  <c r="AI53" i="15" a="1"/>
  <c r="R72" i="15" a="1"/>
  <c r="V72" i="15" a="1"/>
  <c r="AF70" i="8" a="1"/>
  <c r="AF60" i="8" a="1"/>
  <c r="AI59" i="15" a="1"/>
  <c r="AI60" i="15" a="1"/>
  <c r="M72" i="15" a="1"/>
  <c r="AF104" i="8" a="1"/>
  <c r="AG72" i="15" a="1"/>
  <c r="AF103" i="8" a="1"/>
  <c r="H72" i="15" a="1"/>
  <c r="AF54" i="8" a="1"/>
  <c r="AI68" i="15" a="1"/>
  <c r="AH72" i="15" a="1"/>
  <c r="Y72" i="15" a="1"/>
  <c r="AI67" i="15" a="1"/>
  <c r="D72" i="15" a="1"/>
  <c r="L72" i="15" a="1"/>
  <c r="AF74" i="8" a="1"/>
  <c r="AI46" i="15" a="1"/>
  <c r="AF76" i="8" a="1"/>
  <c r="AF83" i="8" a="1"/>
  <c r="AD134" i="15" l="1"/>
  <c r="Z134" i="15"/>
  <c r="V134" i="15"/>
  <c r="R134" i="15"/>
  <c r="N134" i="15"/>
  <c r="AF53" i="8"/>
  <c r="AF56" i="8"/>
  <c r="AF54" i="8"/>
  <c r="AF52" i="8"/>
  <c r="AF55" i="8"/>
  <c r="AF76" i="8"/>
  <c r="AF80" i="8"/>
  <c r="AF79" i="8"/>
  <c r="AF78" i="8"/>
  <c r="AF77" i="8"/>
  <c r="J134" i="15"/>
  <c r="F134" i="15"/>
  <c r="AF134" i="15"/>
  <c r="AC134" i="15"/>
  <c r="X134" i="15"/>
  <c r="T134" i="15"/>
  <c r="P134" i="15"/>
  <c r="L134" i="15"/>
  <c r="H134" i="15"/>
  <c r="AG134" i="15"/>
  <c r="AB134" i="15"/>
  <c r="Y134" i="15"/>
  <c r="U134" i="15"/>
  <c r="Q134" i="15"/>
  <c r="M134" i="15"/>
  <c r="I134" i="15"/>
  <c r="E134" i="15"/>
  <c r="AE134" i="15"/>
  <c r="AA134" i="15"/>
  <c r="W134" i="15"/>
  <c r="S134" i="15"/>
  <c r="O134" i="15"/>
  <c r="K134" i="15"/>
  <c r="G134" i="15"/>
  <c r="D72" i="15"/>
  <c r="D135" i="15" s="1"/>
  <c r="B135" i="15"/>
  <c r="C72" i="15"/>
  <c r="C135" i="15" s="1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R135" i="15" s="1"/>
  <c r="S72" i="15"/>
  <c r="T72" i="15"/>
  <c r="U72" i="15"/>
  <c r="V72" i="15"/>
  <c r="V135" i="15" s="1"/>
  <c r="W72" i="15"/>
  <c r="X72" i="15"/>
  <c r="Y72" i="15"/>
  <c r="Z72" i="15"/>
  <c r="Z135" i="15" s="1"/>
  <c r="AA72" i="15"/>
  <c r="AC72" i="15"/>
  <c r="AB72" i="15"/>
  <c r="AD72" i="15"/>
  <c r="AD135" i="15" s="1"/>
  <c r="AE72" i="15"/>
  <c r="AF72" i="15"/>
  <c r="AG72" i="15"/>
  <c r="AH72" i="15"/>
  <c r="AH135" i="15" s="1"/>
  <c r="AI50" i="15"/>
  <c r="AI113" i="15" s="1"/>
  <c r="AI43" i="15"/>
  <c r="AI106" i="15" s="1"/>
  <c r="AI55" i="15"/>
  <c r="AI118" i="15" s="1"/>
  <c r="AI44" i="15"/>
  <c r="AI107" i="15" s="1"/>
  <c r="AI49" i="15"/>
  <c r="AI112" i="15" s="1"/>
  <c r="AI53" i="15"/>
  <c r="AI116" i="15" s="1"/>
  <c r="AI48" i="15"/>
  <c r="AI111" i="15" s="1"/>
  <c r="AI59" i="15"/>
  <c r="AI122" i="15" s="1"/>
  <c r="AI58" i="15"/>
  <c r="AI121" i="15" s="1"/>
  <c r="AI63" i="15"/>
  <c r="AI126" i="15" s="1"/>
  <c r="AI70" i="15"/>
  <c r="AI133" i="15" s="1"/>
  <c r="AI46" i="15"/>
  <c r="AI109" i="15" s="1"/>
  <c r="AI61" i="15"/>
  <c r="AI124" i="15" s="1"/>
  <c r="AI54" i="15"/>
  <c r="AI117" i="15" s="1"/>
  <c r="AI60" i="15"/>
  <c r="AI123" i="15" s="1"/>
  <c r="AI62" i="15"/>
  <c r="AI125" i="15" s="1"/>
  <c r="AI67" i="15"/>
  <c r="AI130" i="15" s="1"/>
  <c r="AI71" i="15"/>
  <c r="AI134" i="15" s="1"/>
  <c r="AI51" i="15"/>
  <c r="AI114" i="15" s="1"/>
  <c r="AI64" i="15"/>
  <c r="AI127" i="15" s="1"/>
  <c r="AI66" i="15"/>
  <c r="AI129" i="15" s="1"/>
  <c r="AI68" i="15"/>
  <c r="AI131" i="15" s="1"/>
  <c r="AI72" i="15"/>
  <c r="AI57" i="15"/>
  <c r="AI120" i="15" s="1"/>
  <c r="AI45" i="15"/>
  <c r="AI108" i="15" s="1"/>
  <c r="AI52" i="15"/>
  <c r="AI115" i="15" s="1"/>
  <c r="AI47" i="15"/>
  <c r="AI110" i="15" s="1"/>
  <c r="AI56" i="15"/>
  <c r="AI119" i="15" s="1"/>
  <c r="AI65" i="15"/>
  <c r="AI128" i="15" s="1"/>
  <c r="AI69" i="15"/>
  <c r="AI132" i="15" s="1"/>
  <c r="AI39" i="15"/>
  <c r="AI105" i="15" s="1"/>
  <c r="AK38" i="15"/>
  <c r="B73" i="15"/>
  <c r="B196" i="15" s="1"/>
  <c r="AF104" i="8"/>
  <c r="AF86" i="8"/>
  <c r="AF74" i="8"/>
  <c r="AF68" i="8"/>
  <c r="AF62" i="8"/>
  <c r="AE92" i="8"/>
  <c r="AE98" i="8"/>
  <c r="AE91" i="8"/>
  <c r="AE90" i="8"/>
  <c r="AE89" i="8"/>
  <c r="AF60" i="8"/>
  <c r="AF61" i="8"/>
  <c r="AF59" i="8"/>
  <c r="AF66" i="8"/>
  <c r="AF65" i="8"/>
  <c r="AF67" i="8"/>
  <c r="AF71" i="8"/>
  <c r="AF73" i="8"/>
  <c r="AF72" i="8"/>
  <c r="AF83" i="8"/>
  <c r="AF84" i="8"/>
  <c r="AF85" i="8"/>
  <c r="AE97" i="8"/>
  <c r="AF102" i="8"/>
  <c r="AF58" i="8"/>
  <c r="AF64" i="8"/>
  <c r="AF82" i="8"/>
  <c r="AF70" i="8"/>
  <c r="AF103" i="8"/>
  <c r="AF101" i="8"/>
  <c r="AF100" i="8"/>
  <c r="AE96" i="8"/>
  <c r="AG50" i="8"/>
  <c r="AE95" i="8"/>
  <c r="AE94" i="8"/>
  <c r="AE88" i="8"/>
  <c r="AJ45" i="15" a="1"/>
  <c r="AG73" i="8" a="1"/>
  <c r="G73" i="15" a="1"/>
  <c r="AI73" i="15" a="1"/>
  <c r="I73" i="15" a="1"/>
  <c r="AG77" i="8" a="1"/>
  <c r="AJ53" i="15" a="1"/>
  <c r="AJ46" i="15" a="1"/>
  <c r="AJ70" i="15" a="1"/>
  <c r="AH73" i="15" a="1"/>
  <c r="AJ63" i="15" a="1"/>
  <c r="AG103" i="8" a="1"/>
  <c r="AG86" i="8" a="1"/>
  <c r="AJ65" i="15" a="1"/>
  <c r="AJ51" i="15" a="1"/>
  <c r="AJ66" i="15" a="1"/>
  <c r="AG73" i="15" a="1"/>
  <c r="T73" i="15" a="1"/>
  <c r="AG76" i="8" a="1"/>
  <c r="J73" i="15" a="1"/>
  <c r="AJ43" i="15" a="1"/>
  <c r="M73" i="15" a="1"/>
  <c r="AC73" i="15" a="1"/>
  <c r="O73" i="15" a="1"/>
  <c r="AJ52" i="15" a="1"/>
  <c r="AG56" i="8" a="1"/>
  <c r="AJ64" i="15" a="1"/>
  <c r="AJ49" i="15" a="1"/>
  <c r="AG74" i="8" a="1"/>
  <c r="Q73" i="15" a="1"/>
  <c r="C73" i="15" a="1"/>
  <c r="AG54" i="8" a="1"/>
  <c r="AG102" i="8" a="1"/>
  <c r="AG53" i="8" a="1"/>
  <c r="K73" i="15" a="1"/>
  <c r="V73" i="15" a="1"/>
  <c r="AJ69" i="15" a="1"/>
  <c r="AG82" i="8" a="1"/>
  <c r="AG61" i="8" a="1"/>
  <c r="AJ60" i="15" a="1"/>
  <c r="AG65" i="8" a="1"/>
  <c r="AJ48" i="15" a="1"/>
  <c r="E73" i="15" a="1"/>
  <c r="AJ68" i="15" a="1"/>
  <c r="U73" i="15" a="1"/>
  <c r="AJ58" i="15" a="1"/>
  <c r="AJ54" i="15" a="1"/>
  <c r="F73" i="15" a="1"/>
  <c r="L73" i="15" a="1"/>
  <c r="AG71" i="8" a="1"/>
  <c r="Z73" i="15" a="1"/>
  <c r="AD73" i="15" a="1"/>
  <c r="AG84" i="8" a="1"/>
  <c r="AJ73" i="15" a="1"/>
  <c r="AJ50" i="15" a="1"/>
  <c r="AB73" i="15" a="1"/>
  <c r="W73" i="15" a="1"/>
  <c r="AG80" i="8" a="1"/>
  <c r="AG55" i="8" a="1"/>
  <c r="AG79" i="8" a="1"/>
  <c r="AJ67" i="15" a="1"/>
  <c r="AA73" i="15" a="1"/>
  <c r="AG104" i="8" a="1"/>
  <c r="AG85" i="8" a="1"/>
  <c r="AG64" i="8" a="1"/>
  <c r="H73" i="15" a="1"/>
  <c r="AG68" i="8" a="1"/>
  <c r="AJ59" i="15" a="1"/>
  <c r="AG59" i="8" a="1"/>
  <c r="AG78" i="8" a="1"/>
  <c r="AF73" i="15" a="1"/>
  <c r="AG67" i="8" a="1"/>
  <c r="Y73" i="15" a="1"/>
  <c r="AE73" i="15" a="1"/>
  <c r="AJ55" i="15" a="1"/>
  <c r="AJ72" i="15" a="1"/>
  <c r="AG72" i="8" a="1"/>
  <c r="AG62" i="8" a="1"/>
  <c r="AG58" i="8" a="1"/>
  <c r="S73" i="15" a="1"/>
  <c r="AG66" i="8" a="1"/>
  <c r="D73" i="15" a="1"/>
  <c r="AG52" i="8" a="1"/>
  <c r="AG100" i="8" a="1"/>
  <c r="X73" i="15" a="1"/>
  <c r="AG101" i="8" a="1"/>
  <c r="AG60" i="8" a="1"/>
  <c r="AJ62" i="15" a="1"/>
  <c r="AJ61" i="15" a="1"/>
  <c r="AJ57" i="15" a="1"/>
  <c r="AJ56" i="15" a="1"/>
  <c r="N73" i="15" a="1"/>
  <c r="AJ71" i="15" a="1"/>
  <c r="P73" i="15" a="1"/>
  <c r="AJ47" i="15" a="1"/>
  <c r="AJ39" i="15" a="1"/>
  <c r="AG70" i="8" a="1"/>
  <c r="AJ44" i="15" a="1"/>
  <c r="AG83" i="8" a="1"/>
  <c r="R73" i="15" a="1"/>
  <c r="N135" i="15" l="1"/>
  <c r="J135" i="15"/>
  <c r="AG54" i="8"/>
  <c r="AG52" i="8"/>
  <c r="AG53" i="8"/>
  <c r="AG56" i="8"/>
  <c r="AG55" i="8"/>
  <c r="AG77" i="8"/>
  <c r="AG78" i="8"/>
  <c r="AG76" i="8"/>
  <c r="AG79" i="8"/>
  <c r="AG80" i="8"/>
  <c r="F135" i="15"/>
  <c r="AF135" i="15"/>
  <c r="AC135" i="15"/>
  <c r="X135" i="15"/>
  <c r="T135" i="15"/>
  <c r="P135" i="15"/>
  <c r="L135" i="15"/>
  <c r="H135" i="15"/>
  <c r="AE135" i="15"/>
  <c r="AA135" i="15"/>
  <c r="AI135" i="15"/>
  <c r="AG135" i="15"/>
  <c r="AB135" i="15"/>
  <c r="Y135" i="15"/>
  <c r="U135" i="15"/>
  <c r="Q135" i="15"/>
  <c r="M135" i="15"/>
  <c r="I135" i="15"/>
  <c r="E135" i="15"/>
  <c r="W135" i="15"/>
  <c r="S135" i="15"/>
  <c r="O135" i="15"/>
  <c r="K135" i="15"/>
  <c r="G135" i="15"/>
  <c r="D73" i="15"/>
  <c r="D136" i="15" s="1"/>
  <c r="B136" i="15"/>
  <c r="C73" i="15"/>
  <c r="C136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Z73" i="15"/>
  <c r="AA73" i="15"/>
  <c r="AC73" i="15"/>
  <c r="AB73" i="15"/>
  <c r="AD73" i="15"/>
  <c r="AE73" i="15"/>
  <c r="AF73" i="15"/>
  <c r="AG73" i="15"/>
  <c r="AH73" i="15"/>
  <c r="AI73" i="15"/>
  <c r="AJ52" i="15"/>
  <c r="AJ115" i="15" s="1"/>
  <c r="AJ71" i="15"/>
  <c r="AJ134" i="15" s="1"/>
  <c r="AJ54" i="15"/>
  <c r="AJ117" i="15" s="1"/>
  <c r="AJ57" i="15"/>
  <c r="AJ120" i="15" s="1"/>
  <c r="AJ70" i="15"/>
  <c r="AJ133" i="15" s="1"/>
  <c r="AJ43" i="15"/>
  <c r="AJ106" i="15" s="1"/>
  <c r="AJ60" i="15"/>
  <c r="AJ123" i="15" s="1"/>
  <c r="AJ55" i="15"/>
  <c r="AJ118" i="15" s="1"/>
  <c r="AJ50" i="15"/>
  <c r="AJ113" i="15" s="1"/>
  <c r="AJ58" i="15"/>
  <c r="AJ121" i="15" s="1"/>
  <c r="AJ67" i="15"/>
  <c r="AJ130" i="15" s="1"/>
  <c r="AJ62" i="15"/>
  <c r="AJ125" i="15" s="1"/>
  <c r="AJ47" i="15"/>
  <c r="AJ110" i="15" s="1"/>
  <c r="AJ68" i="15"/>
  <c r="AJ131" i="15" s="1"/>
  <c r="AJ46" i="15"/>
  <c r="AJ109" i="15" s="1"/>
  <c r="AJ49" i="15"/>
  <c r="AJ112" i="15" s="1"/>
  <c r="AJ65" i="15"/>
  <c r="AJ128" i="15" s="1"/>
  <c r="AJ72" i="15"/>
  <c r="AJ135" i="15" s="1"/>
  <c r="AJ45" i="15"/>
  <c r="AJ108" i="15" s="1"/>
  <c r="AJ48" i="15"/>
  <c r="AJ111" i="15" s="1"/>
  <c r="AJ56" i="15"/>
  <c r="AJ119" i="15" s="1"/>
  <c r="AJ51" i="15"/>
  <c r="AJ114" i="15" s="1"/>
  <c r="AJ59" i="15"/>
  <c r="AJ122" i="15" s="1"/>
  <c r="AJ69" i="15"/>
  <c r="AJ132" i="15" s="1"/>
  <c r="AJ66" i="15"/>
  <c r="AJ129" i="15" s="1"/>
  <c r="AJ73" i="15"/>
  <c r="AJ53" i="15"/>
  <c r="AJ116" i="15" s="1"/>
  <c r="AJ61" i="15"/>
  <c r="AJ124" i="15" s="1"/>
  <c r="AJ44" i="15"/>
  <c r="AJ107" i="15" s="1"/>
  <c r="AJ63" i="15"/>
  <c r="AJ126" i="15" s="1"/>
  <c r="AJ64" i="15"/>
  <c r="AJ127" i="15" s="1"/>
  <c r="AJ39" i="15"/>
  <c r="AJ105" i="15" s="1"/>
  <c r="AL38" i="15"/>
  <c r="B74" i="15"/>
  <c r="B197" i="15" s="1"/>
  <c r="AF98" i="8"/>
  <c r="AG104" i="8"/>
  <c r="AG86" i="8"/>
  <c r="AG74" i="8"/>
  <c r="AG68" i="8"/>
  <c r="AG62" i="8"/>
  <c r="AF92" i="8"/>
  <c r="AF89" i="8"/>
  <c r="AF91" i="8"/>
  <c r="AG60" i="8"/>
  <c r="AG61" i="8"/>
  <c r="AG59" i="8"/>
  <c r="AG65" i="8"/>
  <c r="AG66" i="8"/>
  <c r="AG67" i="8"/>
  <c r="AG71" i="8"/>
  <c r="AG72" i="8"/>
  <c r="AG73" i="8"/>
  <c r="AG84" i="8"/>
  <c r="AG83" i="8"/>
  <c r="AG85" i="8"/>
  <c r="AF90" i="8"/>
  <c r="AF96" i="8"/>
  <c r="AG102" i="8"/>
  <c r="AG58" i="8"/>
  <c r="AG64" i="8"/>
  <c r="AG82" i="8"/>
  <c r="AG70" i="8"/>
  <c r="AG103" i="8"/>
  <c r="AG101" i="8"/>
  <c r="AG100" i="8"/>
  <c r="AH50" i="8"/>
  <c r="AF97" i="8"/>
  <c r="AF95" i="8"/>
  <c r="AF94" i="8"/>
  <c r="AF88" i="8"/>
  <c r="AH77" i="8" a="1"/>
  <c r="AK48" i="15" a="1"/>
  <c r="AK54" i="15" a="1"/>
  <c r="AH86" i="8" a="1"/>
  <c r="AK57" i="15" a="1"/>
  <c r="S74" i="15" a="1"/>
  <c r="AH80" i="8" a="1"/>
  <c r="C74" i="15" a="1"/>
  <c r="AK39" i="15" a="1"/>
  <c r="AH52" i="8" a="1"/>
  <c r="AH79" i="8" a="1"/>
  <c r="AK43" i="15" a="1"/>
  <c r="V74" i="15" a="1"/>
  <c r="R74" i="15" a="1"/>
  <c r="AH83" i="8" a="1"/>
  <c r="X74" i="15" a="1"/>
  <c r="AB74" i="15" a="1"/>
  <c r="AK61" i="15" a="1"/>
  <c r="AK45" i="15" a="1"/>
  <c r="T74" i="15" a="1"/>
  <c r="O74" i="15" a="1"/>
  <c r="AK68" i="15" a="1"/>
  <c r="AH70" i="8" a="1"/>
  <c r="AK73" i="15" a="1"/>
  <c r="AK74" i="15" a="1"/>
  <c r="F74" i="15" a="1"/>
  <c r="AK69" i="15" a="1"/>
  <c r="AE74" i="15" a="1"/>
  <c r="AH73" i="8" a="1"/>
  <c r="AK72" i="15" a="1"/>
  <c r="AI74" i="15" a="1"/>
  <c r="P74" i="15" a="1"/>
  <c r="AH55" i="8" a="1"/>
  <c r="G74" i="15" a="1"/>
  <c r="AH84" i="8" a="1"/>
  <c r="AK66" i="15" a="1"/>
  <c r="AH60" i="8" a="1"/>
  <c r="K74" i="15" a="1"/>
  <c r="AK63" i="15" a="1"/>
  <c r="Y74" i="15" a="1"/>
  <c r="AH102" i="8" a="1"/>
  <c r="AG74" i="15" a="1"/>
  <c r="AH71" i="8" a="1"/>
  <c r="AH54" i="8" a="1"/>
  <c r="W74" i="15" a="1"/>
  <c r="AH53" i="8" a="1"/>
  <c r="AF74" i="15" a="1"/>
  <c r="AH101" i="8" a="1"/>
  <c r="AH74" i="15" a="1"/>
  <c r="AC74" i="15" a="1"/>
  <c r="Q74" i="15" a="1"/>
  <c r="AH74" i="8" a="1"/>
  <c r="AK50" i="15" a="1"/>
  <c r="E74" i="15" a="1"/>
  <c r="AH59" i="8" a="1"/>
  <c r="U74" i="15" a="1"/>
  <c r="AH100" i="8" a="1"/>
  <c r="AK70" i="15" a="1"/>
  <c r="AH56" i="8" a="1"/>
  <c r="N74" i="15" a="1"/>
  <c r="D74" i="15" a="1"/>
  <c r="AH66" i="8" a="1"/>
  <c r="AA74" i="15" a="1"/>
  <c r="AH61" i="8" a="1"/>
  <c r="AK67" i="15" a="1"/>
  <c r="AD74" i="15" a="1"/>
  <c r="AK71" i="15" a="1"/>
  <c r="AK49" i="15" a="1"/>
  <c r="AH78" i="8" a="1"/>
  <c r="AK58" i="15" a="1"/>
  <c r="L74" i="15" a="1"/>
  <c r="H74" i="15" a="1"/>
  <c r="AH103" i="8" a="1"/>
  <c r="AK65" i="15" a="1"/>
  <c r="AK52" i="15" a="1"/>
  <c r="J74" i="15" a="1"/>
  <c r="AH67" i="8" a="1"/>
  <c r="I74" i="15" a="1"/>
  <c r="AH76" i="8" a="1"/>
  <c r="AH85" i="8" a="1"/>
  <c r="AH72" i="8" a="1"/>
  <c r="AK53" i="15" a="1"/>
  <c r="AK47" i="15" a="1"/>
  <c r="Z74" i="15" a="1"/>
  <c r="AK62" i="15" a="1"/>
  <c r="AK56" i="15" a="1"/>
  <c r="AH82" i="8" a="1"/>
  <c r="AH68" i="8" a="1"/>
  <c r="AH104" i="8" a="1"/>
  <c r="AK44" i="15" a="1"/>
  <c r="AH65" i="8" a="1"/>
  <c r="AH62" i="8" a="1"/>
  <c r="AK60" i="15" a="1"/>
  <c r="AK64" i="15" a="1"/>
  <c r="AK46" i="15" a="1"/>
  <c r="AK51" i="15" a="1"/>
  <c r="AK55" i="15" a="1"/>
  <c r="AK59" i="15" a="1"/>
  <c r="M74" i="15" a="1"/>
  <c r="AH58" i="8" a="1"/>
  <c r="AJ74" i="15" a="1"/>
  <c r="AH64" i="8" a="1"/>
  <c r="AH53" i="8" l="1"/>
  <c r="AH55" i="8"/>
  <c r="AH56" i="8"/>
  <c r="AH54" i="8"/>
  <c r="AH52" i="8"/>
  <c r="AH76" i="8"/>
  <c r="AH80" i="8"/>
  <c r="AH77" i="8"/>
  <c r="AH78" i="8"/>
  <c r="AH79" i="8"/>
  <c r="AD136" i="15"/>
  <c r="V136" i="15"/>
  <c r="AH136" i="15"/>
  <c r="Z136" i="15"/>
  <c r="R136" i="15"/>
  <c r="N136" i="15"/>
  <c r="F136" i="15"/>
  <c r="K136" i="15"/>
  <c r="AF136" i="15"/>
  <c r="AC136" i="15"/>
  <c r="X136" i="15"/>
  <c r="T136" i="15"/>
  <c r="P136" i="15"/>
  <c r="L136" i="15"/>
  <c r="H136" i="15"/>
  <c r="AJ136" i="15"/>
  <c r="AG136" i="15"/>
  <c r="AB136" i="15"/>
  <c r="Y136" i="15"/>
  <c r="U136" i="15"/>
  <c r="Q136" i="15"/>
  <c r="M136" i="15"/>
  <c r="I136" i="15"/>
  <c r="E136" i="15"/>
  <c r="AI136" i="15"/>
  <c r="AE136" i="15"/>
  <c r="AA136" i="15"/>
  <c r="W136" i="15"/>
  <c r="S136" i="15"/>
  <c r="O136" i="15"/>
  <c r="J136" i="15"/>
  <c r="G136" i="15"/>
  <c r="D74" i="15"/>
  <c r="D137" i="15" s="1"/>
  <c r="B137" i="15"/>
  <c r="C74" i="15"/>
  <c r="C137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AA74" i="15"/>
  <c r="AC74" i="15"/>
  <c r="AB74" i="15"/>
  <c r="AD74" i="15"/>
  <c r="AE74" i="15"/>
  <c r="AF74" i="15"/>
  <c r="AG74" i="15"/>
  <c r="AH74" i="15"/>
  <c r="AI74" i="15"/>
  <c r="AJ74" i="15"/>
  <c r="AK46" i="15"/>
  <c r="AK109" i="15" s="1"/>
  <c r="AK51" i="15"/>
  <c r="AK114" i="15" s="1"/>
  <c r="AK62" i="15"/>
  <c r="AK125" i="15" s="1"/>
  <c r="AK63" i="15"/>
  <c r="AK126" i="15" s="1"/>
  <c r="AK43" i="15"/>
  <c r="AK106" i="15" s="1"/>
  <c r="AK47" i="15"/>
  <c r="AK110" i="15" s="1"/>
  <c r="AK60" i="15"/>
  <c r="AK123" i="15" s="1"/>
  <c r="AK52" i="15"/>
  <c r="AK115" i="15" s="1"/>
  <c r="AK56" i="15"/>
  <c r="AK119" i="15" s="1"/>
  <c r="AK66" i="15"/>
  <c r="AK129" i="15" s="1"/>
  <c r="AK64" i="15"/>
  <c r="AK127" i="15" s="1"/>
  <c r="AK70" i="15"/>
  <c r="AK133" i="15" s="1"/>
  <c r="AK45" i="15"/>
  <c r="AK108" i="15" s="1"/>
  <c r="AK49" i="15"/>
  <c r="AK112" i="15" s="1"/>
  <c r="AK74" i="15"/>
  <c r="AK71" i="15"/>
  <c r="AK134" i="15" s="1"/>
  <c r="AK48" i="15"/>
  <c r="AK111" i="15" s="1"/>
  <c r="AK53" i="15"/>
  <c r="AK116" i="15" s="1"/>
  <c r="AK61" i="15"/>
  <c r="AK124" i="15" s="1"/>
  <c r="AK67" i="15"/>
  <c r="AK130" i="15" s="1"/>
  <c r="AK44" i="15"/>
  <c r="AK107" i="15" s="1"/>
  <c r="AK58" i="15"/>
  <c r="AK121" i="15" s="1"/>
  <c r="AK50" i="15"/>
  <c r="AK113" i="15" s="1"/>
  <c r="AK54" i="15"/>
  <c r="AK117" i="15" s="1"/>
  <c r="AK65" i="15"/>
  <c r="AK128" i="15" s="1"/>
  <c r="AK59" i="15"/>
  <c r="AK122" i="15" s="1"/>
  <c r="AK68" i="15"/>
  <c r="AK131" i="15" s="1"/>
  <c r="AK72" i="15"/>
  <c r="AK135" i="15" s="1"/>
  <c r="AK73" i="15"/>
  <c r="AK136" i="15" s="1"/>
  <c r="AK57" i="15"/>
  <c r="AK120" i="15" s="1"/>
  <c r="AK55" i="15"/>
  <c r="AK118" i="15" s="1"/>
  <c r="AK69" i="15"/>
  <c r="AK132" i="15" s="1"/>
  <c r="AK39" i="15"/>
  <c r="AK105" i="15" s="1"/>
  <c r="AM38" i="15"/>
  <c r="B75" i="15"/>
  <c r="B198" i="15" s="1"/>
  <c r="AH104" i="8"/>
  <c r="AH86" i="8"/>
  <c r="AH74" i="8"/>
  <c r="AH68" i="8"/>
  <c r="AH62" i="8"/>
  <c r="AG92" i="8"/>
  <c r="AG98" i="8"/>
  <c r="AG91" i="8"/>
  <c r="AG89" i="8"/>
  <c r="AG90" i="8"/>
  <c r="AH61" i="8"/>
  <c r="AH60" i="8"/>
  <c r="AH59" i="8"/>
  <c r="AH66" i="8"/>
  <c r="AH67" i="8"/>
  <c r="AH65" i="8"/>
  <c r="AH71" i="8"/>
  <c r="AH72" i="8"/>
  <c r="AH73" i="8"/>
  <c r="AH84" i="8"/>
  <c r="AH85" i="8"/>
  <c r="AH83" i="8"/>
  <c r="AG97" i="8"/>
  <c r="AG95" i="8"/>
  <c r="AH102" i="8"/>
  <c r="AH58" i="8"/>
  <c r="AH64" i="8"/>
  <c r="AH82" i="8"/>
  <c r="AH70" i="8"/>
  <c r="AH103" i="8"/>
  <c r="AH101" i="8"/>
  <c r="AH100" i="8"/>
  <c r="AI50" i="8"/>
  <c r="AG96" i="8"/>
  <c r="AG94" i="8"/>
  <c r="AG88" i="8"/>
  <c r="AI80" i="8" a="1"/>
  <c r="H75" i="15" a="1"/>
  <c r="AI75" i="15" a="1"/>
  <c r="AL61" i="15" a="1"/>
  <c r="AI62" i="8" a="1"/>
  <c r="AI85" i="8" a="1"/>
  <c r="X75" i="15" a="1"/>
  <c r="AL75" i="15" a="1"/>
  <c r="AL47" i="15" a="1"/>
  <c r="AL44" i="15" a="1"/>
  <c r="AI83" i="8" a="1"/>
  <c r="R75" i="15" a="1"/>
  <c r="AL66" i="15" a="1"/>
  <c r="AL68" i="15" a="1"/>
  <c r="F75" i="15" a="1"/>
  <c r="AL65" i="15" a="1"/>
  <c r="AI74" i="8" a="1"/>
  <c r="AI72" i="8" a="1"/>
  <c r="S75" i="15" a="1"/>
  <c r="AL39" i="15" a="1"/>
  <c r="AL73" i="15" a="1"/>
  <c r="AI65" i="8" a="1"/>
  <c r="AL52" i="15" a="1"/>
  <c r="AI103" i="8" a="1"/>
  <c r="AI73" i="8" a="1"/>
  <c r="AL63" i="15" a="1"/>
  <c r="G75" i="15" a="1"/>
  <c r="U75" i="15" a="1"/>
  <c r="AI79" i="8" a="1"/>
  <c r="J75" i="15" a="1"/>
  <c r="AL49" i="15" a="1"/>
  <c r="M75" i="15" a="1"/>
  <c r="AL51" i="15" a="1"/>
  <c r="AL43" i="15" a="1"/>
  <c r="D75" i="15" a="1"/>
  <c r="AL58" i="15" a="1"/>
  <c r="V75" i="15" a="1"/>
  <c r="AL56" i="15" a="1"/>
  <c r="N75" i="15" a="1"/>
  <c r="AL55" i="15" a="1"/>
  <c r="I75" i="15" a="1"/>
  <c r="AE75" i="15" a="1"/>
  <c r="AL54" i="15" a="1"/>
  <c r="W75" i="15" a="1"/>
  <c r="AL67" i="15" a="1"/>
  <c r="AL46" i="15" a="1"/>
  <c r="AI78" i="8" a="1"/>
  <c r="AI66" i="8" a="1"/>
  <c r="AL69" i="15" a="1"/>
  <c r="AC75" i="15" a="1"/>
  <c r="AL59" i="15" a="1"/>
  <c r="AF75" i="15" a="1"/>
  <c r="AL70" i="15" a="1"/>
  <c r="AL71" i="15" a="1"/>
  <c r="P75" i="15" a="1"/>
  <c r="AL57" i="15" a="1"/>
  <c r="AI59" i="8" a="1"/>
  <c r="AB75" i="15" a="1"/>
  <c r="AI82" i="8" a="1"/>
  <c r="AI104" i="8" a="1"/>
  <c r="AI84" i="8" a="1"/>
  <c r="AI55" i="8" a="1"/>
  <c r="AI70" i="8" a="1"/>
  <c r="AL64" i="15" a="1"/>
  <c r="AI56" i="8" a="1"/>
  <c r="AI71" i="8" a="1"/>
  <c r="AL48" i="15" a="1"/>
  <c r="AI61" i="8" a="1"/>
  <c r="AK75" i="15" a="1"/>
  <c r="AL72" i="15" a="1"/>
  <c r="AL74" i="15" a="1"/>
  <c r="AI64" i="8" a="1"/>
  <c r="AL62" i="15" a="1"/>
  <c r="C75" i="15" a="1"/>
  <c r="K75" i="15" a="1"/>
  <c r="AI86" i="8" a="1"/>
  <c r="Q75" i="15" a="1"/>
  <c r="AI100" i="8" a="1"/>
  <c r="AD75" i="15" a="1"/>
  <c r="AI101" i="8" a="1"/>
  <c r="AI67" i="8" a="1"/>
  <c r="AI53" i="8" a="1"/>
  <c r="O75" i="15" a="1"/>
  <c r="AG75" i="15" a="1"/>
  <c r="AI52" i="8" a="1"/>
  <c r="AI54" i="8" a="1"/>
  <c r="AL45" i="15" a="1"/>
  <c r="AI60" i="8" a="1"/>
  <c r="AJ75" i="15" a="1"/>
  <c r="Y75" i="15" a="1"/>
  <c r="L75" i="15" a="1"/>
  <c r="AL60" i="15" a="1"/>
  <c r="AL50" i="15" a="1"/>
  <c r="AA75" i="15" a="1"/>
  <c r="Z75" i="15" a="1"/>
  <c r="AI77" i="8" a="1"/>
  <c r="AH75" i="15" a="1"/>
  <c r="T75" i="15" a="1"/>
  <c r="AI58" i="8" a="1"/>
  <c r="AL53" i="15" a="1"/>
  <c r="E75" i="15" a="1"/>
  <c r="AI76" i="8" a="1"/>
  <c r="AI102" i="8" a="1"/>
  <c r="AI68" i="8" a="1"/>
  <c r="AH137" i="15" l="1"/>
  <c r="AD137" i="15"/>
  <c r="Z137" i="15"/>
  <c r="V137" i="15"/>
  <c r="R137" i="15"/>
  <c r="N137" i="15"/>
  <c r="AI52" i="8"/>
  <c r="AI55" i="8"/>
  <c r="AI56" i="8"/>
  <c r="AI54" i="8"/>
  <c r="AI53" i="8"/>
  <c r="AI76" i="8"/>
  <c r="AI79" i="8"/>
  <c r="AI77" i="8"/>
  <c r="AI78" i="8"/>
  <c r="AI80" i="8"/>
  <c r="K137" i="15"/>
  <c r="F137" i="15"/>
  <c r="AG137" i="15"/>
  <c r="Y137" i="15"/>
  <c r="Q137" i="15"/>
  <c r="E137" i="15"/>
  <c r="AJ137" i="15"/>
  <c r="AF137" i="15"/>
  <c r="AC137" i="15"/>
  <c r="X137" i="15"/>
  <c r="T137" i="15"/>
  <c r="P137" i="15"/>
  <c r="L137" i="15"/>
  <c r="H137" i="15"/>
  <c r="AB137" i="15"/>
  <c r="U137" i="15"/>
  <c r="M137" i="15"/>
  <c r="I137" i="15"/>
  <c r="AK137" i="15"/>
  <c r="AI137" i="15"/>
  <c r="AE137" i="15"/>
  <c r="AA137" i="15"/>
  <c r="W137" i="15"/>
  <c r="S137" i="15"/>
  <c r="O137" i="15"/>
  <c r="J137" i="15"/>
  <c r="G137" i="15"/>
  <c r="D75" i="15"/>
  <c r="D138" i="15" s="1"/>
  <c r="B138" i="15"/>
  <c r="C75" i="15"/>
  <c r="C138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AC75" i="15"/>
  <c r="AB75" i="15"/>
  <c r="AD75" i="15"/>
  <c r="AE75" i="15"/>
  <c r="AF75" i="15"/>
  <c r="AG75" i="15"/>
  <c r="AH75" i="15"/>
  <c r="AI75" i="15"/>
  <c r="AJ75" i="15"/>
  <c r="AK75" i="15"/>
  <c r="AL51" i="15"/>
  <c r="AL114" i="15" s="1"/>
  <c r="AL58" i="15"/>
  <c r="AL121" i="15" s="1"/>
  <c r="AL45" i="15"/>
  <c r="AL108" i="15" s="1"/>
  <c r="AL56" i="15"/>
  <c r="AL119" i="15" s="1"/>
  <c r="AL65" i="15"/>
  <c r="AL128" i="15" s="1"/>
  <c r="AL69" i="15"/>
  <c r="AL132" i="15" s="1"/>
  <c r="AL44" i="15"/>
  <c r="AL107" i="15" s="1"/>
  <c r="AL49" i="15"/>
  <c r="AL112" i="15" s="1"/>
  <c r="AL53" i="15"/>
  <c r="AL116" i="15" s="1"/>
  <c r="AL59" i="15"/>
  <c r="AL122" i="15" s="1"/>
  <c r="AL61" i="15"/>
  <c r="AL124" i="15" s="1"/>
  <c r="AL68" i="15"/>
  <c r="AL131" i="15" s="1"/>
  <c r="AL66" i="15"/>
  <c r="AL129" i="15" s="1"/>
  <c r="AL73" i="15"/>
  <c r="AL136" i="15" s="1"/>
  <c r="AL72" i="15"/>
  <c r="AL135" i="15" s="1"/>
  <c r="AL48" i="15"/>
  <c r="AL111" i="15" s="1"/>
  <c r="AL67" i="15"/>
  <c r="AL130" i="15" s="1"/>
  <c r="AL52" i="15"/>
  <c r="AL115" i="15" s="1"/>
  <c r="AL57" i="15"/>
  <c r="AL120" i="15" s="1"/>
  <c r="AL71" i="15"/>
  <c r="AL134" i="15" s="1"/>
  <c r="AL46" i="15"/>
  <c r="AL109" i="15" s="1"/>
  <c r="AL50" i="15"/>
  <c r="AL113" i="15" s="1"/>
  <c r="AL54" i="15"/>
  <c r="AL117" i="15" s="1"/>
  <c r="AL47" i="15"/>
  <c r="AL110" i="15" s="1"/>
  <c r="AL60" i="15"/>
  <c r="AL123" i="15" s="1"/>
  <c r="AL70" i="15"/>
  <c r="AL133" i="15" s="1"/>
  <c r="AL63" i="15"/>
  <c r="AL126" i="15" s="1"/>
  <c r="AL75" i="15"/>
  <c r="AL43" i="15"/>
  <c r="AL106" i="15" s="1"/>
  <c r="AL64" i="15"/>
  <c r="AL127" i="15" s="1"/>
  <c r="AL55" i="15"/>
  <c r="AL118" i="15" s="1"/>
  <c r="AL74" i="15"/>
  <c r="AL137" i="15" s="1"/>
  <c r="AL62" i="15"/>
  <c r="AL125" i="15" s="1"/>
  <c r="AL39" i="15"/>
  <c r="AL105" i="15" s="1"/>
  <c r="AN38" i="15"/>
  <c r="B76" i="15"/>
  <c r="B199" i="15" s="1"/>
  <c r="AH98" i="8"/>
  <c r="AI104" i="8"/>
  <c r="AI86" i="8"/>
  <c r="AI74" i="8"/>
  <c r="AI68" i="8"/>
  <c r="AI62" i="8"/>
  <c r="AH92" i="8"/>
  <c r="AH91" i="8"/>
  <c r="AI61" i="8"/>
  <c r="AI60" i="8"/>
  <c r="AI59" i="8"/>
  <c r="AI65" i="8"/>
  <c r="AI67" i="8"/>
  <c r="AI66" i="8"/>
  <c r="AI71" i="8"/>
  <c r="AI72" i="8"/>
  <c r="AI73" i="8"/>
  <c r="AI85" i="8"/>
  <c r="AI83" i="8"/>
  <c r="AI84" i="8"/>
  <c r="AH90" i="8"/>
  <c r="AH89" i="8"/>
  <c r="AI102" i="8"/>
  <c r="AI58" i="8"/>
  <c r="AI64" i="8"/>
  <c r="AI82" i="8"/>
  <c r="AI70" i="8"/>
  <c r="AI103" i="8"/>
  <c r="AI101" i="8"/>
  <c r="AI100" i="8"/>
  <c r="AJ50" i="8"/>
  <c r="AH95" i="8"/>
  <c r="AH96" i="8"/>
  <c r="AH97" i="8"/>
  <c r="AH88" i="8"/>
  <c r="AH94" i="8"/>
  <c r="AJ73" i="8" a="1"/>
  <c r="AM39" i="15" a="1"/>
  <c r="U76" i="15" a="1"/>
  <c r="V76" i="15" a="1"/>
  <c r="F76" i="15" a="1"/>
  <c r="AM46" i="15" a="1"/>
  <c r="AJ55" i="8" a="1"/>
  <c r="AJ65" i="8" a="1"/>
  <c r="AJ58" i="8" a="1"/>
  <c r="AJ104" i="8" a="1"/>
  <c r="AC76" i="15" a="1"/>
  <c r="L76" i="15" a="1"/>
  <c r="C76" i="15" a="1"/>
  <c r="AJ62" i="8" a="1"/>
  <c r="G76" i="15" a="1"/>
  <c r="AJ76" i="15" a="1"/>
  <c r="AJ61" i="8" a="1"/>
  <c r="AM69" i="15" a="1"/>
  <c r="J76" i="15" a="1"/>
  <c r="AJ100" i="8" a="1"/>
  <c r="AM72" i="15" a="1"/>
  <c r="AM71" i="15" a="1"/>
  <c r="AJ54" i="8" a="1"/>
  <c r="AJ64" i="8" a="1"/>
  <c r="AJ84" i="8" a="1"/>
  <c r="AB76" i="15" a="1"/>
  <c r="AJ102" i="8" a="1"/>
  <c r="AJ103" i="8" a="1"/>
  <c r="AM50" i="15" a="1"/>
  <c r="AJ60" i="8" a="1"/>
  <c r="AJ80" i="8" a="1"/>
  <c r="AM60" i="15" a="1"/>
  <c r="AJ67" i="8" a="1"/>
  <c r="AM76" i="15" a="1"/>
  <c r="AM64" i="15" a="1"/>
  <c r="T76" i="15" a="1"/>
  <c r="AJ71" i="8" a="1"/>
  <c r="AM47" i="15" a="1"/>
  <c r="W76" i="15" a="1"/>
  <c r="AM52" i="15" a="1"/>
  <c r="AM48" i="15" a="1"/>
  <c r="AJ101" i="8" a="1"/>
  <c r="AJ78" i="8" a="1"/>
  <c r="AA76" i="15" a="1"/>
  <c r="AJ70" i="8" a="1"/>
  <c r="AM73" i="15" a="1"/>
  <c r="AJ66" i="8" a="1"/>
  <c r="AM57" i="15" a="1"/>
  <c r="AM62" i="15" a="1"/>
  <c r="Y76" i="15" a="1"/>
  <c r="AJ83" i="8" a="1"/>
  <c r="AH76" i="15" a="1"/>
  <c r="AM54" i="15" a="1"/>
  <c r="AJ85" i="8" a="1"/>
  <c r="AM53" i="15" a="1"/>
  <c r="AG76" i="15" a="1"/>
  <c r="AM59" i="15" a="1"/>
  <c r="AM66" i="15" a="1"/>
  <c r="P76" i="15" a="1"/>
  <c r="X76" i="15" a="1"/>
  <c r="AM63" i="15" a="1"/>
  <c r="AE76" i="15" a="1"/>
  <c r="R76" i="15" a="1"/>
  <c r="AD76" i="15" a="1"/>
  <c r="AM56" i="15" a="1"/>
  <c r="Q76" i="15" a="1"/>
  <c r="N76" i="15" a="1"/>
  <c r="AJ74" i="8" a="1"/>
  <c r="E76" i="15" a="1"/>
  <c r="AM67" i="15" a="1"/>
  <c r="AJ52" i="8" a="1"/>
  <c r="AF76" i="15" a="1"/>
  <c r="AM43" i="15" a="1"/>
  <c r="AM51" i="15" a="1"/>
  <c r="AM68" i="15" a="1"/>
  <c r="AM75" i="15" a="1"/>
  <c r="AM44" i="15" a="1"/>
  <c r="AJ56" i="8" a="1"/>
  <c r="AK76" i="15" a="1"/>
  <c r="AJ72" i="8" a="1"/>
  <c r="AM74" i="15" a="1"/>
  <c r="AJ79" i="8" a="1"/>
  <c r="AM58" i="15" a="1"/>
  <c r="AJ82" i="8" a="1"/>
  <c r="AM45" i="15" a="1"/>
  <c r="AM65" i="15" a="1"/>
  <c r="AJ68" i="8" a="1"/>
  <c r="AM70" i="15" a="1"/>
  <c r="AM61" i="15" a="1"/>
  <c r="I76" i="15" a="1"/>
  <c r="K76" i="15" a="1"/>
  <c r="AM49" i="15" a="1"/>
  <c r="Z76" i="15" a="1"/>
  <c r="S76" i="15" a="1"/>
  <c r="D76" i="15" a="1"/>
  <c r="M76" i="15" a="1"/>
  <c r="O76" i="15" a="1"/>
  <c r="AL76" i="15" a="1"/>
  <c r="AJ59" i="8" a="1"/>
  <c r="AI76" i="15" a="1"/>
  <c r="AJ53" i="8" a="1"/>
  <c r="AJ77" i="8" a="1"/>
  <c r="AJ86" i="8" a="1"/>
  <c r="H76" i="15" a="1"/>
  <c r="AM55" i="15" a="1"/>
  <c r="AJ76" i="8" a="1"/>
  <c r="AH138" i="15" l="1"/>
  <c r="Z138" i="15"/>
  <c r="N138" i="15"/>
  <c r="AD138" i="15"/>
  <c r="V138" i="15"/>
  <c r="R138" i="15"/>
  <c r="AJ54" i="8"/>
  <c r="AJ53" i="8"/>
  <c r="AJ52" i="8"/>
  <c r="AJ55" i="8"/>
  <c r="AJ56" i="8"/>
  <c r="AJ78" i="8"/>
  <c r="AJ77" i="8"/>
  <c r="AJ79" i="8"/>
  <c r="AJ76" i="8"/>
  <c r="AJ80" i="8"/>
  <c r="J138" i="15"/>
  <c r="F138" i="15"/>
  <c r="AJ138" i="15"/>
  <c r="AF138" i="15"/>
  <c r="AC138" i="15"/>
  <c r="X138" i="15"/>
  <c r="T138" i="15"/>
  <c r="P138" i="15"/>
  <c r="L138" i="15"/>
  <c r="H138" i="15"/>
  <c r="AL138" i="15"/>
  <c r="AK138" i="15"/>
  <c r="AG138" i="15"/>
  <c r="AB138" i="15"/>
  <c r="Y138" i="15"/>
  <c r="U138" i="15"/>
  <c r="Q138" i="15"/>
  <c r="M138" i="15"/>
  <c r="I138" i="15"/>
  <c r="E138" i="15"/>
  <c r="AI138" i="15"/>
  <c r="AE138" i="15"/>
  <c r="AA138" i="15"/>
  <c r="W138" i="15"/>
  <c r="S138" i="15"/>
  <c r="O138" i="15"/>
  <c r="K138" i="15"/>
  <c r="G138" i="15"/>
  <c r="D76" i="15"/>
  <c r="D139" i="15" s="1"/>
  <c r="B139" i="15"/>
  <c r="C76" i="15"/>
  <c r="C139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C76" i="15"/>
  <c r="AB76" i="15"/>
  <c r="AD76" i="15"/>
  <c r="AE76" i="15"/>
  <c r="AF76" i="15"/>
  <c r="AG76" i="15"/>
  <c r="AH76" i="15"/>
  <c r="AI76" i="15"/>
  <c r="AJ76" i="15"/>
  <c r="AK76" i="15"/>
  <c r="AL76" i="15"/>
  <c r="AM46" i="15"/>
  <c r="AM109" i="15" s="1"/>
  <c r="AM55" i="15"/>
  <c r="AM118" i="15" s="1"/>
  <c r="AM45" i="15"/>
  <c r="AM108" i="15" s="1"/>
  <c r="AM56" i="15"/>
  <c r="AM119" i="15" s="1"/>
  <c r="AM65" i="15"/>
  <c r="AM128" i="15" s="1"/>
  <c r="AM75" i="15"/>
  <c r="AM138" i="15" s="1"/>
  <c r="AM43" i="15"/>
  <c r="AM106" i="15" s="1"/>
  <c r="AM48" i="15"/>
  <c r="AM111" i="15" s="1"/>
  <c r="AM52" i="15"/>
  <c r="AM115" i="15" s="1"/>
  <c r="AM53" i="15"/>
  <c r="AM116" i="15" s="1"/>
  <c r="AM61" i="15"/>
  <c r="AM124" i="15" s="1"/>
  <c r="AM63" i="15"/>
  <c r="AM126" i="15" s="1"/>
  <c r="AM67" i="15"/>
  <c r="AM130" i="15" s="1"/>
  <c r="AM71" i="15"/>
  <c r="AM134" i="15" s="1"/>
  <c r="AM76" i="15"/>
  <c r="AM62" i="15"/>
  <c r="AM125" i="15" s="1"/>
  <c r="AM51" i="15"/>
  <c r="AM114" i="15" s="1"/>
  <c r="AM66" i="15"/>
  <c r="AM129" i="15" s="1"/>
  <c r="AM70" i="15"/>
  <c r="AM133" i="15" s="1"/>
  <c r="AM44" i="15"/>
  <c r="AM107" i="15" s="1"/>
  <c r="AM49" i="15"/>
  <c r="AM112" i="15" s="1"/>
  <c r="AM57" i="15"/>
  <c r="AM120" i="15" s="1"/>
  <c r="AM54" i="15"/>
  <c r="AM117" i="15" s="1"/>
  <c r="AM58" i="15"/>
  <c r="AM121" i="15" s="1"/>
  <c r="AM60" i="15"/>
  <c r="AM123" i="15" s="1"/>
  <c r="AM68" i="15"/>
  <c r="AM131" i="15" s="1"/>
  <c r="AM72" i="15"/>
  <c r="AM135" i="15" s="1"/>
  <c r="AM59" i="15"/>
  <c r="AM122" i="15" s="1"/>
  <c r="AM64" i="15"/>
  <c r="AM127" i="15" s="1"/>
  <c r="AM74" i="15"/>
  <c r="AM137" i="15" s="1"/>
  <c r="AM50" i="15"/>
  <c r="AM113" i="15" s="1"/>
  <c r="AM69" i="15"/>
  <c r="AM132" i="15" s="1"/>
  <c r="AM47" i="15"/>
  <c r="AM110" i="15" s="1"/>
  <c r="AM73" i="15"/>
  <c r="AM136" i="15" s="1"/>
  <c r="AM39" i="15"/>
  <c r="AM105" i="15" s="1"/>
  <c r="AO38" i="15"/>
  <c r="B77" i="15"/>
  <c r="B200" i="15" s="1"/>
  <c r="AI98" i="8"/>
  <c r="AJ104" i="8"/>
  <c r="AJ86" i="8"/>
  <c r="AJ74" i="8"/>
  <c r="AJ68" i="8"/>
  <c r="AJ62" i="8"/>
  <c r="AI92" i="8"/>
  <c r="AI91" i="8"/>
  <c r="AI90" i="8"/>
  <c r="AJ59" i="8"/>
  <c r="AJ61" i="8"/>
  <c r="AJ60" i="8"/>
  <c r="AJ65" i="8"/>
  <c r="AJ67" i="8"/>
  <c r="AJ66" i="8"/>
  <c r="AJ73" i="8"/>
  <c r="AJ72" i="8"/>
  <c r="AJ71" i="8"/>
  <c r="AJ84" i="8"/>
  <c r="AJ85" i="8"/>
  <c r="AJ83" i="8"/>
  <c r="AI89" i="8"/>
  <c r="AJ102" i="8"/>
  <c r="AJ58" i="8"/>
  <c r="AJ64" i="8"/>
  <c r="AJ82" i="8"/>
  <c r="AJ70" i="8"/>
  <c r="AJ103" i="8"/>
  <c r="AJ101" i="8"/>
  <c r="AJ100" i="8"/>
  <c r="AK50" i="8"/>
  <c r="AI97" i="8"/>
  <c r="AI95" i="8"/>
  <c r="AI96" i="8"/>
  <c r="AI94" i="8"/>
  <c r="AI88" i="8"/>
  <c r="K77" i="15" a="1"/>
  <c r="Q77" i="15" a="1"/>
  <c r="AK65" i="8" a="1"/>
  <c r="R77" i="15" a="1"/>
  <c r="AK71" i="8" a="1"/>
  <c r="AN68" i="15" a="1"/>
  <c r="AK77" i="8" a="1"/>
  <c r="AK56" i="8" a="1"/>
  <c r="AN77" i="15" a="1"/>
  <c r="AK83" i="8" a="1"/>
  <c r="Y77" i="15" a="1"/>
  <c r="AN73" i="15" a="1"/>
  <c r="AN75" i="15" a="1"/>
  <c r="AN58" i="15" a="1"/>
  <c r="V77" i="15" a="1"/>
  <c r="AK84" i="8" a="1"/>
  <c r="H77" i="15" a="1"/>
  <c r="W77" i="15" a="1"/>
  <c r="AN64" i="15" a="1"/>
  <c r="AK79" i="8" a="1"/>
  <c r="AN60" i="15" a="1"/>
  <c r="AC77" i="15" a="1"/>
  <c r="AK100" i="8" a="1"/>
  <c r="AN53" i="15" a="1"/>
  <c r="AK73" i="8" a="1"/>
  <c r="AN59" i="15" a="1"/>
  <c r="O77" i="15" a="1"/>
  <c r="AN49" i="15" a="1"/>
  <c r="AK104" i="8" a="1"/>
  <c r="AK59" i="8" a="1"/>
  <c r="AK85" i="8" a="1"/>
  <c r="Z77" i="15" a="1"/>
  <c r="AK76" i="8" a="1"/>
  <c r="AK74" i="8" a="1"/>
  <c r="AF77" i="15" a="1"/>
  <c r="F77" i="15" a="1"/>
  <c r="AD77" i="15" a="1"/>
  <c r="AN55" i="15" a="1"/>
  <c r="S77" i="15" a="1"/>
  <c r="AN52" i="15" a="1"/>
  <c r="AK58" i="8" a="1"/>
  <c r="AK103" i="8" a="1"/>
  <c r="U77" i="15" a="1"/>
  <c r="AK67" i="8" a="1"/>
  <c r="L77" i="15" a="1"/>
  <c r="AN61" i="15" a="1"/>
  <c r="AN65" i="15" a="1"/>
  <c r="AK80" i="8" a="1"/>
  <c r="AK70" i="8" a="1"/>
  <c r="AK68" i="8" a="1"/>
  <c r="AK66" i="8" a="1"/>
  <c r="AK86" i="8" a="1"/>
  <c r="AN39" i="15" a="1"/>
  <c r="AN70" i="15" a="1"/>
  <c r="AN69" i="15" a="1"/>
  <c r="AL77" i="15" a="1"/>
  <c r="AN62" i="15" a="1"/>
  <c r="AK53" i="8" a="1"/>
  <c r="AG77" i="15" a="1"/>
  <c r="AN76" i="15" a="1"/>
  <c r="D77" i="15" a="1"/>
  <c r="AB77" i="15" a="1"/>
  <c r="AN57" i="15" a="1"/>
  <c r="AN46" i="15" a="1"/>
  <c r="T77" i="15" a="1"/>
  <c r="AN43" i="15" a="1"/>
  <c r="E77" i="15" a="1"/>
  <c r="AN54" i="15" a="1"/>
  <c r="AK77" i="15" a="1"/>
  <c r="AE77" i="15" a="1"/>
  <c r="AA77" i="15" a="1"/>
  <c r="AI77" i="15" a="1"/>
  <c r="AN74" i="15" a="1"/>
  <c r="AK78" i="8" a="1"/>
  <c r="AK62" i="8" a="1"/>
  <c r="AN50" i="15" a="1"/>
  <c r="AN66" i="15" a="1"/>
  <c r="X77" i="15" a="1"/>
  <c r="G77" i="15" a="1"/>
  <c r="N77" i="15" a="1"/>
  <c r="AK102" i="8" a="1"/>
  <c r="AK64" i="8" a="1"/>
  <c r="AK72" i="8" a="1"/>
  <c r="I77" i="15" a="1"/>
  <c r="AN56" i="15" a="1"/>
  <c r="J77" i="15" a="1"/>
  <c r="AN44" i="15" a="1"/>
  <c r="AN67" i="15" a="1"/>
  <c r="AN63" i="15" a="1"/>
  <c r="AK82" i="8" a="1"/>
  <c r="AM77" i="15" a="1"/>
  <c r="AK60" i="8" a="1"/>
  <c r="AJ77" i="15" a="1"/>
  <c r="AK54" i="8" a="1"/>
  <c r="AN71" i="15" a="1"/>
  <c r="AH77" i="15" a="1"/>
  <c r="AK101" i="8" a="1"/>
  <c r="AN45" i="15" a="1"/>
  <c r="C77" i="15" a="1"/>
  <c r="P77" i="15" a="1"/>
  <c r="AK52" i="8" a="1"/>
  <c r="M77" i="15" a="1"/>
  <c r="AN51" i="15" a="1"/>
  <c r="AK61" i="8" a="1"/>
  <c r="AN48" i="15" a="1"/>
  <c r="AK55" i="8" a="1"/>
  <c r="AN47" i="15" a="1"/>
  <c r="AN72" i="15" a="1"/>
  <c r="AK52" i="8" l="1"/>
  <c r="AK55" i="8"/>
  <c r="AK56" i="8"/>
  <c r="AK54" i="8"/>
  <c r="AK53" i="8"/>
  <c r="AK79" i="8"/>
  <c r="AK80" i="8"/>
  <c r="AK77" i="8"/>
  <c r="AK78" i="8"/>
  <c r="AK76" i="8"/>
  <c r="AD139" i="15"/>
  <c r="V139" i="15"/>
  <c r="AL139" i="15"/>
  <c r="AH139" i="15"/>
  <c r="Z139" i="15"/>
  <c r="R139" i="15"/>
  <c r="N139" i="15"/>
  <c r="K139" i="15"/>
  <c r="F139" i="15"/>
  <c r="AK139" i="15"/>
  <c r="AG139" i="15"/>
  <c r="AB139" i="15"/>
  <c r="Y139" i="15"/>
  <c r="U139" i="15"/>
  <c r="Q139" i="15"/>
  <c r="M139" i="15"/>
  <c r="I139" i="15"/>
  <c r="E139" i="15"/>
  <c r="AM139" i="15"/>
  <c r="AJ139" i="15"/>
  <c r="AF139" i="15"/>
  <c r="AC139" i="15"/>
  <c r="X139" i="15"/>
  <c r="T139" i="15"/>
  <c r="P139" i="15"/>
  <c r="L139" i="15"/>
  <c r="H139" i="15"/>
  <c r="AI139" i="15"/>
  <c r="AE139" i="15"/>
  <c r="AA139" i="15"/>
  <c r="W139" i="15"/>
  <c r="S139" i="15"/>
  <c r="O139" i="15"/>
  <c r="J139" i="15"/>
  <c r="G139" i="15"/>
  <c r="D77" i="15"/>
  <c r="D140" i="15" s="1"/>
  <c r="B140" i="15"/>
  <c r="C77" i="15"/>
  <c r="C140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AD77" i="15"/>
  <c r="AE77" i="15"/>
  <c r="AF77" i="15"/>
  <c r="AG77" i="15"/>
  <c r="AH77" i="15"/>
  <c r="AI77" i="15"/>
  <c r="AJ77" i="15"/>
  <c r="AK77" i="15"/>
  <c r="AL77" i="15"/>
  <c r="AM77" i="15"/>
  <c r="AN52" i="15"/>
  <c r="AN115" i="15" s="1"/>
  <c r="AN67" i="15"/>
  <c r="AN130" i="15" s="1"/>
  <c r="AN46" i="15"/>
  <c r="AN109" i="15" s="1"/>
  <c r="AN58" i="15"/>
  <c r="AN121" i="15" s="1"/>
  <c r="AN69" i="15"/>
  <c r="AN132" i="15" s="1"/>
  <c r="AN75" i="15"/>
  <c r="AN138" i="15" s="1"/>
  <c r="AN43" i="15"/>
  <c r="AN106" i="15" s="1"/>
  <c r="AN47" i="15"/>
  <c r="AN110" i="15" s="1"/>
  <c r="AN56" i="15"/>
  <c r="AN119" i="15" s="1"/>
  <c r="AN50" i="15"/>
  <c r="AN113" i="15" s="1"/>
  <c r="AN60" i="15"/>
  <c r="AN123" i="15" s="1"/>
  <c r="AN62" i="15"/>
  <c r="AN125" i="15" s="1"/>
  <c r="AN59" i="15"/>
  <c r="AN122" i="15" s="1"/>
  <c r="AN70" i="15"/>
  <c r="AN133" i="15" s="1"/>
  <c r="AN71" i="15"/>
  <c r="AN134" i="15" s="1"/>
  <c r="AN44" i="15"/>
  <c r="AN107" i="15" s="1"/>
  <c r="AN65" i="15"/>
  <c r="AN128" i="15" s="1"/>
  <c r="AN76" i="15"/>
  <c r="AN139" i="15" s="1"/>
  <c r="AN55" i="15"/>
  <c r="AN118" i="15" s="1"/>
  <c r="AN73" i="15"/>
  <c r="AN136" i="15" s="1"/>
  <c r="AN68" i="15"/>
  <c r="AN131" i="15" s="1"/>
  <c r="AN45" i="15"/>
  <c r="AN108" i="15" s="1"/>
  <c r="AN53" i="15"/>
  <c r="AN116" i="15" s="1"/>
  <c r="AN57" i="15"/>
  <c r="AN120" i="15" s="1"/>
  <c r="AN51" i="15"/>
  <c r="AN114" i="15" s="1"/>
  <c r="AN61" i="15"/>
  <c r="AN124" i="15" s="1"/>
  <c r="AN66" i="15"/>
  <c r="AN129" i="15" s="1"/>
  <c r="AN63" i="15"/>
  <c r="AN126" i="15" s="1"/>
  <c r="AN74" i="15"/>
  <c r="AN137" i="15" s="1"/>
  <c r="AN72" i="15"/>
  <c r="AN135" i="15" s="1"/>
  <c r="AN54" i="15"/>
  <c r="AN117" i="15" s="1"/>
  <c r="AN64" i="15"/>
  <c r="AN127" i="15" s="1"/>
  <c r="AN48" i="15"/>
  <c r="AN111" i="15" s="1"/>
  <c r="AN77" i="15"/>
  <c r="AN49" i="15"/>
  <c r="AN112" i="15" s="1"/>
  <c r="AN39" i="15"/>
  <c r="AN105" i="15" s="1"/>
  <c r="AP38" i="15"/>
  <c r="B78" i="15"/>
  <c r="B201" i="15" s="1"/>
  <c r="AK104" i="8"/>
  <c r="AK86" i="8"/>
  <c r="AK74" i="8"/>
  <c r="AK68" i="8"/>
  <c r="AK62" i="8"/>
  <c r="AJ92" i="8"/>
  <c r="AJ98" i="8"/>
  <c r="AJ91" i="8"/>
  <c r="AJ90" i="8"/>
  <c r="AK61" i="8"/>
  <c r="AK59" i="8"/>
  <c r="AK60" i="8"/>
  <c r="AK67" i="8"/>
  <c r="AK66" i="8"/>
  <c r="AK65" i="8"/>
  <c r="AK71" i="8"/>
  <c r="AK72" i="8"/>
  <c r="AK73" i="8"/>
  <c r="AK84" i="8"/>
  <c r="AK85" i="8"/>
  <c r="AK83" i="8"/>
  <c r="AJ89" i="8"/>
  <c r="AJ95" i="8"/>
  <c r="AK102" i="8"/>
  <c r="AK58" i="8"/>
  <c r="AK64" i="8"/>
  <c r="AK82" i="8"/>
  <c r="AK70" i="8"/>
  <c r="AK103" i="8"/>
  <c r="AK101" i="8"/>
  <c r="AK100" i="8"/>
  <c r="AL50" i="8"/>
  <c r="AJ96" i="8"/>
  <c r="AJ97" i="8"/>
  <c r="AJ94" i="8"/>
  <c r="AJ88" i="8"/>
  <c r="AL100" i="8" a="1"/>
  <c r="G78" i="15" a="1"/>
  <c r="K78" i="15" a="1"/>
  <c r="AL62" i="8" a="1"/>
  <c r="AE78" i="15" a="1"/>
  <c r="AL52" i="8" a="1"/>
  <c r="AL103" i="8" a="1"/>
  <c r="AL102" i="8" a="1"/>
  <c r="S78" i="15" a="1"/>
  <c r="AO74" i="15" a="1"/>
  <c r="AL73" i="8" a="1"/>
  <c r="AL68" i="8" a="1"/>
  <c r="AO65" i="15" a="1"/>
  <c r="AO71" i="15" a="1"/>
  <c r="AO63" i="15" a="1"/>
  <c r="AL104" i="8" a="1"/>
  <c r="AO66" i="15" a="1"/>
  <c r="AO77" i="15" a="1"/>
  <c r="AO60" i="15" a="1"/>
  <c r="AO68" i="15" a="1"/>
  <c r="AL101" i="8" a="1"/>
  <c r="P78" i="15" a="1"/>
  <c r="AL60" i="8" a="1"/>
  <c r="AL71" i="8" a="1"/>
  <c r="AO57" i="15" a="1"/>
  <c r="AL78" i="15" a="1"/>
  <c r="AB78" i="15" a="1"/>
  <c r="AM78" i="15" a="1"/>
  <c r="AC78" i="15" a="1"/>
  <c r="AO46" i="15" a="1"/>
  <c r="AL64" i="8" a="1"/>
  <c r="AL66" i="8" a="1"/>
  <c r="AO59" i="15" a="1"/>
  <c r="AL83" i="8" a="1"/>
  <c r="AO62" i="15" a="1"/>
  <c r="AO52" i="15" a="1"/>
  <c r="AF78" i="15" a="1"/>
  <c r="AL84" i="8" a="1"/>
  <c r="AL61" i="8" a="1"/>
  <c r="AH78" i="15" a="1"/>
  <c r="AL55" i="8" a="1"/>
  <c r="V78" i="15" a="1"/>
  <c r="AL86" i="8" a="1"/>
  <c r="AO55" i="15" a="1"/>
  <c r="AD78" i="15" a="1"/>
  <c r="AL79" i="8" a="1"/>
  <c r="AO49" i="15" a="1"/>
  <c r="AO48" i="15" a="1"/>
  <c r="AO75" i="15" a="1"/>
  <c r="E78" i="15" a="1"/>
  <c r="AO54" i="15" a="1"/>
  <c r="AO64" i="15" a="1"/>
  <c r="AL54" i="8" a="1"/>
  <c r="U78" i="15" a="1"/>
  <c r="C78" i="15" a="1"/>
  <c r="L78" i="15" a="1"/>
  <c r="AL58" i="8" a="1"/>
  <c r="AL78" i="8" a="1"/>
  <c r="Z78" i="15" a="1"/>
  <c r="AO47" i="15" a="1"/>
  <c r="Q78" i="15" a="1"/>
  <c r="AL82" i="8" a="1"/>
  <c r="AL77" i="8" a="1"/>
  <c r="AO72" i="15" a="1"/>
  <c r="AO67" i="15" a="1"/>
  <c r="AI78" i="15" a="1"/>
  <c r="X78" i="15" a="1"/>
  <c r="AK78" i="15" a="1"/>
  <c r="AO58" i="15" a="1"/>
  <c r="AO53" i="15" a="1"/>
  <c r="AO76" i="15" a="1"/>
  <c r="AA78" i="15" a="1"/>
  <c r="I78" i="15" a="1"/>
  <c r="H78" i="15" a="1"/>
  <c r="AL85" i="8" a="1"/>
  <c r="AL67" i="8" a="1"/>
  <c r="AO69" i="15" a="1"/>
  <c r="AL56" i="8" a="1"/>
  <c r="M78" i="15" a="1"/>
  <c r="J78" i="15" a="1"/>
  <c r="AL65" i="8" a="1"/>
  <c r="AO39" i="15" a="1"/>
  <c r="AO70" i="15" a="1"/>
  <c r="R78" i="15" a="1"/>
  <c r="AO51" i="15" a="1"/>
  <c r="O78" i="15" a="1"/>
  <c r="D78" i="15" a="1"/>
  <c r="AO56" i="15" a="1"/>
  <c r="W78" i="15" a="1"/>
  <c r="AL80" i="8" a="1"/>
  <c r="AO45" i="15" a="1"/>
  <c r="AO43" i="15" a="1"/>
  <c r="Y78" i="15" a="1"/>
  <c r="AL74" i="8" a="1"/>
  <c r="AL76" i="8" a="1"/>
  <c r="AN78" i="15" a="1"/>
  <c r="AJ78" i="15" a="1"/>
  <c r="AO78" i="15" a="1"/>
  <c r="AL53" i="8" a="1"/>
  <c r="AG78" i="15" a="1"/>
  <c r="N78" i="15" a="1"/>
  <c r="AL59" i="8" a="1"/>
  <c r="AO61" i="15" a="1"/>
  <c r="T78" i="15" a="1"/>
  <c r="AO50" i="15" a="1"/>
  <c r="AL70" i="8" a="1"/>
  <c r="AO44" i="15" a="1"/>
  <c r="AL72" i="8" a="1"/>
  <c r="F78" i="15" a="1"/>
  <c r="AO73" i="15" a="1"/>
  <c r="AL140" i="15" l="1"/>
  <c r="AD140" i="15"/>
  <c r="V140" i="15"/>
  <c r="N140" i="15"/>
  <c r="AH140" i="15"/>
  <c r="Z140" i="15"/>
  <c r="R140" i="15"/>
  <c r="AL52" i="8"/>
  <c r="AL53" i="8"/>
  <c r="AL56" i="8"/>
  <c r="AL54" i="8"/>
  <c r="AL55" i="8"/>
  <c r="AL80" i="8"/>
  <c r="AL77" i="8"/>
  <c r="AL79" i="8"/>
  <c r="AL76" i="8"/>
  <c r="AL78" i="8"/>
  <c r="J140" i="15"/>
  <c r="F140" i="15"/>
  <c r="AM140" i="15"/>
  <c r="AI140" i="15"/>
  <c r="AE140" i="15"/>
  <c r="AA140" i="15"/>
  <c r="W140" i="15"/>
  <c r="S140" i="15"/>
  <c r="O140" i="15"/>
  <c r="K140" i="15"/>
  <c r="G140" i="15"/>
  <c r="AN140" i="15"/>
  <c r="AK140" i="15"/>
  <c r="AG140" i="15"/>
  <c r="AC140" i="15"/>
  <c r="Y140" i="15"/>
  <c r="U140" i="15"/>
  <c r="Q140" i="15"/>
  <c r="M140" i="15"/>
  <c r="I140" i="15"/>
  <c r="E140" i="15"/>
  <c r="AJ140" i="15"/>
  <c r="AF140" i="15"/>
  <c r="AB140" i="15"/>
  <c r="X140" i="15"/>
  <c r="T140" i="15"/>
  <c r="P140" i="15"/>
  <c r="L140" i="15"/>
  <c r="H140" i="15"/>
  <c r="D78" i="15"/>
  <c r="D141" i="15" s="1"/>
  <c r="B141" i="15"/>
  <c r="C78" i="15"/>
  <c r="C141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Z141" i="15" s="1"/>
  <c r="AA78" i="15"/>
  <c r="AB78" i="15"/>
  <c r="AC78" i="15"/>
  <c r="AD78" i="15"/>
  <c r="AD141" i="15" s="1"/>
  <c r="AE78" i="15"/>
  <c r="AF78" i="15"/>
  <c r="AG78" i="15"/>
  <c r="AH78" i="15"/>
  <c r="AH141" i="15" s="1"/>
  <c r="AI78" i="15"/>
  <c r="AJ78" i="15"/>
  <c r="AK78" i="15"/>
  <c r="AL78" i="15"/>
  <c r="AL141" i="15" s="1"/>
  <c r="AM78" i="15"/>
  <c r="AN78" i="15"/>
  <c r="AO43" i="15"/>
  <c r="AO106" i="15" s="1"/>
  <c r="AO47" i="15"/>
  <c r="AO110" i="15" s="1"/>
  <c r="AO50" i="15"/>
  <c r="AO113" i="15" s="1"/>
  <c r="AO54" i="15"/>
  <c r="AO117" i="15" s="1"/>
  <c r="AO58" i="15"/>
  <c r="AO121" i="15" s="1"/>
  <c r="AO61" i="15"/>
  <c r="AO124" i="15" s="1"/>
  <c r="AO67" i="15"/>
  <c r="AO130" i="15" s="1"/>
  <c r="AO71" i="15"/>
  <c r="AO134" i="15" s="1"/>
  <c r="AO77" i="15"/>
  <c r="AO140" i="15" s="1"/>
  <c r="AO76" i="15"/>
  <c r="AO139" i="15" s="1"/>
  <c r="AO45" i="15"/>
  <c r="AO108" i="15" s="1"/>
  <c r="AO60" i="15"/>
  <c r="AO123" i="15" s="1"/>
  <c r="AO51" i="15"/>
  <c r="AO114" i="15" s="1"/>
  <c r="AO55" i="15"/>
  <c r="AO118" i="15" s="1"/>
  <c r="AO59" i="15"/>
  <c r="AO122" i="15" s="1"/>
  <c r="AO65" i="15"/>
  <c r="AO128" i="15" s="1"/>
  <c r="AO68" i="15"/>
  <c r="AO131" i="15" s="1"/>
  <c r="AO72" i="15"/>
  <c r="AO135" i="15" s="1"/>
  <c r="AO44" i="15"/>
  <c r="AO107" i="15" s="1"/>
  <c r="AO48" i="15"/>
  <c r="AO111" i="15" s="1"/>
  <c r="AO52" i="15"/>
  <c r="AO115" i="15" s="1"/>
  <c r="AO56" i="15"/>
  <c r="AO119" i="15" s="1"/>
  <c r="AO63" i="15"/>
  <c r="AO126" i="15" s="1"/>
  <c r="AO62" i="15"/>
  <c r="AO125" i="15" s="1"/>
  <c r="AO69" i="15"/>
  <c r="AO132" i="15" s="1"/>
  <c r="AO73" i="15"/>
  <c r="AO136" i="15" s="1"/>
  <c r="AO75" i="15"/>
  <c r="AO138" i="15" s="1"/>
  <c r="AO46" i="15"/>
  <c r="AO109" i="15" s="1"/>
  <c r="AO49" i="15"/>
  <c r="AO112" i="15" s="1"/>
  <c r="AO53" i="15"/>
  <c r="AO116" i="15" s="1"/>
  <c r="AO57" i="15"/>
  <c r="AO120" i="15" s="1"/>
  <c r="AO64" i="15"/>
  <c r="AO127" i="15" s="1"/>
  <c r="AO66" i="15"/>
  <c r="AO129" i="15" s="1"/>
  <c r="AO70" i="15"/>
  <c r="AO133" i="15" s="1"/>
  <c r="AO74" i="15"/>
  <c r="AO137" i="15" s="1"/>
  <c r="AO78" i="15"/>
  <c r="AO39" i="15"/>
  <c r="AO105" i="15" s="1"/>
  <c r="AQ38" i="15"/>
  <c r="B79" i="15"/>
  <c r="B202" i="15" s="1"/>
  <c r="AL104" i="8"/>
  <c r="AL86" i="8"/>
  <c r="AL74" i="8"/>
  <c r="AL68" i="8"/>
  <c r="AL62" i="8"/>
  <c r="AK92" i="8"/>
  <c r="AK98" i="8"/>
  <c r="AK91" i="8"/>
  <c r="AK90" i="8"/>
  <c r="AL59" i="8"/>
  <c r="AL60" i="8"/>
  <c r="AL61" i="8"/>
  <c r="AL65" i="8"/>
  <c r="AL67" i="8"/>
  <c r="AL66" i="8"/>
  <c r="AL73" i="8"/>
  <c r="AL71" i="8"/>
  <c r="AL72" i="8"/>
  <c r="AL85" i="8"/>
  <c r="AL83" i="8"/>
  <c r="AL84" i="8"/>
  <c r="AK89" i="8"/>
  <c r="AK95" i="8"/>
  <c r="AL102" i="8"/>
  <c r="AL58" i="8"/>
  <c r="AL64" i="8"/>
  <c r="AL82" i="8"/>
  <c r="AL70" i="8"/>
  <c r="AL103" i="8"/>
  <c r="AL101" i="8"/>
  <c r="AL100" i="8"/>
  <c r="AM50" i="8"/>
  <c r="AK96" i="8"/>
  <c r="AK97" i="8"/>
  <c r="AK94" i="8"/>
  <c r="AK88" i="8"/>
  <c r="AM80" i="8" a="1"/>
  <c r="AP60" i="15" a="1"/>
  <c r="I79" i="15" a="1"/>
  <c r="AL79" i="15" a="1"/>
  <c r="N79" i="15" a="1"/>
  <c r="AK79" i="15" a="1"/>
  <c r="AM58" i="8" a="1"/>
  <c r="AM70" i="8" a="1"/>
  <c r="AP49" i="15" a="1"/>
  <c r="AE79" i="15" a="1"/>
  <c r="M79" i="15" a="1"/>
  <c r="AA79" i="15" a="1"/>
  <c r="AM82" i="8" a="1"/>
  <c r="V79" i="15" a="1"/>
  <c r="AP53" i="15" a="1"/>
  <c r="AM77" i="8" a="1"/>
  <c r="AP63" i="15" a="1"/>
  <c r="AJ79" i="15" a="1"/>
  <c r="AM86" i="8" a="1"/>
  <c r="AP70" i="15" a="1"/>
  <c r="AG79" i="15" a="1"/>
  <c r="AP44" i="15" a="1"/>
  <c r="AP45" i="15" a="1"/>
  <c r="Q79" i="15" a="1"/>
  <c r="AP67" i="15" a="1"/>
  <c r="X79" i="15" a="1"/>
  <c r="AH79" i="15" a="1"/>
  <c r="AP56" i="15" a="1"/>
  <c r="AM56" i="8" a="1"/>
  <c r="AP76" i="15" a="1"/>
  <c r="H79" i="15" a="1"/>
  <c r="AN79" i="15" a="1"/>
  <c r="AM59" i="8" a="1"/>
  <c r="C79" i="15" a="1"/>
  <c r="AM100" i="8" a="1"/>
  <c r="AM85" i="8" a="1"/>
  <c r="AM83" i="8" a="1"/>
  <c r="AP74" i="15" a="1"/>
  <c r="AP65" i="15" a="1"/>
  <c r="E79" i="15" a="1"/>
  <c r="D79" i="15" a="1"/>
  <c r="AP57" i="15" a="1"/>
  <c r="AP73" i="15" a="1"/>
  <c r="AI79" i="15" a="1"/>
  <c r="AP51" i="15" a="1"/>
  <c r="AM55" i="8" a="1"/>
  <c r="AP52" i="15" a="1"/>
  <c r="AO79" i="15" a="1"/>
  <c r="AP69" i="15" a="1"/>
  <c r="AM74" i="8" a="1"/>
  <c r="AP58" i="15" a="1"/>
  <c r="T79" i="15" a="1"/>
  <c r="AM72" i="8" a="1"/>
  <c r="AD79" i="15" a="1"/>
  <c r="AP59" i="15" a="1"/>
  <c r="AB79" i="15" a="1"/>
  <c r="AM101" i="8" a="1"/>
  <c r="AP75" i="15" a="1"/>
  <c r="U79" i="15" a="1"/>
  <c r="AM60" i="8" a="1"/>
  <c r="AM61" i="8" a="1"/>
  <c r="AM68" i="8" a="1"/>
  <c r="AP62" i="15" a="1"/>
  <c r="AP79" i="15" a="1"/>
  <c r="AM64" i="8" a="1"/>
  <c r="AM78" i="8" a="1"/>
  <c r="AM67" i="8" a="1"/>
  <c r="AP71" i="15" a="1"/>
  <c r="O79" i="15" a="1"/>
  <c r="F79" i="15" a="1"/>
  <c r="AP64" i="15" a="1"/>
  <c r="AP78" i="15" a="1"/>
  <c r="AP50" i="15" a="1"/>
  <c r="AP55" i="15" a="1"/>
  <c r="W79" i="15" a="1"/>
  <c r="AM104" i="8" a="1"/>
  <c r="AM62" i="8" a="1"/>
  <c r="AM76" i="8" a="1"/>
  <c r="S79" i="15" a="1"/>
  <c r="G79" i="15" a="1"/>
  <c r="AC79" i="15" a="1"/>
  <c r="AM103" i="8" a="1"/>
  <c r="AM71" i="8" a="1"/>
  <c r="AF79" i="15" a="1"/>
  <c r="AP48" i="15" a="1"/>
  <c r="AM102" i="8" a="1"/>
  <c r="AM52" i="8" a="1"/>
  <c r="AM65" i="8" a="1"/>
  <c r="Y79" i="15" a="1"/>
  <c r="AP72" i="15" a="1"/>
  <c r="P79" i="15" a="1"/>
  <c r="AM84" i="8" a="1"/>
  <c r="AP66" i="15" a="1"/>
  <c r="AP47" i="15" a="1"/>
  <c r="AP46" i="15" a="1"/>
  <c r="L79" i="15" a="1"/>
  <c r="AP68" i="15" a="1"/>
  <c r="AM53" i="8" a="1"/>
  <c r="J79" i="15" a="1"/>
  <c r="AM54" i="8" a="1"/>
  <c r="R79" i="15" a="1"/>
  <c r="AP61" i="15" a="1"/>
  <c r="AP77" i="15" a="1"/>
  <c r="AP43" i="15" a="1"/>
  <c r="AP39" i="15" a="1"/>
  <c r="Z79" i="15" a="1"/>
  <c r="AM79" i="15" a="1"/>
  <c r="AM79" i="8" a="1"/>
  <c r="AM66" i="8" a="1"/>
  <c r="AP54" i="15" a="1"/>
  <c r="AM73" i="8" a="1"/>
  <c r="K79" i="15" a="1"/>
  <c r="R141" i="15" l="1"/>
  <c r="V141" i="15"/>
  <c r="N141" i="15"/>
  <c r="AM56" i="8"/>
  <c r="AM54" i="8"/>
  <c r="AM53" i="8"/>
  <c r="AM52" i="8"/>
  <c r="AM55" i="8"/>
  <c r="AM77" i="8"/>
  <c r="AM78" i="8"/>
  <c r="AM79" i="8"/>
  <c r="AM76" i="8"/>
  <c r="AM80" i="8"/>
  <c r="F141" i="15"/>
  <c r="K141" i="15"/>
  <c r="AO141" i="15"/>
  <c r="AN141" i="15"/>
  <c r="AJ141" i="15"/>
  <c r="AF141" i="15"/>
  <c r="AB141" i="15"/>
  <c r="X141" i="15"/>
  <c r="T141" i="15"/>
  <c r="P141" i="15"/>
  <c r="L141" i="15"/>
  <c r="H141" i="15"/>
  <c r="AM141" i="15"/>
  <c r="AI141" i="15"/>
  <c r="AE141" i="15"/>
  <c r="AA141" i="15"/>
  <c r="W141" i="15"/>
  <c r="S141" i="15"/>
  <c r="O141" i="15"/>
  <c r="J141" i="15"/>
  <c r="G141" i="15"/>
  <c r="AK141" i="15"/>
  <c r="AG141" i="15"/>
  <c r="AC141" i="15"/>
  <c r="Y141" i="15"/>
  <c r="U141" i="15"/>
  <c r="Q141" i="15"/>
  <c r="M141" i="15"/>
  <c r="I141" i="15"/>
  <c r="E141" i="15"/>
  <c r="D79" i="15"/>
  <c r="D142" i="15" s="1"/>
  <c r="B142" i="15"/>
  <c r="C79" i="15"/>
  <c r="C142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D142" i="15" s="1"/>
  <c r="AE79" i="15"/>
  <c r="AF79" i="15"/>
  <c r="AG79" i="15"/>
  <c r="AH79" i="15"/>
  <c r="AH142" i="15" s="1"/>
  <c r="AI79" i="15"/>
  <c r="AJ79" i="15"/>
  <c r="AK79" i="15"/>
  <c r="AL79" i="15"/>
  <c r="AL142" i="15" s="1"/>
  <c r="AM79" i="15"/>
  <c r="AN79" i="15"/>
  <c r="AO79" i="15"/>
  <c r="AP57" i="15"/>
  <c r="AP120" i="15" s="1"/>
  <c r="AP49" i="15"/>
  <c r="AP112" i="15" s="1"/>
  <c r="AP44" i="15"/>
  <c r="AP107" i="15" s="1"/>
  <c r="AP53" i="15"/>
  <c r="AP116" i="15" s="1"/>
  <c r="AP63" i="15"/>
  <c r="AP126" i="15" s="1"/>
  <c r="AP64" i="15"/>
  <c r="AP127" i="15" s="1"/>
  <c r="AP74" i="15"/>
  <c r="AP137" i="15" s="1"/>
  <c r="AP72" i="15"/>
  <c r="AP135" i="15" s="1"/>
  <c r="AP79" i="15"/>
  <c r="AP142" i="15" s="1"/>
  <c r="AP59" i="15"/>
  <c r="AP122" i="15" s="1"/>
  <c r="AP54" i="15"/>
  <c r="AP117" i="15" s="1"/>
  <c r="AP68" i="15"/>
  <c r="AP131" i="15" s="1"/>
  <c r="AP75" i="15"/>
  <c r="AP138" i="15" s="1"/>
  <c r="AP43" i="15"/>
  <c r="AP106" i="15" s="1"/>
  <c r="AP61" i="15"/>
  <c r="AP124" i="15" s="1"/>
  <c r="AP51" i="15"/>
  <c r="AP114" i="15" s="1"/>
  <c r="AP55" i="15"/>
  <c r="AP118" i="15" s="1"/>
  <c r="AP62" i="15"/>
  <c r="AP125" i="15" s="1"/>
  <c r="AP70" i="15"/>
  <c r="AP133" i="15" s="1"/>
  <c r="AP67" i="15"/>
  <c r="AP130" i="15" s="1"/>
  <c r="AP76" i="15"/>
  <c r="AP139" i="15" s="1"/>
  <c r="AP77" i="15"/>
  <c r="AP140" i="15" s="1"/>
  <c r="AP47" i="15"/>
  <c r="AP110" i="15" s="1"/>
  <c r="AP46" i="15"/>
  <c r="AP109" i="15" s="1"/>
  <c r="AP50" i="15"/>
  <c r="AP113" i="15" s="1"/>
  <c r="AP58" i="15"/>
  <c r="AP121" i="15" s="1"/>
  <c r="AP65" i="15"/>
  <c r="AP128" i="15" s="1"/>
  <c r="AP73" i="15"/>
  <c r="AP136" i="15" s="1"/>
  <c r="AP45" i="15"/>
  <c r="AP108" i="15" s="1"/>
  <c r="AP48" i="15"/>
  <c r="AP111" i="15" s="1"/>
  <c r="AP52" i="15"/>
  <c r="AP115" i="15" s="1"/>
  <c r="AP56" i="15"/>
  <c r="AP119" i="15" s="1"/>
  <c r="AP66" i="15"/>
  <c r="AP129" i="15" s="1"/>
  <c r="AP60" i="15"/>
  <c r="AP123" i="15" s="1"/>
  <c r="AP69" i="15"/>
  <c r="AP132" i="15" s="1"/>
  <c r="AP71" i="15"/>
  <c r="AP134" i="15" s="1"/>
  <c r="AP78" i="15"/>
  <c r="AP141" i="15" s="1"/>
  <c r="AP39" i="15"/>
  <c r="AP105" i="15" s="1"/>
  <c r="AR38" i="15"/>
  <c r="B80" i="15"/>
  <c r="B203" i="15" s="1"/>
  <c r="AL98" i="8"/>
  <c r="AM104" i="8"/>
  <c r="AM86" i="8"/>
  <c r="AM74" i="8"/>
  <c r="AM68" i="8"/>
  <c r="AM62" i="8"/>
  <c r="AL92" i="8"/>
  <c r="AL90" i="8"/>
  <c r="AL89" i="8"/>
  <c r="AM61" i="8"/>
  <c r="AM59" i="8"/>
  <c r="AM60" i="8"/>
  <c r="AM67" i="8"/>
  <c r="AM65" i="8"/>
  <c r="AM66" i="8"/>
  <c r="AM72" i="8"/>
  <c r="AM71" i="8"/>
  <c r="AM73" i="8"/>
  <c r="AM83" i="8"/>
  <c r="AM85" i="8"/>
  <c r="AM84" i="8"/>
  <c r="AL91" i="8"/>
  <c r="AL95" i="8"/>
  <c r="AL96" i="8"/>
  <c r="AM102" i="8"/>
  <c r="AM58" i="8"/>
  <c r="AM64" i="8"/>
  <c r="AM82" i="8"/>
  <c r="AM70" i="8"/>
  <c r="AM103" i="8"/>
  <c r="AM101" i="8"/>
  <c r="AM100" i="8"/>
  <c r="AL88" i="8"/>
  <c r="AL94" i="8"/>
  <c r="AN50" i="8"/>
  <c r="AL97" i="8"/>
  <c r="AK80" i="15" a="1"/>
  <c r="AQ67" i="15" a="1"/>
  <c r="AQ65" i="15" a="1"/>
  <c r="AN78" i="8" a="1"/>
  <c r="AN59" i="8" a="1"/>
  <c r="C80" i="15" a="1"/>
  <c r="AN102" i="8" a="1"/>
  <c r="W80" i="15" a="1"/>
  <c r="AN103" i="8" a="1"/>
  <c r="AQ76" i="15" a="1"/>
  <c r="AQ57" i="15" a="1"/>
  <c r="AQ78" i="15" a="1"/>
  <c r="AQ79" i="15" a="1"/>
  <c r="AQ69" i="15" a="1"/>
  <c r="AN60" i="8" a="1"/>
  <c r="L80" i="15" a="1"/>
  <c r="AQ62" i="15" a="1"/>
  <c r="AQ56" i="15" a="1"/>
  <c r="AH80" i="15" a="1"/>
  <c r="AN76" i="8" a="1"/>
  <c r="AL80" i="15" a="1"/>
  <c r="AQ63" i="15" a="1"/>
  <c r="Z80" i="15" a="1"/>
  <c r="AQ66" i="15" a="1"/>
  <c r="R80" i="15" a="1"/>
  <c r="X80" i="15" a="1"/>
  <c r="AN55" i="8" a="1"/>
  <c r="AP80" i="15" a="1"/>
  <c r="T80" i="15" a="1"/>
  <c r="AN79" i="8" a="1"/>
  <c r="AQ49" i="15" a="1"/>
  <c r="AQ70" i="15" a="1"/>
  <c r="AN64" i="8" a="1"/>
  <c r="AA80" i="15" a="1"/>
  <c r="AM80" i="15" a="1"/>
  <c r="AQ44" i="15" a="1"/>
  <c r="Q80" i="15" a="1"/>
  <c r="J80" i="15" a="1"/>
  <c r="AI80" i="15" a="1"/>
  <c r="AN104" i="8" a="1"/>
  <c r="AJ80" i="15" a="1"/>
  <c r="V80" i="15" a="1"/>
  <c r="AQ47" i="15" a="1"/>
  <c r="AN65" i="8" a="1"/>
  <c r="AQ54" i="15" a="1"/>
  <c r="G80" i="15" a="1"/>
  <c r="AQ51" i="15" a="1"/>
  <c r="AN67" i="8" a="1"/>
  <c r="AN68" i="8" a="1"/>
  <c r="AQ71" i="15" a="1"/>
  <c r="AQ46" i="15" a="1"/>
  <c r="AQ60" i="15" a="1"/>
  <c r="AQ55" i="15" a="1"/>
  <c r="M80" i="15" a="1"/>
  <c r="K80" i="15" a="1"/>
  <c r="AN66" i="8" a="1"/>
  <c r="P80" i="15" a="1"/>
  <c r="AQ74" i="15" a="1"/>
  <c r="AE80" i="15" a="1"/>
  <c r="O80" i="15" a="1"/>
  <c r="AQ72" i="15" a="1"/>
  <c r="AN80" i="15" a="1"/>
  <c r="AN83" i="8" a="1"/>
  <c r="AN82" i="8" a="1"/>
  <c r="AN100" i="8" a="1"/>
  <c r="S80" i="15" a="1"/>
  <c r="AQ61" i="15" a="1"/>
  <c r="AN74" i="8" a="1"/>
  <c r="AF80" i="15" a="1"/>
  <c r="AQ43" i="15" a="1"/>
  <c r="AN71" i="8" a="1"/>
  <c r="AN61" i="8" a="1"/>
  <c r="AO80" i="15" a="1"/>
  <c r="E80" i="15" a="1"/>
  <c r="AB80" i="15" a="1"/>
  <c r="AQ45" i="15" a="1"/>
  <c r="AN70" i="8" a="1"/>
  <c r="AQ48" i="15" a="1"/>
  <c r="H80" i="15" a="1"/>
  <c r="AN73" i="8" a="1"/>
  <c r="F80" i="15" a="1"/>
  <c r="AQ53" i="15" a="1"/>
  <c r="AN53" i="8" a="1"/>
  <c r="U80" i="15" a="1"/>
  <c r="AN77" i="8" a="1"/>
  <c r="AQ75" i="15" a="1"/>
  <c r="D80" i="15" a="1"/>
  <c r="I80" i="15" a="1"/>
  <c r="AN84" i="8" a="1"/>
  <c r="AN85" i="8" a="1"/>
  <c r="N80" i="15" a="1"/>
  <c r="AN56" i="8" a="1"/>
  <c r="AQ59" i="15" a="1"/>
  <c r="AN58" i="8" a="1"/>
  <c r="AN86" i="8" a="1"/>
  <c r="AG80" i="15" a="1"/>
  <c r="AN101" i="8" a="1"/>
  <c r="AQ68" i="15" a="1"/>
  <c r="AC80" i="15" a="1"/>
  <c r="AQ77" i="15" a="1"/>
  <c r="AQ64" i="15" a="1"/>
  <c r="AQ58" i="15" a="1"/>
  <c r="AQ73" i="15" a="1"/>
  <c r="AQ52" i="15" a="1"/>
  <c r="AN62" i="8" a="1"/>
  <c r="AQ50" i="15" a="1"/>
  <c r="AN52" i="8" a="1"/>
  <c r="AQ39" i="15" a="1"/>
  <c r="AD80" i="15" a="1"/>
  <c r="AN54" i="8" a="1"/>
  <c r="AN80" i="8" a="1"/>
  <c r="AQ80" i="15" a="1"/>
  <c r="Y80" i="15" a="1"/>
  <c r="AN72" i="8" a="1"/>
  <c r="AN55" i="8" l="1"/>
  <c r="AN56" i="8"/>
  <c r="AN54" i="8"/>
  <c r="AN52" i="8"/>
  <c r="AN53" i="8"/>
  <c r="AN77" i="8"/>
  <c r="AN79" i="8"/>
  <c r="AN76" i="8"/>
  <c r="AN80" i="8"/>
  <c r="AN78" i="8"/>
  <c r="Z142" i="15"/>
  <c r="V142" i="15"/>
  <c r="R142" i="15"/>
  <c r="N142" i="15"/>
  <c r="K142" i="15"/>
  <c r="F142" i="15"/>
  <c r="AM142" i="15"/>
  <c r="AI142" i="15"/>
  <c r="AE142" i="15"/>
  <c r="AA142" i="15"/>
  <c r="W142" i="15"/>
  <c r="S142" i="15"/>
  <c r="O142" i="15"/>
  <c r="AO142" i="15"/>
  <c r="AK142" i="15"/>
  <c r="AG142" i="15"/>
  <c r="AC142" i="15"/>
  <c r="Y142" i="15"/>
  <c r="U142" i="15"/>
  <c r="Q142" i="15"/>
  <c r="M142" i="15"/>
  <c r="I142" i="15"/>
  <c r="AN142" i="15"/>
  <c r="AJ142" i="15"/>
  <c r="AF142" i="15"/>
  <c r="AB142" i="15"/>
  <c r="X142" i="15"/>
  <c r="T142" i="15"/>
  <c r="P142" i="15"/>
  <c r="L142" i="15"/>
  <c r="J142" i="15"/>
  <c r="E142" i="15"/>
  <c r="H142" i="15"/>
  <c r="G142" i="15"/>
  <c r="D80" i="15"/>
  <c r="D143" i="15" s="1"/>
  <c r="B143" i="15"/>
  <c r="C80" i="15"/>
  <c r="C143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C80" i="15"/>
  <c r="AB80" i="15"/>
  <c r="AD80" i="15"/>
  <c r="AE80" i="15"/>
  <c r="AF80" i="15"/>
  <c r="AG80" i="15"/>
  <c r="AH80" i="15"/>
  <c r="AI80" i="15"/>
  <c r="AJ80" i="15"/>
  <c r="AK80" i="15"/>
  <c r="AL80" i="15"/>
  <c r="AM80" i="15"/>
  <c r="AN80" i="15"/>
  <c r="AO80" i="15"/>
  <c r="AP80" i="15"/>
  <c r="AP143" i="15" s="1"/>
  <c r="AQ43" i="15"/>
  <c r="AQ106" i="15" s="1"/>
  <c r="AQ47" i="15"/>
  <c r="AQ110" i="15" s="1"/>
  <c r="AQ51" i="15"/>
  <c r="AQ114" i="15" s="1"/>
  <c r="AQ53" i="15"/>
  <c r="AQ116" i="15" s="1"/>
  <c r="AQ60" i="15"/>
  <c r="AQ123" i="15" s="1"/>
  <c r="AQ73" i="15"/>
  <c r="AQ136" i="15" s="1"/>
  <c r="AQ63" i="15"/>
  <c r="AQ126" i="15" s="1"/>
  <c r="AQ70" i="15"/>
  <c r="AQ133" i="15" s="1"/>
  <c r="AQ75" i="15"/>
  <c r="AQ138" i="15" s="1"/>
  <c r="AQ78" i="15"/>
  <c r="AQ141" i="15" s="1"/>
  <c r="AQ44" i="15"/>
  <c r="AQ107" i="15" s="1"/>
  <c r="AQ48" i="15"/>
  <c r="AQ111" i="15" s="1"/>
  <c r="AQ52" i="15"/>
  <c r="AQ115" i="15" s="1"/>
  <c r="AQ54" i="15"/>
  <c r="AQ117" i="15" s="1"/>
  <c r="AQ64" i="15"/>
  <c r="AQ127" i="15" s="1"/>
  <c r="AQ58" i="15"/>
  <c r="AQ121" i="15" s="1"/>
  <c r="AQ67" i="15"/>
  <c r="AQ130" i="15" s="1"/>
  <c r="AQ71" i="15"/>
  <c r="AQ134" i="15" s="1"/>
  <c r="AQ76" i="15"/>
  <c r="AQ139" i="15" s="1"/>
  <c r="AQ46" i="15"/>
  <c r="AQ109" i="15" s="1"/>
  <c r="AQ49" i="15"/>
  <c r="AQ112" i="15" s="1"/>
  <c r="AQ59" i="15"/>
  <c r="AQ122" i="15" s="1"/>
  <c r="AQ55" i="15"/>
  <c r="AQ118" i="15" s="1"/>
  <c r="AQ61" i="15"/>
  <c r="AQ124" i="15" s="1"/>
  <c r="AQ62" i="15"/>
  <c r="AQ125" i="15" s="1"/>
  <c r="AQ68" i="15"/>
  <c r="AQ131" i="15" s="1"/>
  <c r="AQ72" i="15"/>
  <c r="AQ135" i="15" s="1"/>
  <c r="AQ79" i="15"/>
  <c r="AQ142" i="15" s="1"/>
  <c r="AQ45" i="15"/>
  <c r="AQ108" i="15" s="1"/>
  <c r="AQ50" i="15"/>
  <c r="AQ113" i="15" s="1"/>
  <c r="AQ57" i="15"/>
  <c r="AQ120" i="15" s="1"/>
  <c r="AQ56" i="15"/>
  <c r="AQ119" i="15" s="1"/>
  <c r="AQ65" i="15"/>
  <c r="AQ128" i="15" s="1"/>
  <c r="AQ66" i="15"/>
  <c r="AQ129" i="15" s="1"/>
  <c r="AQ69" i="15"/>
  <c r="AQ132" i="15" s="1"/>
  <c r="AQ74" i="15"/>
  <c r="AQ137" i="15" s="1"/>
  <c r="AQ77" i="15"/>
  <c r="AQ140" i="15" s="1"/>
  <c r="AQ80" i="15"/>
  <c r="AQ39" i="15"/>
  <c r="AQ105" i="15" s="1"/>
  <c r="AS38" i="15"/>
  <c r="B81" i="15"/>
  <c r="B204" i="15" s="1"/>
  <c r="AM98" i="8"/>
  <c r="AN104" i="8"/>
  <c r="AN86" i="8"/>
  <c r="AN74" i="8"/>
  <c r="AN68" i="8"/>
  <c r="AN62" i="8"/>
  <c r="AM92" i="8"/>
  <c r="AM89" i="8"/>
  <c r="AN59" i="8"/>
  <c r="AN61" i="8"/>
  <c r="AN60" i="8"/>
  <c r="AN65" i="8"/>
  <c r="AN67" i="8"/>
  <c r="AN66" i="8"/>
  <c r="AN72" i="8"/>
  <c r="AN71" i="8"/>
  <c r="AN73" i="8"/>
  <c r="AN85" i="8"/>
  <c r="AN83" i="8"/>
  <c r="AN84" i="8"/>
  <c r="AM90" i="8"/>
  <c r="AM91" i="8"/>
  <c r="AM97" i="8"/>
  <c r="AN102" i="8"/>
  <c r="AN58" i="8"/>
  <c r="AN64" i="8"/>
  <c r="AN82" i="8"/>
  <c r="AN70" i="8"/>
  <c r="AN103" i="8"/>
  <c r="AN101" i="8"/>
  <c r="AN100" i="8"/>
  <c r="AM95" i="8"/>
  <c r="AM88" i="8"/>
  <c r="AM94" i="8"/>
  <c r="AO50" i="8"/>
  <c r="AM96" i="8"/>
  <c r="AB81" i="15" a="1"/>
  <c r="AO74" i="8" a="1"/>
  <c r="H81" i="15" a="1"/>
  <c r="AR72" i="15" a="1"/>
  <c r="AR56" i="15" a="1"/>
  <c r="AR45" i="15" a="1"/>
  <c r="O81" i="15" a="1"/>
  <c r="C81" i="15" a="1"/>
  <c r="AO83" i="8" a="1"/>
  <c r="AO79" i="8" a="1"/>
  <c r="AR48" i="15" a="1"/>
  <c r="AO101" i="8" a="1"/>
  <c r="AR80" i="15" a="1"/>
  <c r="AR53" i="15" a="1"/>
  <c r="AL81" i="15" a="1"/>
  <c r="AR55" i="15" a="1"/>
  <c r="AC81" i="15" a="1"/>
  <c r="AQ81" i="15" a="1"/>
  <c r="AP81" i="15" a="1"/>
  <c r="I81" i="15" a="1"/>
  <c r="AO66" i="8" a="1"/>
  <c r="AR73" i="15" a="1"/>
  <c r="AO71" i="8" a="1"/>
  <c r="AR78" i="15" a="1"/>
  <c r="AA81" i="15" a="1"/>
  <c r="AO80" i="8" a="1"/>
  <c r="F81" i="15" a="1"/>
  <c r="AO54" i="8" a="1"/>
  <c r="AR79" i="15" a="1"/>
  <c r="AR47" i="15" a="1"/>
  <c r="M81" i="15" a="1"/>
  <c r="E81" i="15" a="1"/>
  <c r="AO100" i="8" a="1"/>
  <c r="AO64" i="8" a="1"/>
  <c r="AR64" i="15" a="1"/>
  <c r="AR61" i="15" a="1"/>
  <c r="AR52" i="15" a="1"/>
  <c r="AO102" i="8" a="1"/>
  <c r="AR69" i="15" a="1"/>
  <c r="AJ81" i="15" a="1"/>
  <c r="Q81" i="15" a="1"/>
  <c r="N81" i="15" a="1"/>
  <c r="AO56" i="8" a="1"/>
  <c r="R81" i="15" a="1"/>
  <c r="AO85" i="8" a="1"/>
  <c r="J81" i="15" a="1"/>
  <c r="AR74" i="15" a="1"/>
  <c r="AR59" i="15" a="1"/>
  <c r="S81" i="15" a="1"/>
  <c r="AO58" i="8" a="1"/>
  <c r="AR49" i="15" a="1"/>
  <c r="AO103" i="8" a="1"/>
  <c r="AR65" i="15" a="1"/>
  <c r="AR62" i="15" a="1"/>
  <c r="Y81" i="15" a="1"/>
  <c r="AF81" i="15" a="1"/>
  <c r="AO81" i="15" a="1"/>
  <c r="AO55" i="8" a="1"/>
  <c r="AO53" i="8" a="1"/>
  <c r="AR66" i="15" a="1"/>
  <c r="W81" i="15" a="1"/>
  <c r="AO59" i="8" a="1"/>
  <c r="AO72" i="8" a="1"/>
  <c r="AR68" i="15" a="1"/>
  <c r="AO84" i="8" a="1"/>
  <c r="D81" i="15" a="1"/>
  <c r="AO52" i="8" a="1"/>
  <c r="G81" i="15" a="1"/>
  <c r="AR57" i="15" a="1"/>
  <c r="AO60" i="8" a="1"/>
  <c r="AO70" i="8" a="1"/>
  <c r="AO77" i="8" a="1"/>
  <c r="AO82" i="8" a="1"/>
  <c r="AR77" i="15" a="1"/>
  <c r="V81" i="15" a="1"/>
  <c r="AR51" i="15" a="1"/>
  <c r="AR58" i="15" a="1"/>
  <c r="AR63" i="15" a="1"/>
  <c r="X81" i="15" a="1"/>
  <c r="AO67" i="8" a="1"/>
  <c r="AK81" i="15" a="1"/>
  <c r="AO73" i="8" a="1"/>
  <c r="P81" i="15" a="1"/>
  <c r="AO104" i="8" a="1"/>
  <c r="AO76" i="8" a="1"/>
  <c r="AE81" i="15" a="1"/>
  <c r="AO62" i="8" a="1"/>
  <c r="K81" i="15" a="1"/>
  <c r="AR71" i="15" a="1"/>
  <c r="AO78" i="8" a="1"/>
  <c r="AR44" i="15" a="1"/>
  <c r="AO65" i="8" a="1"/>
  <c r="AR54" i="15" a="1"/>
  <c r="AI81" i="15" a="1"/>
  <c r="AM81" i="15" a="1"/>
  <c r="T81" i="15" a="1"/>
  <c r="AG81" i="15" a="1"/>
  <c r="AR39" i="15" a="1"/>
  <c r="AR60" i="15" a="1"/>
  <c r="AR43" i="15" a="1"/>
  <c r="U81" i="15" a="1"/>
  <c r="Z81" i="15" a="1"/>
  <c r="L81" i="15" a="1"/>
  <c r="AR81" i="15" a="1"/>
  <c r="AH81" i="15" a="1"/>
  <c r="AD81" i="15" a="1"/>
  <c r="AR70" i="15" a="1"/>
  <c r="AN81" i="15" a="1"/>
  <c r="AR50" i="15" a="1"/>
  <c r="AR46" i="15" a="1"/>
  <c r="AO68" i="8" a="1"/>
  <c r="AR67" i="15" a="1"/>
  <c r="AO61" i="8" a="1"/>
  <c r="AR76" i="15" a="1"/>
  <c r="AO86" i="8" a="1"/>
  <c r="AR75" i="15" a="1"/>
  <c r="AO54" i="8" l="1"/>
  <c r="AO52" i="8"/>
  <c r="AO53" i="8"/>
  <c r="AO56" i="8"/>
  <c r="AO55" i="8"/>
  <c r="AO77" i="8"/>
  <c r="AO78" i="8"/>
  <c r="AO79" i="8"/>
  <c r="AO76" i="8"/>
  <c r="AO80" i="8"/>
  <c r="AL143" i="15"/>
  <c r="AH143" i="15"/>
  <c r="AD143" i="15"/>
  <c r="Z143" i="15"/>
  <c r="V143" i="15"/>
  <c r="R143" i="15"/>
  <c r="N143" i="15"/>
  <c r="F143" i="15"/>
  <c r="J143" i="15"/>
  <c r="AQ143" i="15"/>
  <c r="AN143" i="15"/>
  <c r="AJ143" i="15"/>
  <c r="AF143" i="15"/>
  <c r="AC143" i="15"/>
  <c r="X143" i="15"/>
  <c r="T143" i="15"/>
  <c r="P143" i="15"/>
  <c r="L143" i="15"/>
  <c r="H143" i="15"/>
  <c r="AO143" i="15"/>
  <c r="AK143" i="15"/>
  <c r="AG143" i="15"/>
  <c r="AB143" i="15"/>
  <c r="Y143" i="15"/>
  <c r="U143" i="15"/>
  <c r="Q143" i="15"/>
  <c r="M143" i="15"/>
  <c r="I143" i="15"/>
  <c r="E143" i="15"/>
  <c r="AM143" i="15"/>
  <c r="AI143" i="15"/>
  <c r="AE143" i="15"/>
  <c r="AA143" i="15"/>
  <c r="W143" i="15"/>
  <c r="S143" i="15"/>
  <c r="O143" i="15"/>
  <c r="K143" i="15"/>
  <c r="G143" i="15"/>
  <c r="D81" i="15"/>
  <c r="D144" i="15" s="1"/>
  <c r="B144" i="15"/>
  <c r="C81" i="15"/>
  <c r="C144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AG81" i="15"/>
  <c r="AH81" i="15"/>
  <c r="AI81" i="15"/>
  <c r="AJ81" i="15"/>
  <c r="AK81" i="15"/>
  <c r="AL81" i="15"/>
  <c r="AM81" i="15"/>
  <c r="AN81" i="15"/>
  <c r="AO81" i="15"/>
  <c r="AP81" i="15"/>
  <c r="AQ81" i="15"/>
  <c r="AR43" i="15"/>
  <c r="AR106" i="15" s="1"/>
  <c r="AR47" i="15"/>
  <c r="AR110" i="15" s="1"/>
  <c r="AR56" i="15"/>
  <c r="AR119" i="15" s="1"/>
  <c r="AR50" i="15"/>
  <c r="AR113" i="15" s="1"/>
  <c r="AR57" i="15"/>
  <c r="AR120" i="15" s="1"/>
  <c r="AR67" i="15"/>
  <c r="AR130" i="15" s="1"/>
  <c r="AR62" i="15"/>
  <c r="AR125" i="15" s="1"/>
  <c r="AR77" i="15"/>
  <c r="AR140" i="15" s="1"/>
  <c r="AR74" i="15"/>
  <c r="AR137" i="15" s="1"/>
  <c r="AR79" i="15"/>
  <c r="AR142" i="15" s="1"/>
  <c r="AR45" i="15"/>
  <c r="AR108" i="15" s="1"/>
  <c r="AR53" i="15"/>
  <c r="AR116" i="15" s="1"/>
  <c r="AR58" i="15"/>
  <c r="AR121" i="15" s="1"/>
  <c r="AR51" i="15"/>
  <c r="AR114" i="15" s="1"/>
  <c r="AR59" i="15"/>
  <c r="AR122" i="15" s="1"/>
  <c r="AR69" i="15"/>
  <c r="AR132" i="15" s="1"/>
  <c r="AR66" i="15"/>
  <c r="AR129" i="15" s="1"/>
  <c r="AR73" i="15"/>
  <c r="AR136" i="15" s="1"/>
  <c r="AR76" i="15"/>
  <c r="AR139" i="15" s="1"/>
  <c r="AR80" i="15"/>
  <c r="AR143" i="15" s="1"/>
  <c r="AR44" i="15"/>
  <c r="AR107" i="15" s="1"/>
  <c r="AR54" i="15"/>
  <c r="AR117" i="15" s="1"/>
  <c r="AR48" i="15"/>
  <c r="AR111" i="15" s="1"/>
  <c r="AR52" i="15"/>
  <c r="AR115" i="15" s="1"/>
  <c r="AR63" i="15"/>
  <c r="AR126" i="15" s="1"/>
  <c r="AR61" i="15"/>
  <c r="AR124" i="15" s="1"/>
  <c r="AR68" i="15"/>
  <c r="AR131" i="15" s="1"/>
  <c r="AR71" i="15"/>
  <c r="AR134" i="15" s="1"/>
  <c r="AR75" i="15"/>
  <c r="AR138" i="15" s="1"/>
  <c r="AR81" i="15"/>
  <c r="AR46" i="15"/>
  <c r="AR109" i="15" s="1"/>
  <c r="AR55" i="15"/>
  <c r="AR118" i="15" s="1"/>
  <c r="AR49" i="15"/>
  <c r="AR112" i="15" s="1"/>
  <c r="AR60" i="15"/>
  <c r="AR123" i="15" s="1"/>
  <c r="AR64" i="15"/>
  <c r="AR127" i="15" s="1"/>
  <c r="AR65" i="15"/>
  <c r="AR128" i="15" s="1"/>
  <c r="AR70" i="15"/>
  <c r="AR133" i="15" s="1"/>
  <c r="AR72" i="15"/>
  <c r="AR135" i="15" s="1"/>
  <c r="AR78" i="15"/>
  <c r="AR141" i="15" s="1"/>
  <c r="AR39" i="15"/>
  <c r="AR105" i="15" s="1"/>
  <c r="AT38" i="15"/>
  <c r="B82" i="15"/>
  <c r="B205" i="15" s="1"/>
  <c r="AO104" i="8"/>
  <c r="AO86" i="8"/>
  <c r="AO74" i="8"/>
  <c r="AO68" i="8"/>
  <c r="AO62" i="8"/>
  <c r="AN92" i="8"/>
  <c r="AN98" i="8"/>
  <c r="AN89" i="8"/>
  <c r="AN90" i="8"/>
  <c r="AO61" i="8"/>
  <c r="AO60" i="8"/>
  <c r="AO59" i="8"/>
  <c r="AO67" i="8"/>
  <c r="AO66" i="8"/>
  <c r="AO65" i="8"/>
  <c r="AO71" i="8"/>
  <c r="AO72" i="8"/>
  <c r="AO73" i="8"/>
  <c r="AO83" i="8"/>
  <c r="AO84" i="8"/>
  <c r="AO85" i="8"/>
  <c r="AN91" i="8"/>
  <c r="AN95" i="8"/>
  <c r="AO102" i="8"/>
  <c r="AO58" i="8"/>
  <c r="AO64" i="8"/>
  <c r="AO82" i="8"/>
  <c r="AO70" i="8"/>
  <c r="AO103" i="8"/>
  <c r="AO101" i="8"/>
  <c r="AO100" i="8"/>
  <c r="AN97" i="8"/>
  <c r="AN94" i="8"/>
  <c r="AN88" i="8"/>
  <c r="AP50" i="8"/>
  <c r="AN96" i="8"/>
  <c r="AP80" i="8" a="1"/>
  <c r="AS66" i="15" a="1"/>
  <c r="Z82" i="15" a="1"/>
  <c r="AJ82" i="15" a="1"/>
  <c r="AS70" i="15" a="1"/>
  <c r="AP86" i="8" a="1"/>
  <c r="AS76" i="15" a="1"/>
  <c r="AP73" i="8" a="1"/>
  <c r="AP58" i="8" a="1"/>
  <c r="AF82" i="15" a="1"/>
  <c r="N82" i="15" a="1"/>
  <c r="AS63" i="15" a="1"/>
  <c r="AS56" i="15" a="1"/>
  <c r="AP77" i="8" a="1"/>
  <c r="H82" i="15" a="1"/>
  <c r="W82" i="15" a="1"/>
  <c r="AC82" i="15" a="1"/>
  <c r="AS48" i="15" a="1"/>
  <c r="AS81" i="15" a="1"/>
  <c r="AP103" i="8" a="1"/>
  <c r="AP102" i="8" a="1"/>
  <c r="L82" i="15" a="1"/>
  <c r="AP68" i="8" a="1"/>
  <c r="K82" i="15" a="1"/>
  <c r="AS73" i="15" a="1"/>
  <c r="AP104" i="8" a="1"/>
  <c r="AG82" i="15" a="1"/>
  <c r="F82" i="15" a="1"/>
  <c r="AS59" i="15" a="1"/>
  <c r="AP55" i="8" a="1"/>
  <c r="AP56" i="8" a="1"/>
  <c r="AS68" i="15" a="1"/>
  <c r="AP79" i="8" a="1"/>
  <c r="AO82" i="15" a="1"/>
  <c r="D82" i="15" a="1"/>
  <c r="AP74" i="8" a="1"/>
  <c r="AI82" i="15" a="1"/>
  <c r="AS57" i="15" a="1"/>
  <c r="AQ82" i="15" a="1"/>
  <c r="AS74" i="15" a="1"/>
  <c r="AS47" i="15" a="1"/>
  <c r="AS49" i="15" a="1"/>
  <c r="I82" i="15" a="1"/>
  <c r="AD82" i="15" a="1"/>
  <c r="AS60" i="15" a="1"/>
  <c r="AS82" i="15" a="1"/>
  <c r="AS61" i="15" a="1"/>
  <c r="O82" i="15" a="1"/>
  <c r="AS69" i="15" a="1"/>
  <c r="AM82" i="15" a="1"/>
  <c r="AS79" i="15" a="1"/>
  <c r="AS58" i="15" a="1"/>
  <c r="Q82" i="15" a="1"/>
  <c r="J82" i="15" a="1"/>
  <c r="AS65" i="15" a="1"/>
  <c r="AS75" i="15" a="1"/>
  <c r="E82" i="15" a="1"/>
  <c r="AS80" i="15" a="1"/>
  <c r="AE82" i="15" a="1"/>
  <c r="AP83" i="8" a="1"/>
  <c r="AS77" i="15" a="1"/>
  <c r="AP54" i="8" a="1"/>
  <c r="Y82" i="15" a="1"/>
  <c r="AS62" i="15" a="1"/>
  <c r="AP84" i="8" a="1"/>
  <c r="AP61" i="8" a="1"/>
  <c r="AS44" i="15" a="1"/>
  <c r="AS64" i="15" a="1"/>
  <c r="AP64" i="8" a="1"/>
  <c r="AP60" i="8" a="1"/>
  <c r="AS46" i="15" a="1"/>
  <c r="G82" i="15" a="1"/>
  <c r="AP62" i="8" a="1"/>
  <c r="AS50" i="15" a="1"/>
  <c r="AS54" i="15" a="1"/>
  <c r="AS39" i="15" a="1"/>
  <c r="V82" i="15" a="1"/>
  <c r="AK82" i="15" a="1"/>
  <c r="AP85" i="8" a="1"/>
  <c r="AP76" i="8" a="1"/>
  <c r="AP101" i="8" a="1"/>
  <c r="AS52" i="15" a="1"/>
  <c r="AP100" i="8" a="1"/>
  <c r="AH82" i="15" a="1"/>
  <c r="AS67" i="15" a="1"/>
  <c r="AP70" i="8" a="1"/>
  <c r="M82" i="15" a="1"/>
  <c r="AP65" i="8" a="1"/>
  <c r="AP71" i="8" a="1"/>
  <c r="AP82" i="15" a="1"/>
  <c r="AS71" i="15" a="1"/>
  <c r="AP53" i="8" a="1"/>
  <c r="AS78" i="15" a="1"/>
  <c r="AP72" i="8" a="1"/>
  <c r="C82" i="15" a="1"/>
  <c r="X82" i="15" a="1"/>
  <c r="AL82" i="15" a="1"/>
  <c r="AP52" i="8" a="1"/>
  <c r="AP66" i="8" a="1"/>
  <c r="AA82" i="15" a="1"/>
  <c r="AP59" i="8" a="1"/>
  <c r="AS53" i="15" a="1"/>
  <c r="AP78" i="8" a="1"/>
  <c r="AP82" i="8" a="1"/>
  <c r="P82" i="15" a="1"/>
  <c r="S82" i="15" a="1"/>
  <c r="AN82" i="15" a="1"/>
  <c r="AS72" i="15" a="1"/>
  <c r="AS45" i="15" a="1"/>
  <c r="AS43" i="15" a="1"/>
  <c r="AR82" i="15" a="1"/>
  <c r="U82" i="15" a="1"/>
  <c r="T82" i="15" a="1"/>
  <c r="AP67" i="8" a="1"/>
  <c r="AS51" i="15" a="1"/>
  <c r="AS55" i="15" a="1"/>
  <c r="R82" i="15" a="1"/>
  <c r="AB82" i="15" a="1"/>
  <c r="AP56" i="8" l="1"/>
  <c r="AP54" i="8"/>
  <c r="AP52" i="8"/>
  <c r="AP53" i="8"/>
  <c r="AP55" i="8"/>
  <c r="AP77" i="8"/>
  <c r="AP76" i="8"/>
  <c r="AP79" i="8"/>
  <c r="AP78" i="8"/>
  <c r="AP80" i="8"/>
  <c r="AP144" i="15"/>
  <c r="AL144" i="15"/>
  <c r="AH144" i="15"/>
  <c r="Z144" i="15"/>
  <c r="R144" i="15"/>
  <c r="K144" i="15"/>
  <c r="AD144" i="15"/>
  <c r="V144" i="15"/>
  <c r="N144" i="15"/>
  <c r="F144" i="15"/>
  <c r="AR144" i="15"/>
  <c r="AO144" i="15"/>
  <c r="AG144" i="15"/>
  <c r="Y144" i="15"/>
  <c r="Q144" i="15"/>
  <c r="I144" i="15"/>
  <c r="AN144" i="15"/>
  <c r="AJ144" i="15"/>
  <c r="AF144" i="15"/>
  <c r="AC144" i="15"/>
  <c r="X144" i="15"/>
  <c r="T144" i="15"/>
  <c r="P144" i="15"/>
  <c r="L144" i="15"/>
  <c r="H144" i="15"/>
  <c r="AK144" i="15"/>
  <c r="AB144" i="15"/>
  <c r="U144" i="15"/>
  <c r="M144" i="15"/>
  <c r="E144" i="15"/>
  <c r="AQ144" i="15"/>
  <c r="AM144" i="15"/>
  <c r="AI144" i="15"/>
  <c r="AE144" i="15"/>
  <c r="AA144" i="15"/>
  <c r="W144" i="15"/>
  <c r="S144" i="15"/>
  <c r="O144" i="15"/>
  <c r="J144" i="15"/>
  <c r="G144" i="15"/>
  <c r="D82" i="15"/>
  <c r="D145" i="15" s="1"/>
  <c r="B145" i="15"/>
  <c r="C82" i="15"/>
  <c r="C145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Z145" i="15" s="1"/>
  <c r="AA82" i="15"/>
  <c r="AB82" i="15"/>
  <c r="AC82" i="15"/>
  <c r="AD82" i="15"/>
  <c r="AD145" i="15" s="1"/>
  <c r="AE82" i="15"/>
  <c r="AF82" i="15"/>
  <c r="AG82" i="15"/>
  <c r="AH82" i="15"/>
  <c r="AH145" i="15" s="1"/>
  <c r="AI82" i="15"/>
  <c r="AJ82" i="15"/>
  <c r="AK82" i="15"/>
  <c r="AL82" i="15"/>
  <c r="AL145" i="15" s="1"/>
  <c r="AM82" i="15"/>
  <c r="AN82" i="15"/>
  <c r="AO82" i="15"/>
  <c r="AP82" i="15"/>
  <c r="AP145" i="15" s="1"/>
  <c r="AQ82" i="15"/>
  <c r="AR82" i="15"/>
  <c r="AS43" i="15"/>
  <c r="AS106" i="15" s="1"/>
  <c r="AS53" i="15"/>
  <c r="AS116" i="15" s="1"/>
  <c r="AS64" i="15"/>
  <c r="AS127" i="15" s="1"/>
  <c r="AS45" i="15"/>
  <c r="AS108" i="15" s="1"/>
  <c r="AS52" i="15"/>
  <c r="AS115" i="15" s="1"/>
  <c r="AS48" i="15"/>
  <c r="AS111" i="15" s="1"/>
  <c r="AS54" i="15"/>
  <c r="AS117" i="15" s="1"/>
  <c r="AS61" i="15"/>
  <c r="AS124" i="15" s="1"/>
  <c r="AS66" i="15"/>
  <c r="AS129" i="15" s="1"/>
  <c r="AS67" i="15"/>
  <c r="AS130" i="15" s="1"/>
  <c r="AS71" i="15"/>
  <c r="AS134" i="15" s="1"/>
  <c r="AS77" i="15"/>
  <c r="AS140" i="15" s="1"/>
  <c r="AS82" i="15"/>
  <c r="AS49" i="15"/>
  <c r="AS112" i="15" s="1"/>
  <c r="AS60" i="15"/>
  <c r="AS123" i="15" s="1"/>
  <c r="AS78" i="15"/>
  <c r="AS141" i="15" s="1"/>
  <c r="AS81" i="15"/>
  <c r="AS144" i="15" s="1"/>
  <c r="AS44" i="15"/>
  <c r="AS107" i="15" s="1"/>
  <c r="AS57" i="15"/>
  <c r="AS120" i="15" s="1"/>
  <c r="AS50" i="15"/>
  <c r="AS113" i="15" s="1"/>
  <c r="AS55" i="15"/>
  <c r="AS118" i="15" s="1"/>
  <c r="AS65" i="15"/>
  <c r="AS128" i="15" s="1"/>
  <c r="AS59" i="15"/>
  <c r="AS122" i="15" s="1"/>
  <c r="AS68" i="15"/>
  <c r="AS131" i="15" s="1"/>
  <c r="AS72" i="15"/>
  <c r="AS135" i="15" s="1"/>
  <c r="AS73" i="15"/>
  <c r="AS136" i="15" s="1"/>
  <c r="AS47" i="15"/>
  <c r="AS110" i="15" s="1"/>
  <c r="AS62" i="15"/>
  <c r="AS125" i="15" s="1"/>
  <c r="AS70" i="15"/>
  <c r="AS133" i="15" s="1"/>
  <c r="AS79" i="15"/>
  <c r="AS142" i="15" s="1"/>
  <c r="AS46" i="15"/>
  <c r="AS109" i="15" s="1"/>
  <c r="AS58" i="15"/>
  <c r="AS121" i="15" s="1"/>
  <c r="AS51" i="15"/>
  <c r="AS114" i="15" s="1"/>
  <c r="AS56" i="15"/>
  <c r="AS119" i="15" s="1"/>
  <c r="AS74" i="15"/>
  <c r="AS137" i="15" s="1"/>
  <c r="AS63" i="15"/>
  <c r="AS126" i="15" s="1"/>
  <c r="AS69" i="15"/>
  <c r="AS132" i="15" s="1"/>
  <c r="AS75" i="15"/>
  <c r="AS138" i="15" s="1"/>
  <c r="AS76" i="15"/>
  <c r="AS139" i="15" s="1"/>
  <c r="AS80" i="15"/>
  <c r="AS143" i="15" s="1"/>
  <c r="AS39" i="15"/>
  <c r="AS105" i="15" s="1"/>
  <c r="AU38" i="15"/>
  <c r="B83" i="15"/>
  <c r="B206" i="15" s="1"/>
  <c r="AO98" i="8"/>
  <c r="AP104" i="8"/>
  <c r="AP86" i="8"/>
  <c r="AP74" i="8"/>
  <c r="AP68" i="8"/>
  <c r="AP62" i="8"/>
  <c r="AO92" i="8"/>
  <c r="AO91" i="8"/>
  <c r="AO90" i="8"/>
  <c r="AP61" i="8"/>
  <c r="AP60" i="8"/>
  <c r="AP59" i="8"/>
  <c r="AP65" i="8"/>
  <c r="AP67" i="8"/>
  <c r="AP66" i="8"/>
  <c r="AP71" i="8"/>
  <c r="AP73" i="8"/>
  <c r="AP72" i="8"/>
  <c r="AP84" i="8"/>
  <c r="AP85" i="8"/>
  <c r="AP83" i="8"/>
  <c r="AO89" i="8"/>
  <c r="AO95" i="8"/>
  <c r="AP102" i="8"/>
  <c r="AP58" i="8"/>
  <c r="AP64" i="8"/>
  <c r="AP82" i="8"/>
  <c r="AP70" i="8"/>
  <c r="AP103" i="8"/>
  <c r="AP101" i="8"/>
  <c r="AP100" i="8"/>
  <c r="AO94" i="8"/>
  <c r="AO88" i="8"/>
  <c r="AO96" i="8"/>
  <c r="AQ50" i="8"/>
  <c r="AO97" i="8"/>
  <c r="AQ76" i="8" a="1"/>
  <c r="AT61" i="15" a="1"/>
  <c r="V83" i="15" a="1"/>
  <c r="AQ73" i="8" a="1"/>
  <c r="AT73" i="15" a="1"/>
  <c r="AJ83" i="15" a="1"/>
  <c r="AF83" i="15" a="1"/>
  <c r="AM83" i="15" a="1"/>
  <c r="AT65" i="15" a="1"/>
  <c r="AT79" i="15" a="1"/>
  <c r="AQ60" i="8" a="1"/>
  <c r="AT70" i="15" a="1"/>
  <c r="AT44" i="15" a="1"/>
  <c r="AB83" i="15" a="1"/>
  <c r="K83" i="15" a="1"/>
  <c r="AQ101" i="8" a="1"/>
  <c r="Z83" i="15" a="1"/>
  <c r="AA83" i="15" a="1"/>
  <c r="D83" i="15" a="1"/>
  <c r="AQ77" i="8" a="1"/>
  <c r="AQ67" i="8" a="1"/>
  <c r="S83" i="15" a="1"/>
  <c r="AT68" i="15" a="1"/>
  <c r="AT56" i="15" a="1"/>
  <c r="AQ83" i="15" a="1"/>
  <c r="AQ80" i="8" a="1"/>
  <c r="AT49" i="15" a="1"/>
  <c r="AT64" i="15" a="1"/>
  <c r="AT59" i="15" a="1"/>
  <c r="AT66" i="15" a="1"/>
  <c r="AT67" i="15" a="1"/>
  <c r="AQ65" i="8" a="1"/>
  <c r="AL83" i="15" a="1"/>
  <c r="AT47" i="15" a="1"/>
  <c r="AT57" i="15" a="1"/>
  <c r="AH83" i="15" a="1"/>
  <c r="O83" i="15" a="1"/>
  <c r="AS83" i="15" a="1"/>
  <c r="AQ61" i="8" a="1"/>
  <c r="AQ64" i="8" a="1"/>
  <c r="I83" i="15" a="1"/>
  <c r="AT74" i="15" a="1"/>
  <c r="AR83" i="15" a="1"/>
  <c r="AT82" i="15" a="1"/>
  <c r="R83" i="15" a="1"/>
  <c r="AQ58" i="8" a="1"/>
  <c r="AT58" i="15" a="1"/>
  <c r="P83" i="15" a="1"/>
  <c r="AQ79" i="8" a="1"/>
  <c r="U83" i="15" a="1"/>
  <c r="C83" i="15" a="1"/>
  <c r="AQ72" i="8" a="1"/>
  <c r="AD83" i="15" a="1"/>
  <c r="AT55" i="15" a="1"/>
  <c r="AQ71" i="8" a="1"/>
  <c r="AQ56" i="8" a="1"/>
  <c r="AC83" i="15" a="1"/>
  <c r="AT77" i="15" a="1"/>
  <c r="AQ82" i="8" a="1"/>
  <c r="AT75" i="15" a="1"/>
  <c r="AT39" i="15" a="1"/>
  <c r="F83" i="15" a="1"/>
  <c r="AT51" i="15" a="1"/>
  <c r="AI83" i="15" a="1"/>
  <c r="AN83" i="15" a="1"/>
  <c r="AT50" i="15" a="1"/>
  <c r="AT81" i="15" a="1"/>
  <c r="AO83" i="15" a="1"/>
  <c r="AQ54" i="8" a="1"/>
  <c r="AQ102" i="8" a="1"/>
  <c r="AT46" i="15" a="1"/>
  <c r="H83" i="15" a="1"/>
  <c r="Q83" i="15" a="1"/>
  <c r="AQ55" i="8" a="1"/>
  <c r="AT72" i="15" a="1"/>
  <c r="Y83" i="15" a="1"/>
  <c r="AP83" i="15" a="1"/>
  <c r="N83" i="15" a="1"/>
  <c r="W83" i="15" a="1"/>
  <c r="AQ59" i="8" a="1"/>
  <c r="AQ62" i="8" a="1"/>
  <c r="AT80" i="15" a="1"/>
  <c r="AT54" i="15" a="1"/>
  <c r="AT52" i="15" a="1"/>
  <c r="AT71" i="15" a="1"/>
  <c r="AQ53" i="8" a="1"/>
  <c r="AT78" i="15" a="1"/>
  <c r="AQ70" i="8" a="1"/>
  <c r="AQ83" i="8" a="1"/>
  <c r="AQ104" i="8" a="1"/>
  <c r="AT69" i="15" a="1"/>
  <c r="G83" i="15" a="1"/>
  <c r="AQ86" i="8" a="1"/>
  <c r="AT63" i="15" a="1"/>
  <c r="AE83" i="15" a="1"/>
  <c r="AT53" i="15" a="1"/>
  <c r="AQ78" i="8" a="1"/>
  <c r="AT62" i="15" a="1"/>
  <c r="AQ85" i="8" a="1"/>
  <c r="AQ103" i="8" a="1"/>
  <c r="AQ100" i="8" a="1"/>
  <c r="AQ84" i="8" a="1"/>
  <c r="T83" i="15" a="1"/>
  <c r="AT43" i="15" a="1"/>
  <c r="AT76" i="15" a="1"/>
  <c r="AG83" i="15" a="1"/>
  <c r="E83" i="15" a="1"/>
  <c r="AT83" i="15" a="1"/>
  <c r="AQ74" i="8" a="1"/>
  <c r="AQ66" i="8" a="1"/>
  <c r="AT60" i="15" a="1"/>
  <c r="AK83" i="15" a="1"/>
  <c r="AQ52" i="8" a="1"/>
  <c r="X83" i="15" a="1"/>
  <c r="AQ68" i="8" a="1"/>
  <c r="AT45" i="15" a="1"/>
  <c r="M83" i="15" a="1"/>
  <c r="J83" i="15" a="1"/>
  <c r="AT48" i="15" a="1"/>
  <c r="L83" i="15" a="1"/>
  <c r="V145" i="15" l="1"/>
  <c r="R145" i="15"/>
  <c r="N145" i="15"/>
  <c r="J145" i="15"/>
  <c r="AQ55" i="8"/>
  <c r="AQ52" i="8"/>
  <c r="AQ54" i="8"/>
  <c r="AQ53" i="8"/>
  <c r="AQ56" i="8"/>
  <c r="AQ80" i="8"/>
  <c r="AQ79" i="8"/>
  <c r="AQ77" i="8"/>
  <c r="AQ78" i="8"/>
  <c r="AQ76" i="8"/>
  <c r="F145" i="15"/>
  <c r="AR145" i="15"/>
  <c r="AN145" i="15"/>
  <c r="AJ145" i="15"/>
  <c r="AF145" i="15"/>
  <c r="AB145" i="15"/>
  <c r="X145" i="15"/>
  <c r="T145" i="15"/>
  <c r="P145" i="15"/>
  <c r="L145" i="15"/>
  <c r="H145" i="15"/>
  <c r="AS145" i="15"/>
  <c r="AO145" i="15"/>
  <c r="AK145" i="15"/>
  <c r="AG145" i="15"/>
  <c r="AC145" i="15"/>
  <c r="Y145" i="15"/>
  <c r="U145" i="15"/>
  <c r="Q145" i="15"/>
  <c r="M145" i="15"/>
  <c r="I145" i="15"/>
  <c r="E145" i="15"/>
  <c r="AQ145" i="15"/>
  <c r="AM145" i="15"/>
  <c r="AI145" i="15"/>
  <c r="AE145" i="15"/>
  <c r="AA145" i="15"/>
  <c r="W145" i="15"/>
  <c r="S145" i="15"/>
  <c r="O145" i="15"/>
  <c r="K145" i="15"/>
  <c r="G145" i="15"/>
  <c r="D83" i="15"/>
  <c r="D146" i="15" s="1"/>
  <c r="B146" i="15"/>
  <c r="C83" i="15"/>
  <c r="C146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AD83" i="15"/>
  <c r="AE83" i="15"/>
  <c r="AF83" i="15"/>
  <c r="AG83" i="15"/>
  <c r="AH83" i="15"/>
  <c r="AI83" i="15"/>
  <c r="AJ83" i="15"/>
  <c r="AK83" i="15"/>
  <c r="AL83" i="15"/>
  <c r="AL146" i="15" s="1"/>
  <c r="AM83" i="15"/>
  <c r="AN83" i="15"/>
  <c r="AO83" i="15"/>
  <c r="AP83" i="15"/>
  <c r="AP146" i="15" s="1"/>
  <c r="AQ83" i="15"/>
  <c r="AR83" i="15"/>
  <c r="AS83" i="15"/>
  <c r="AT43" i="15"/>
  <c r="AT106" i="15" s="1"/>
  <c r="AT48" i="15"/>
  <c r="AT111" i="15" s="1"/>
  <c r="AT53" i="15"/>
  <c r="AT116" i="15" s="1"/>
  <c r="AT47" i="15"/>
  <c r="AT110" i="15" s="1"/>
  <c r="AT60" i="15"/>
  <c r="AT123" i="15" s="1"/>
  <c r="AT68" i="15"/>
  <c r="AT131" i="15" s="1"/>
  <c r="AT66" i="15"/>
  <c r="AT129" i="15" s="1"/>
  <c r="AT73" i="15"/>
  <c r="AT136" i="15" s="1"/>
  <c r="AT72" i="15"/>
  <c r="AT135" i="15" s="1"/>
  <c r="AT79" i="15"/>
  <c r="AT142" i="15" s="1"/>
  <c r="AT44" i="15"/>
  <c r="AT107" i="15" s="1"/>
  <c r="AT49" i="15"/>
  <c r="AT112" i="15" s="1"/>
  <c r="AT54" i="15"/>
  <c r="AT117" i="15" s="1"/>
  <c r="AT51" i="15"/>
  <c r="AT114" i="15" s="1"/>
  <c r="AT64" i="15"/>
  <c r="AT127" i="15" s="1"/>
  <c r="AT70" i="15"/>
  <c r="AT133" i="15" s="1"/>
  <c r="AT63" i="15"/>
  <c r="AT126" i="15" s="1"/>
  <c r="AT76" i="15"/>
  <c r="AT139" i="15" s="1"/>
  <c r="AT75" i="15"/>
  <c r="AT138" i="15" s="1"/>
  <c r="AT80" i="15"/>
  <c r="AT143" i="15" s="1"/>
  <c r="AT46" i="15"/>
  <c r="AT109" i="15" s="1"/>
  <c r="AT50" i="15"/>
  <c r="AT113" i="15" s="1"/>
  <c r="AT55" i="15"/>
  <c r="AT118" i="15" s="1"/>
  <c r="AT57" i="15"/>
  <c r="AT120" i="15" s="1"/>
  <c r="AT61" i="15"/>
  <c r="AT124" i="15" s="1"/>
  <c r="AT58" i="15"/>
  <c r="AT121" i="15" s="1"/>
  <c r="AT67" i="15"/>
  <c r="AT130" i="15" s="1"/>
  <c r="AT74" i="15"/>
  <c r="AT137" i="15" s="1"/>
  <c r="AT77" i="15"/>
  <c r="AT140" i="15" s="1"/>
  <c r="AT81" i="15"/>
  <c r="AT144" i="15" s="1"/>
  <c r="AT83" i="15"/>
  <c r="AT45" i="15"/>
  <c r="AT108" i="15" s="1"/>
  <c r="AT52" i="15"/>
  <c r="AT115" i="15" s="1"/>
  <c r="AT56" i="15"/>
  <c r="AT119" i="15" s="1"/>
  <c r="AT59" i="15"/>
  <c r="AT122" i="15" s="1"/>
  <c r="AT65" i="15"/>
  <c r="AT128" i="15" s="1"/>
  <c r="AT62" i="15"/>
  <c r="AT125" i="15" s="1"/>
  <c r="AT69" i="15"/>
  <c r="AT132" i="15" s="1"/>
  <c r="AT71" i="15"/>
  <c r="AT134" i="15" s="1"/>
  <c r="AT78" i="15"/>
  <c r="AT141" i="15" s="1"/>
  <c r="AT82" i="15"/>
  <c r="AT145" i="15" s="1"/>
  <c r="AT39" i="15"/>
  <c r="AT105" i="15" s="1"/>
  <c r="AV38" i="15"/>
  <c r="B84" i="15"/>
  <c r="B207" i="15" s="1"/>
  <c r="AQ104" i="8"/>
  <c r="AQ86" i="8"/>
  <c r="AQ74" i="8"/>
  <c r="AQ68" i="8"/>
  <c r="AQ62" i="8"/>
  <c r="AP98" i="8"/>
  <c r="AP92" i="8"/>
  <c r="AP89" i="8"/>
  <c r="AQ60" i="8"/>
  <c r="AQ61" i="8"/>
  <c r="AQ59" i="8"/>
  <c r="AQ65" i="8"/>
  <c r="AQ67" i="8"/>
  <c r="AQ66" i="8"/>
  <c r="AQ71" i="8"/>
  <c r="AQ72" i="8"/>
  <c r="AQ73" i="8"/>
  <c r="AQ84" i="8"/>
  <c r="AQ83" i="8"/>
  <c r="AQ85" i="8"/>
  <c r="AP90" i="8"/>
  <c r="AP91" i="8"/>
  <c r="AP97" i="8"/>
  <c r="AP96" i="8"/>
  <c r="AQ102" i="8"/>
  <c r="AQ58" i="8"/>
  <c r="AQ64" i="8"/>
  <c r="AQ82" i="8"/>
  <c r="AQ70" i="8"/>
  <c r="AQ103" i="8"/>
  <c r="AQ101" i="8"/>
  <c r="AQ100" i="8"/>
  <c r="AP94" i="8"/>
  <c r="AP88" i="8"/>
  <c r="AR50" i="8"/>
  <c r="AP95" i="8"/>
  <c r="AR65" i="8" a="1"/>
  <c r="AR85" i="8" a="1"/>
  <c r="L84" i="15" a="1"/>
  <c r="AR68" i="8" a="1"/>
  <c r="AK84" i="15" a="1"/>
  <c r="AO84" i="15" a="1"/>
  <c r="AU44" i="15" a="1"/>
  <c r="AU75" i="15" a="1"/>
  <c r="U84" i="15" a="1"/>
  <c r="AU53" i="15" a="1"/>
  <c r="AR101" i="8" a="1"/>
  <c r="AU43" i="15" a="1"/>
  <c r="AR84" i="15" a="1"/>
  <c r="AU66" i="15" a="1"/>
  <c r="AR61" i="8" a="1"/>
  <c r="AU83" i="15" a="1"/>
  <c r="AL84" i="15" a="1"/>
  <c r="AU77" i="15" a="1"/>
  <c r="AU79" i="15" a="1"/>
  <c r="AR76" i="8" a="1"/>
  <c r="AU58" i="15" a="1"/>
  <c r="AR62" i="8" a="1"/>
  <c r="AG84" i="15" a="1"/>
  <c r="S84" i="15" a="1"/>
  <c r="J84" i="15" a="1"/>
  <c r="AU65" i="15" a="1"/>
  <c r="AU54" i="15" a="1"/>
  <c r="AU72" i="15" a="1"/>
  <c r="AU64" i="15" a="1"/>
  <c r="AU39" i="15" a="1"/>
  <c r="AU48" i="15" a="1"/>
  <c r="D84" i="15" a="1"/>
  <c r="I84" i="15" a="1"/>
  <c r="AR72" i="8" a="1"/>
  <c r="AU55" i="15" a="1"/>
  <c r="AR71" i="8" a="1"/>
  <c r="C84" i="15" a="1"/>
  <c r="Y84" i="15" a="1"/>
  <c r="AR100" i="8" a="1"/>
  <c r="AR77" i="8" a="1"/>
  <c r="AR66" i="8" a="1"/>
  <c r="AH84" i="15" a="1"/>
  <c r="AU56" i="15" a="1"/>
  <c r="AR56" i="8" a="1"/>
  <c r="Q84" i="15" a="1"/>
  <c r="AU62" i="15" a="1"/>
  <c r="AU67" i="15" a="1"/>
  <c r="AM84" i="15" a="1"/>
  <c r="AR103" i="8" a="1"/>
  <c r="AR74" i="8" a="1"/>
  <c r="AE84" i="15" a="1"/>
  <c r="Z84" i="15" a="1"/>
  <c r="AU52" i="15" a="1"/>
  <c r="AR64" i="8" a="1"/>
  <c r="V84" i="15" a="1"/>
  <c r="AU82" i="15" a="1"/>
  <c r="AR58" i="8" a="1"/>
  <c r="T84" i="15" a="1"/>
  <c r="AR104" i="8" a="1"/>
  <c r="AU46" i="15" a="1"/>
  <c r="AU49" i="15" a="1"/>
  <c r="AU59" i="15" a="1"/>
  <c r="AU51" i="15" a="1"/>
  <c r="AP84" i="15" a="1"/>
  <c r="F84" i="15" a="1"/>
  <c r="AU61" i="15" a="1"/>
  <c r="AU57" i="15" a="1"/>
  <c r="X84" i="15" a="1"/>
  <c r="G84" i="15" a="1"/>
  <c r="AR54" i="8" a="1"/>
  <c r="AS84" i="15" a="1"/>
  <c r="P84" i="15" a="1"/>
  <c r="AA84" i="15" a="1"/>
  <c r="AU47" i="15" a="1"/>
  <c r="AU60" i="15" a="1"/>
  <c r="AU68" i="15" a="1"/>
  <c r="K84" i="15" a="1"/>
  <c r="O84" i="15" a="1"/>
  <c r="AR86" i="8" a="1"/>
  <c r="AR79" i="8" a="1"/>
  <c r="E84" i="15" a="1"/>
  <c r="AR60" i="8" a="1"/>
  <c r="AN84" i="15" a="1"/>
  <c r="AR53" i="8" a="1"/>
  <c r="AR83" i="8" a="1"/>
  <c r="AF84" i="15" a="1"/>
  <c r="AR70" i="8" a="1"/>
  <c r="AU69" i="15" a="1"/>
  <c r="AD84" i="15" a="1"/>
  <c r="AU80" i="15" a="1"/>
  <c r="M84" i="15" a="1"/>
  <c r="AU84" i="15" a="1"/>
  <c r="AU81" i="15" a="1"/>
  <c r="AR102" i="8" a="1"/>
  <c r="R84" i="15" a="1"/>
  <c r="AI84" i="15" a="1"/>
  <c r="AU50" i="15" a="1"/>
  <c r="AR52" i="8" a="1"/>
  <c r="AR59" i="8" a="1"/>
  <c r="AR80" i="8" a="1"/>
  <c r="AU73" i="15" a="1"/>
  <c r="AC84" i="15" a="1"/>
  <c r="AR73" i="8" a="1"/>
  <c r="N84" i="15" a="1"/>
  <c r="AU70" i="15" a="1"/>
  <c r="AU45" i="15" a="1"/>
  <c r="AQ84" i="15" a="1"/>
  <c r="AU76" i="15" a="1"/>
  <c r="AU71" i="15" a="1"/>
  <c r="AU78" i="15" a="1"/>
  <c r="AR78" i="8" a="1"/>
  <c r="AJ84" i="15" a="1"/>
  <c r="AU63" i="15" a="1"/>
  <c r="W84" i="15" a="1"/>
  <c r="AR82" i="8" a="1"/>
  <c r="H84" i="15" a="1"/>
  <c r="AT84" i="15" a="1"/>
  <c r="AU74" i="15" a="1"/>
  <c r="AB84" i="15" a="1"/>
  <c r="AR67" i="8" a="1"/>
  <c r="AR84" i="8" a="1"/>
  <c r="AR55" i="8" a="1"/>
  <c r="AR54" i="8" l="1"/>
  <c r="AR55" i="8"/>
  <c r="AR52" i="8"/>
  <c r="AR53" i="8"/>
  <c r="AR56" i="8"/>
  <c r="AR77" i="8"/>
  <c r="AR79" i="8"/>
  <c r="AR78" i="8"/>
  <c r="AR76" i="8"/>
  <c r="AR80" i="8"/>
  <c r="AH146" i="15"/>
  <c r="Z146" i="15"/>
  <c r="R146" i="15"/>
  <c r="AD146" i="15"/>
  <c r="V146" i="15"/>
  <c r="N146" i="15"/>
  <c r="K146" i="15"/>
  <c r="F146" i="15"/>
  <c r="AO146" i="15"/>
  <c r="AG146" i="15"/>
  <c r="Y146" i="15"/>
  <c r="Q146" i="15"/>
  <c r="AT146" i="15"/>
  <c r="AR146" i="15"/>
  <c r="AN146" i="15"/>
  <c r="AJ146" i="15"/>
  <c r="AF146" i="15"/>
  <c r="AC146" i="15"/>
  <c r="X146" i="15"/>
  <c r="T146" i="15"/>
  <c r="P146" i="15"/>
  <c r="L146" i="15"/>
  <c r="H146" i="15"/>
  <c r="AS146" i="15"/>
  <c r="AK146" i="15"/>
  <c r="AB146" i="15"/>
  <c r="U146" i="15"/>
  <c r="M146" i="15"/>
  <c r="E146" i="15"/>
  <c r="AQ146" i="15"/>
  <c r="AM146" i="15"/>
  <c r="AI146" i="15"/>
  <c r="AE146" i="15"/>
  <c r="AA146" i="15"/>
  <c r="W146" i="15"/>
  <c r="S146" i="15"/>
  <c r="O146" i="15"/>
  <c r="J146" i="15"/>
  <c r="G146" i="15"/>
  <c r="I146" i="15"/>
  <c r="D84" i="15"/>
  <c r="D147" i="15" s="1"/>
  <c r="B147" i="15"/>
  <c r="C84" i="15"/>
  <c r="C147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AE84" i="15"/>
  <c r="AF84" i="15"/>
  <c r="AG84" i="15"/>
  <c r="AH84" i="15"/>
  <c r="AI84" i="15"/>
  <c r="AJ84" i="15"/>
  <c r="AK84" i="15"/>
  <c r="AL84" i="15"/>
  <c r="AM84" i="15"/>
  <c r="AN84" i="15"/>
  <c r="AO84" i="15"/>
  <c r="AP84" i="15"/>
  <c r="AQ84" i="15"/>
  <c r="AR84" i="15"/>
  <c r="AS84" i="15"/>
  <c r="AT84" i="15"/>
  <c r="AU43" i="15"/>
  <c r="AU106" i="15" s="1"/>
  <c r="AU47" i="15"/>
  <c r="AU110" i="15" s="1"/>
  <c r="AU57" i="15"/>
  <c r="AU120" i="15" s="1"/>
  <c r="AU52" i="15"/>
  <c r="AU115" i="15" s="1"/>
  <c r="AU56" i="15"/>
  <c r="AU119" i="15" s="1"/>
  <c r="AU63" i="15"/>
  <c r="AU126" i="15" s="1"/>
  <c r="AU67" i="15"/>
  <c r="AU130" i="15" s="1"/>
  <c r="AU71" i="15"/>
  <c r="AU134" i="15" s="1"/>
  <c r="AU76" i="15"/>
  <c r="AU139" i="15" s="1"/>
  <c r="AU77" i="15"/>
  <c r="AU140" i="15" s="1"/>
  <c r="AU82" i="15"/>
  <c r="AU145" i="15" s="1"/>
  <c r="AU44" i="15"/>
  <c r="AU107" i="15" s="1"/>
  <c r="AU48" i="15"/>
  <c r="AU111" i="15" s="1"/>
  <c r="AU59" i="15"/>
  <c r="AU122" i="15" s="1"/>
  <c r="AU53" i="15"/>
  <c r="AU116" i="15" s="1"/>
  <c r="AU58" i="15"/>
  <c r="AU121" i="15" s="1"/>
  <c r="AU60" i="15"/>
  <c r="AU123" i="15" s="1"/>
  <c r="AU68" i="15"/>
  <c r="AU131" i="15" s="1"/>
  <c r="AU72" i="15"/>
  <c r="AU135" i="15" s="1"/>
  <c r="AU78" i="15"/>
  <c r="AU141" i="15" s="1"/>
  <c r="AU83" i="15"/>
  <c r="AU146" i="15" s="1"/>
  <c r="AU84" i="15"/>
  <c r="AU46" i="15"/>
  <c r="AU109" i="15" s="1"/>
  <c r="AU50" i="15"/>
  <c r="AU113" i="15" s="1"/>
  <c r="AU61" i="15"/>
  <c r="AU124" i="15" s="1"/>
  <c r="AU54" i="15"/>
  <c r="AU117" i="15" s="1"/>
  <c r="AU62" i="15"/>
  <c r="AU125" i="15" s="1"/>
  <c r="AU64" i="15"/>
  <c r="AU127" i="15" s="1"/>
  <c r="AU69" i="15"/>
  <c r="AU132" i="15" s="1"/>
  <c r="AU79" i="15"/>
  <c r="AU142" i="15" s="1"/>
  <c r="AU74" i="15"/>
  <c r="AU137" i="15" s="1"/>
  <c r="AU80" i="15"/>
  <c r="AU143" i="15" s="1"/>
  <c r="AU45" i="15"/>
  <c r="AU108" i="15" s="1"/>
  <c r="AU51" i="15"/>
  <c r="AU114" i="15" s="1"/>
  <c r="AU49" i="15"/>
  <c r="AU112" i="15" s="1"/>
  <c r="AU55" i="15"/>
  <c r="AU118" i="15" s="1"/>
  <c r="AU66" i="15"/>
  <c r="AU129" i="15" s="1"/>
  <c r="AU65" i="15"/>
  <c r="AU128" i="15" s="1"/>
  <c r="AU70" i="15"/>
  <c r="AU133" i="15" s="1"/>
  <c r="AU73" i="15"/>
  <c r="AU136" i="15" s="1"/>
  <c r="AU75" i="15"/>
  <c r="AU138" i="15" s="1"/>
  <c r="AU81" i="15"/>
  <c r="AU144" i="15" s="1"/>
  <c r="AU39" i="15"/>
  <c r="AU105" i="15" s="1"/>
  <c r="AW38" i="15"/>
  <c r="B85" i="15"/>
  <c r="B208" i="15" s="1"/>
  <c r="AQ92" i="8"/>
  <c r="AR104" i="8"/>
  <c r="AR86" i="8"/>
  <c r="AR74" i="8"/>
  <c r="AR68" i="8"/>
  <c r="AR62" i="8"/>
  <c r="AQ98" i="8"/>
  <c r="AQ90" i="8"/>
  <c r="AR60" i="8"/>
  <c r="AR59" i="8"/>
  <c r="AR61" i="8"/>
  <c r="AR65" i="8"/>
  <c r="AR67" i="8"/>
  <c r="AR66" i="8"/>
  <c r="AR73" i="8"/>
  <c r="AR71" i="8"/>
  <c r="AR72" i="8"/>
  <c r="AR84" i="8"/>
  <c r="AR85" i="8"/>
  <c r="AR83" i="8"/>
  <c r="AQ91" i="8"/>
  <c r="AQ89" i="8"/>
  <c r="AQ95" i="8"/>
  <c r="AR102" i="8"/>
  <c r="AR58" i="8"/>
  <c r="AR64" i="8"/>
  <c r="AR82" i="8"/>
  <c r="AR70" i="8"/>
  <c r="AR103" i="8"/>
  <c r="AR101" i="8"/>
  <c r="AR100" i="8"/>
  <c r="AS50" i="8"/>
  <c r="AQ97" i="8"/>
  <c r="AQ88" i="8"/>
  <c r="AQ94" i="8"/>
  <c r="AQ96" i="8"/>
  <c r="AS80" i="8" a="1"/>
  <c r="AV83" i="15" a="1"/>
  <c r="AS103" i="8" a="1"/>
  <c r="N85" i="15" a="1"/>
  <c r="AV74" i="15" a="1"/>
  <c r="M85" i="15" a="1"/>
  <c r="AV80" i="15" a="1"/>
  <c r="AJ85" i="15" a="1"/>
  <c r="Q85" i="15" a="1"/>
  <c r="AL85" i="15" a="1"/>
  <c r="E85" i="15" a="1"/>
  <c r="AS68" i="8" a="1"/>
  <c r="O85" i="15" a="1"/>
  <c r="AE85" i="15" a="1"/>
  <c r="AV55" i="15" a="1"/>
  <c r="AV57" i="15" a="1"/>
  <c r="AS55" i="8" a="1"/>
  <c r="AN85" i="15" a="1"/>
  <c r="AS79" i="8" a="1"/>
  <c r="G85" i="15" a="1"/>
  <c r="AS78" i="8" a="1"/>
  <c r="AS56" i="8" a="1"/>
  <c r="AV75" i="15" a="1"/>
  <c r="AS53" i="8" a="1"/>
  <c r="AV71" i="15" a="1"/>
  <c r="AS66" i="8" a="1"/>
  <c r="AV49" i="15" a="1"/>
  <c r="AS101" i="8" a="1"/>
  <c r="AV64" i="15" a="1"/>
  <c r="AS85" i="15" a="1"/>
  <c r="AS52" i="8" a="1"/>
  <c r="I85" i="15" a="1"/>
  <c r="AS82" i="8" a="1"/>
  <c r="AV63" i="15" a="1"/>
  <c r="AS83" i="8" a="1"/>
  <c r="AV60" i="15" a="1"/>
  <c r="AI85" i="15" a="1"/>
  <c r="AS70" i="8" a="1"/>
  <c r="AV45" i="15" a="1"/>
  <c r="L85" i="15" a="1"/>
  <c r="X85" i="15" a="1"/>
  <c r="W85" i="15" a="1"/>
  <c r="AK85" i="15" a="1"/>
  <c r="AG85" i="15" a="1"/>
  <c r="AC85" i="15" a="1"/>
  <c r="AV73" i="15" a="1"/>
  <c r="AS62" i="8" a="1"/>
  <c r="AV47" i="15" a="1"/>
  <c r="AS85" i="8" a="1"/>
  <c r="AR85" i="15" a="1"/>
  <c r="AV85" i="15" a="1"/>
  <c r="AV82" i="15" a="1"/>
  <c r="AV67" i="15" a="1"/>
  <c r="AH85" i="15" a="1"/>
  <c r="AV78" i="15" a="1"/>
  <c r="AV79" i="15" a="1"/>
  <c r="AS64" i="8" a="1"/>
  <c r="AV68" i="15" a="1"/>
  <c r="AM85" i="15" a="1"/>
  <c r="AV76" i="15" a="1"/>
  <c r="AB85" i="15" a="1"/>
  <c r="AS71" i="8" a="1"/>
  <c r="AS74" i="8" a="1"/>
  <c r="AV62" i="15" a="1"/>
  <c r="AS61" i="8" a="1"/>
  <c r="AS67" i="8" a="1"/>
  <c r="AS86" i="8" a="1"/>
  <c r="C85" i="15" a="1"/>
  <c r="AS100" i="8" a="1"/>
  <c r="AV43" i="15" a="1"/>
  <c r="AV52" i="15" a="1"/>
  <c r="Y85" i="15" a="1"/>
  <c r="AP85" i="15" a="1"/>
  <c r="U85" i="15" a="1"/>
  <c r="AT85" i="15" a="1"/>
  <c r="AS54" i="8" a="1"/>
  <c r="AV72" i="15" a="1"/>
  <c r="AV39" i="15" a="1"/>
  <c r="AS104" i="8" a="1"/>
  <c r="V85" i="15" a="1"/>
  <c r="AS65" i="8" a="1"/>
  <c r="AV46" i="15" a="1"/>
  <c r="AS102" i="8" a="1"/>
  <c r="AV84" i="15" a="1"/>
  <c r="AS72" i="8" a="1"/>
  <c r="AS76" i="8" a="1"/>
  <c r="AF85" i="15" a="1"/>
  <c r="AA85" i="15" a="1"/>
  <c r="AV50" i="15" a="1"/>
  <c r="AV54" i="15" a="1"/>
  <c r="AS58" i="8" a="1"/>
  <c r="J85" i="15" a="1"/>
  <c r="AS84" i="8" a="1"/>
  <c r="AV61" i="15" a="1"/>
  <c r="D85" i="15" a="1"/>
  <c r="AV77" i="15" a="1"/>
  <c r="AS73" i="8" a="1"/>
  <c r="R85" i="15" a="1"/>
  <c r="Z85" i="15" a="1"/>
  <c r="AV66" i="15" a="1"/>
  <c r="AV56" i="15" a="1"/>
  <c r="K85" i="15" a="1"/>
  <c r="AV53" i="15" a="1"/>
  <c r="AS59" i="8" a="1"/>
  <c r="AV81" i="15" a="1"/>
  <c r="AV70" i="15" a="1"/>
  <c r="AO85" i="15" a="1"/>
  <c r="AV44" i="15" a="1"/>
  <c r="AV69" i="15" a="1"/>
  <c r="AV58" i="15" a="1"/>
  <c r="AD85" i="15" a="1"/>
  <c r="AV48" i="15" a="1"/>
  <c r="H85" i="15" a="1"/>
  <c r="AV65" i="15" a="1"/>
  <c r="AS60" i="8" a="1"/>
  <c r="AU85" i="15" a="1"/>
  <c r="AS77" i="8" a="1"/>
  <c r="P85" i="15" a="1"/>
  <c r="AQ85" i="15" a="1"/>
  <c r="T85" i="15" a="1"/>
  <c r="S85" i="15" a="1"/>
  <c r="AV51" i="15" a="1"/>
  <c r="AV59" i="15" a="1"/>
  <c r="F85" i="15" a="1"/>
  <c r="AP147" i="15" l="1"/>
  <c r="AH147" i="15"/>
  <c r="Z147" i="15"/>
  <c r="V147" i="15"/>
  <c r="AT147" i="15"/>
  <c r="AL147" i="15"/>
  <c r="AD147" i="15"/>
  <c r="R147" i="15"/>
  <c r="AS55" i="8"/>
  <c r="AS56" i="8"/>
  <c r="AS54" i="8"/>
  <c r="AS53" i="8"/>
  <c r="AS52" i="8"/>
  <c r="AS79" i="8"/>
  <c r="AS77" i="8"/>
  <c r="AS78" i="8"/>
  <c r="AS76" i="8"/>
  <c r="AS80" i="8"/>
  <c r="N147" i="15"/>
  <c r="F147" i="15"/>
  <c r="J147" i="15"/>
  <c r="AU147" i="15"/>
  <c r="AR147" i="15"/>
  <c r="AN147" i="15"/>
  <c r="AJ147" i="15"/>
  <c r="AF147" i="15"/>
  <c r="AC147" i="15"/>
  <c r="X147" i="15"/>
  <c r="T147" i="15"/>
  <c r="P147" i="15"/>
  <c r="L147" i="15"/>
  <c r="H147" i="15"/>
  <c r="AS147" i="15"/>
  <c r="AO147" i="15"/>
  <c r="AK147" i="15"/>
  <c r="AG147" i="15"/>
  <c r="AB147" i="15"/>
  <c r="Y147" i="15"/>
  <c r="U147" i="15"/>
  <c r="Q147" i="15"/>
  <c r="M147" i="15"/>
  <c r="I147" i="15"/>
  <c r="E147" i="15"/>
  <c r="AQ147" i="15"/>
  <c r="AM147" i="15"/>
  <c r="AI147" i="15"/>
  <c r="AE147" i="15"/>
  <c r="AA147" i="15"/>
  <c r="W147" i="15"/>
  <c r="S147" i="15"/>
  <c r="O147" i="15"/>
  <c r="K147" i="15"/>
  <c r="G147" i="15"/>
  <c r="D85" i="15"/>
  <c r="D148" i="15" s="1"/>
  <c r="B148" i="15"/>
  <c r="C85" i="15"/>
  <c r="C148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V148" i="15" s="1"/>
  <c r="W85" i="15"/>
  <c r="X85" i="15"/>
  <c r="Y85" i="15"/>
  <c r="Z85" i="15"/>
  <c r="Z148" i="15" s="1"/>
  <c r="AA85" i="15"/>
  <c r="AB85" i="15"/>
  <c r="AC85" i="15"/>
  <c r="AD85" i="15"/>
  <c r="AD148" i="15" s="1"/>
  <c r="AE85" i="15"/>
  <c r="AF85" i="15"/>
  <c r="AG85" i="15"/>
  <c r="AH85" i="15"/>
  <c r="AH148" i="15" s="1"/>
  <c r="AI85" i="15"/>
  <c r="AJ85" i="15"/>
  <c r="AK85" i="15"/>
  <c r="AL85" i="15"/>
  <c r="AL148" i="15" s="1"/>
  <c r="AM85" i="15"/>
  <c r="AN85" i="15"/>
  <c r="AO85" i="15"/>
  <c r="AP85" i="15"/>
  <c r="AP148" i="15" s="1"/>
  <c r="AQ85" i="15"/>
  <c r="AR85" i="15"/>
  <c r="AS85" i="15"/>
  <c r="AT85" i="15"/>
  <c r="AT148" i="15" s="1"/>
  <c r="AU85" i="15"/>
  <c r="AV43" i="15"/>
  <c r="AV106" i="15" s="1"/>
  <c r="AV58" i="15"/>
  <c r="AV121" i="15" s="1"/>
  <c r="AV54" i="15"/>
  <c r="AV117" i="15" s="1"/>
  <c r="AV60" i="15"/>
  <c r="AV123" i="15" s="1"/>
  <c r="AV52" i="15"/>
  <c r="AV115" i="15" s="1"/>
  <c r="AV66" i="15"/>
  <c r="AV129" i="15" s="1"/>
  <c r="AV63" i="15"/>
  <c r="AV126" i="15" s="1"/>
  <c r="AV73" i="15"/>
  <c r="AV136" i="15" s="1"/>
  <c r="AV71" i="15"/>
  <c r="AV134" i="15" s="1"/>
  <c r="AV79" i="15"/>
  <c r="AV142" i="15" s="1"/>
  <c r="AV85" i="15"/>
  <c r="AV148" i="15" s="1"/>
  <c r="AV45" i="15"/>
  <c r="AV108" i="15" s="1"/>
  <c r="AV47" i="15"/>
  <c r="AV110" i="15" s="1"/>
  <c r="AV55" i="15"/>
  <c r="AV118" i="15" s="1"/>
  <c r="AV48" i="15"/>
  <c r="AV111" i="15" s="1"/>
  <c r="AV61" i="15"/>
  <c r="AV124" i="15" s="1"/>
  <c r="AV67" i="15"/>
  <c r="AV130" i="15" s="1"/>
  <c r="AV64" i="15"/>
  <c r="AV127" i="15" s="1"/>
  <c r="AV74" i="15"/>
  <c r="AV137" i="15" s="1"/>
  <c r="AV72" i="15"/>
  <c r="AV135" i="15" s="1"/>
  <c r="AV80" i="15"/>
  <c r="AV143" i="15" s="1"/>
  <c r="AV83" i="15"/>
  <c r="AV146" i="15" s="1"/>
  <c r="AV44" i="15"/>
  <c r="AV107" i="15" s="1"/>
  <c r="AV51" i="15"/>
  <c r="AV114" i="15" s="1"/>
  <c r="AV56" i="15"/>
  <c r="AV119" i="15" s="1"/>
  <c r="AV49" i="15"/>
  <c r="AV112" i="15" s="1"/>
  <c r="AV65" i="15"/>
  <c r="AV128" i="15" s="1"/>
  <c r="AV69" i="15"/>
  <c r="AV132" i="15" s="1"/>
  <c r="AV68" i="15"/>
  <c r="AV131" i="15" s="1"/>
  <c r="AV75" i="15"/>
  <c r="AV138" i="15" s="1"/>
  <c r="AV76" i="15"/>
  <c r="AV139" i="15" s="1"/>
  <c r="AV81" i="15"/>
  <c r="AV144" i="15" s="1"/>
  <c r="AV84" i="15"/>
  <c r="AV147" i="15" s="1"/>
  <c r="AV46" i="15"/>
  <c r="AV109" i="15" s="1"/>
  <c r="AV53" i="15"/>
  <c r="AV116" i="15" s="1"/>
  <c r="AV57" i="15"/>
  <c r="AV120" i="15" s="1"/>
  <c r="AV50" i="15"/>
  <c r="AV113" i="15" s="1"/>
  <c r="AV62" i="15"/>
  <c r="AV125" i="15" s="1"/>
  <c r="AV59" i="15"/>
  <c r="AV122" i="15" s="1"/>
  <c r="AV70" i="15"/>
  <c r="AV133" i="15" s="1"/>
  <c r="AV77" i="15"/>
  <c r="AV140" i="15" s="1"/>
  <c r="AV78" i="15"/>
  <c r="AV141" i="15" s="1"/>
  <c r="AV82" i="15"/>
  <c r="AV145" i="15" s="1"/>
  <c r="AV39" i="15"/>
  <c r="AV105" i="15" s="1"/>
  <c r="AX38" i="15"/>
  <c r="B86" i="15"/>
  <c r="B209" i="15" s="1"/>
  <c r="AR92" i="8"/>
  <c r="AS104" i="8"/>
  <c r="AS86" i="8"/>
  <c r="AS74" i="8"/>
  <c r="AS68" i="8"/>
  <c r="AS62" i="8"/>
  <c r="AR98" i="8"/>
  <c r="AR90" i="8"/>
  <c r="AR91" i="8"/>
  <c r="AS60" i="8"/>
  <c r="AS59" i="8"/>
  <c r="AS61" i="8"/>
  <c r="AS67" i="8"/>
  <c r="AS66" i="8"/>
  <c r="AS65" i="8"/>
  <c r="AS71" i="8"/>
  <c r="AS72" i="8"/>
  <c r="AS73" i="8"/>
  <c r="AS83" i="8"/>
  <c r="AS84" i="8"/>
  <c r="AS85" i="8"/>
  <c r="AR89" i="8"/>
  <c r="AR97" i="8"/>
  <c r="AS102" i="8"/>
  <c r="AS58" i="8"/>
  <c r="AS64" i="8"/>
  <c r="AS82" i="8"/>
  <c r="AS70" i="8"/>
  <c r="AS103" i="8"/>
  <c r="AS101" i="8"/>
  <c r="AS100" i="8"/>
  <c r="AR95" i="8"/>
  <c r="AR88" i="8"/>
  <c r="AR94" i="8"/>
  <c r="AT50" i="8"/>
  <c r="AR96" i="8"/>
  <c r="AD86" i="15" a="1"/>
  <c r="AI86" i="15" a="1"/>
  <c r="AW59" i="15" a="1"/>
  <c r="AS86" i="15" a="1"/>
  <c r="AW73" i="15" a="1"/>
  <c r="AL86" i="15" a="1"/>
  <c r="AT85" i="8" a="1"/>
  <c r="AW71" i="15" a="1"/>
  <c r="F86" i="15" a="1"/>
  <c r="AW62" i="15" a="1"/>
  <c r="AW44" i="15" a="1"/>
  <c r="I86" i="15" a="1"/>
  <c r="U86" i="15" a="1"/>
  <c r="AT65" i="8" a="1"/>
  <c r="AT86" i="8" a="1"/>
  <c r="Y86" i="15" a="1"/>
  <c r="G86" i="15" a="1"/>
  <c r="AT68" i="8" a="1"/>
  <c r="AW57" i="15" a="1"/>
  <c r="AW64" i="15" a="1"/>
  <c r="T86" i="15" a="1"/>
  <c r="AW70" i="15" a="1"/>
  <c r="AW49" i="15" a="1"/>
  <c r="AW45" i="15" a="1"/>
  <c r="AT56" i="8" a="1"/>
  <c r="AW80" i="15" a="1"/>
  <c r="AT54" i="8" a="1"/>
  <c r="AE86" i="15" a="1"/>
  <c r="AW86" i="15" a="1"/>
  <c r="AT84" i="8" a="1"/>
  <c r="O86" i="15" a="1"/>
  <c r="X86" i="15" a="1"/>
  <c r="M86" i="15" a="1"/>
  <c r="AW78" i="15" a="1"/>
  <c r="AW69" i="15" a="1"/>
  <c r="AW85" i="15" a="1"/>
  <c r="AW82" i="15" a="1"/>
  <c r="J86" i="15" a="1"/>
  <c r="AT82" i="8" a="1"/>
  <c r="AU86" i="15" a="1"/>
  <c r="AK86" i="15" a="1"/>
  <c r="AW60" i="15" a="1"/>
  <c r="AT70" i="8" a="1"/>
  <c r="AW79" i="15" a="1"/>
  <c r="AW54" i="15" a="1"/>
  <c r="E86" i="15" a="1"/>
  <c r="AW66" i="15" a="1"/>
  <c r="AW47" i="15" a="1"/>
  <c r="AW84" i="15" a="1"/>
  <c r="AW76" i="15" a="1"/>
  <c r="AT61" i="8" a="1"/>
  <c r="AT74" i="8" a="1"/>
  <c r="AT52" i="8" a="1"/>
  <c r="AW55" i="15" a="1"/>
  <c r="AW48" i="15" a="1"/>
  <c r="AW63" i="15" a="1"/>
  <c r="R86" i="15" a="1"/>
  <c r="AT53" i="8" a="1"/>
  <c r="AT101" i="8" a="1"/>
  <c r="AT100" i="8" a="1"/>
  <c r="AT55" i="8" a="1"/>
  <c r="AT104" i="8" a="1"/>
  <c r="AW75" i="15" a="1"/>
  <c r="AH86" i="15" a="1"/>
  <c r="AT60" i="8" a="1"/>
  <c r="N86" i="15" a="1"/>
  <c r="K86" i="15" a="1"/>
  <c r="AW77" i="15" a="1"/>
  <c r="AW39" i="15" a="1"/>
  <c r="AR86" i="15" a="1"/>
  <c r="AT58" i="8" a="1"/>
  <c r="S86" i="15" a="1"/>
  <c r="AT78" i="8" a="1"/>
  <c r="AA86" i="15" a="1"/>
  <c r="AT80" i="8" a="1"/>
  <c r="Q86" i="15" a="1"/>
  <c r="AG86" i="15" a="1"/>
  <c r="AT66" i="8" a="1"/>
  <c r="AW58" i="15" a="1"/>
  <c r="W86" i="15" a="1"/>
  <c r="AT71" i="8" a="1"/>
  <c r="AW51" i="15" a="1"/>
  <c r="H86" i="15" a="1"/>
  <c r="AW61" i="15" a="1"/>
  <c r="AN86" i="15" a="1"/>
  <c r="C86" i="15" a="1"/>
  <c r="AW52" i="15" a="1"/>
  <c r="AW50" i="15" a="1"/>
  <c r="AW83" i="15" a="1"/>
  <c r="AV86" i="15" a="1"/>
  <c r="AT79" i="8" a="1"/>
  <c r="AC86" i="15" a="1"/>
  <c r="AM86" i="15" a="1"/>
  <c r="AW72" i="15" a="1"/>
  <c r="AT62" i="8" a="1"/>
  <c r="AW43" i="15" a="1"/>
  <c r="AT64" i="8" a="1"/>
  <c r="AO86" i="15" a="1"/>
  <c r="AW81" i="15" a="1"/>
  <c r="AT67" i="8" a="1"/>
  <c r="AW53" i="15" a="1"/>
  <c r="AF86" i="15" a="1"/>
  <c r="AW67" i="15" a="1"/>
  <c r="AB86" i="15" a="1"/>
  <c r="P86" i="15" a="1"/>
  <c r="D86" i="15" a="1"/>
  <c r="AQ86" i="15" a="1"/>
  <c r="AJ86" i="15" a="1"/>
  <c r="AP86" i="15" a="1"/>
  <c r="AW74" i="15" a="1"/>
  <c r="L86" i="15" a="1"/>
  <c r="AT102" i="8" a="1"/>
  <c r="AT76" i="8" a="1"/>
  <c r="AT83" i="8" a="1"/>
  <c r="AW56" i="15" a="1"/>
  <c r="AT72" i="8" a="1"/>
  <c r="AW65" i="15" a="1"/>
  <c r="AW68" i="15" a="1"/>
  <c r="AW46" i="15" a="1"/>
  <c r="AT103" i="8" a="1"/>
  <c r="AT77" i="8" a="1"/>
  <c r="AT73" i="8" a="1"/>
  <c r="V86" i="15" a="1"/>
  <c r="Z86" i="15" a="1"/>
  <c r="AT86" i="15" a="1"/>
  <c r="AT59" i="8" a="1"/>
  <c r="AT52" i="8" l="1"/>
  <c r="AT53" i="8"/>
  <c r="AT55" i="8"/>
  <c r="AT56" i="8"/>
  <c r="AT54" i="8"/>
  <c r="AT79" i="8"/>
  <c r="AT77" i="8"/>
  <c r="AT76" i="8"/>
  <c r="AT80" i="8"/>
  <c r="AT78" i="8"/>
  <c r="R148" i="15"/>
  <c r="N148" i="15"/>
  <c r="K148" i="15"/>
  <c r="AR148" i="15"/>
  <c r="AN148" i="15"/>
  <c r="AJ148" i="15"/>
  <c r="AF148" i="15"/>
  <c r="AB148" i="15"/>
  <c r="X148" i="15"/>
  <c r="T148" i="15"/>
  <c r="P148" i="15"/>
  <c r="F148" i="15"/>
  <c r="AS148" i="15"/>
  <c r="AO148" i="15"/>
  <c r="AK148" i="15"/>
  <c r="AG148" i="15"/>
  <c r="AC148" i="15"/>
  <c r="Y148" i="15"/>
  <c r="U148" i="15"/>
  <c r="Q148" i="15"/>
  <c r="M148" i="15"/>
  <c r="I148" i="15"/>
  <c r="E148" i="15"/>
  <c r="L148" i="15"/>
  <c r="H148" i="15"/>
  <c r="AU148" i="15"/>
  <c r="AQ148" i="15"/>
  <c r="AM148" i="15"/>
  <c r="AI148" i="15"/>
  <c r="AE148" i="15"/>
  <c r="AA148" i="15"/>
  <c r="W148" i="15"/>
  <c r="S148" i="15"/>
  <c r="O148" i="15"/>
  <c r="J148" i="15"/>
  <c r="G148" i="15"/>
  <c r="D86" i="15"/>
  <c r="D149" i="15" s="1"/>
  <c r="B149" i="15"/>
  <c r="C86" i="15"/>
  <c r="C149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C86" i="15"/>
  <c r="AB86" i="15"/>
  <c r="AD86" i="15"/>
  <c r="AE86" i="15"/>
  <c r="AF86" i="15"/>
  <c r="AG86" i="15"/>
  <c r="AH86" i="15"/>
  <c r="AH149" i="15" s="1"/>
  <c r="AI86" i="15"/>
  <c r="AJ86" i="15"/>
  <c r="AK86" i="15"/>
  <c r="AL86" i="15"/>
  <c r="AL149" i="15" s="1"/>
  <c r="AM86" i="15"/>
  <c r="AN86" i="15"/>
  <c r="AO86" i="15"/>
  <c r="AP86" i="15"/>
  <c r="AP149" i="15" s="1"/>
  <c r="AQ86" i="15"/>
  <c r="AR86" i="15"/>
  <c r="AS86" i="15"/>
  <c r="AT86" i="15"/>
  <c r="AT149" i="15" s="1"/>
  <c r="AU86" i="15"/>
  <c r="AV86" i="15"/>
  <c r="AW49" i="15"/>
  <c r="AW112" i="15" s="1"/>
  <c r="AW57" i="15"/>
  <c r="AW120" i="15" s="1"/>
  <c r="AW75" i="15"/>
  <c r="AW138" i="15" s="1"/>
  <c r="AW45" i="15"/>
  <c r="AW108" i="15" s="1"/>
  <c r="AW51" i="15"/>
  <c r="AW114" i="15" s="1"/>
  <c r="AW47" i="15"/>
  <c r="AW110" i="15" s="1"/>
  <c r="AW54" i="15"/>
  <c r="AW117" i="15" s="1"/>
  <c r="AW59" i="15"/>
  <c r="AW122" i="15" s="1"/>
  <c r="AW61" i="15"/>
  <c r="AW124" i="15" s="1"/>
  <c r="AW67" i="15"/>
  <c r="AW130" i="15" s="1"/>
  <c r="AW71" i="15"/>
  <c r="AW134" i="15" s="1"/>
  <c r="AW77" i="15"/>
  <c r="AW140" i="15" s="1"/>
  <c r="AW83" i="15"/>
  <c r="AW146" i="15" s="1"/>
  <c r="AW81" i="15"/>
  <c r="AW144" i="15" s="1"/>
  <c r="AW43" i="15"/>
  <c r="AW106" i="15" s="1"/>
  <c r="AW53" i="15"/>
  <c r="AW116" i="15" s="1"/>
  <c r="AW72" i="15"/>
  <c r="AW135" i="15" s="1"/>
  <c r="AW70" i="15"/>
  <c r="AW133" i="15" s="1"/>
  <c r="AW80" i="15"/>
  <c r="AW143" i="15" s="1"/>
  <c r="AW44" i="15"/>
  <c r="AW107" i="15" s="1"/>
  <c r="AW52" i="15"/>
  <c r="AW115" i="15" s="1"/>
  <c r="AW48" i="15"/>
  <c r="AW111" i="15" s="1"/>
  <c r="AW55" i="15"/>
  <c r="AW118" i="15" s="1"/>
  <c r="AW63" i="15"/>
  <c r="AW126" i="15" s="1"/>
  <c r="AW65" i="15"/>
  <c r="AW128" i="15" s="1"/>
  <c r="AW68" i="15"/>
  <c r="AW131" i="15" s="1"/>
  <c r="AW73" i="15"/>
  <c r="AW136" i="15" s="1"/>
  <c r="AW79" i="15"/>
  <c r="AW142" i="15" s="1"/>
  <c r="AW84" i="15"/>
  <c r="AW147" i="15" s="1"/>
  <c r="AW82" i="15"/>
  <c r="AW145" i="15" s="1"/>
  <c r="AW60" i="15"/>
  <c r="AW123" i="15" s="1"/>
  <c r="AW66" i="15"/>
  <c r="AW129" i="15" s="1"/>
  <c r="AW76" i="15"/>
  <c r="AW139" i="15" s="1"/>
  <c r="AW46" i="15"/>
  <c r="AW109" i="15" s="1"/>
  <c r="AW58" i="15"/>
  <c r="AW121" i="15" s="1"/>
  <c r="AW50" i="15"/>
  <c r="AW113" i="15" s="1"/>
  <c r="AW56" i="15"/>
  <c r="AW119" i="15" s="1"/>
  <c r="AW64" i="15"/>
  <c r="AW127" i="15" s="1"/>
  <c r="AW62" i="15"/>
  <c r="AW125" i="15" s="1"/>
  <c r="AW69" i="15"/>
  <c r="AW132" i="15" s="1"/>
  <c r="AW74" i="15"/>
  <c r="AW137" i="15" s="1"/>
  <c r="AW78" i="15"/>
  <c r="AW141" i="15" s="1"/>
  <c r="AW85" i="15"/>
  <c r="AW148" i="15" s="1"/>
  <c r="AW86" i="15"/>
  <c r="AW39" i="15"/>
  <c r="AW105" i="15" s="1"/>
  <c r="AY38" i="15"/>
  <c r="B87" i="15"/>
  <c r="B210" i="15" s="1"/>
  <c r="AS98" i="8"/>
  <c r="AT104" i="8"/>
  <c r="AT86" i="8"/>
  <c r="AT74" i="8"/>
  <c r="AT68" i="8"/>
  <c r="AT62" i="8"/>
  <c r="AS92" i="8"/>
  <c r="AS91" i="8"/>
  <c r="AT59" i="8"/>
  <c r="AT61" i="8"/>
  <c r="AT60" i="8"/>
  <c r="AT67" i="8"/>
  <c r="AT66" i="8"/>
  <c r="AT65" i="8"/>
  <c r="AT71" i="8"/>
  <c r="AT73" i="8"/>
  <c r="AT72" i="8"/>
  <c r="AT85" i="8"/>
  <c r="AT84" i="8"/>
  <c r="AT83" i="8"/>
  <c r="AS90" i="8"/>
  <c r="AS89" i="8"/>
  <c r="AS95" i="8"/>
  <c r="AT102" i="8"/>
  <c r="AT58" i="8"/>
  <c r="AT64" i="8"/>
  <c r="AT82" i="8"/>
  <c r="AT70" i="8"/>
  <c r="AT103" i="8"/>
  <c r="AT101" i="8"/>
  <c r="AT100" i="8"/>
  <c r="AU50" i="8"/>
  <c r="AS96" i="8"/>
  <c r="AS97" i="8"/>
  <c r="AS88" i="8"/>
  <c r="AS94" i="8"/>
  <c r="AU80" i="8" a="1"/>
  <c r="AX62" i="15" a="1"/>
  <c r="AC87" i="15" a="1"/>
  <c r="AX59" i="15" a="1"/>
  <c r="X87" i="15" a="1"/>
  <c r="AU64" i="8" a="1"/>
  <c r="AU58" i="8" a="1"/>
  <c r="AX51" i="15" a="1"/>
  <c r="AX63" i="15" a="1"/>
  <c r="AX48" i="15" a="1"/>
  <c r="AU71" i="8" a="1"/>
  <c r="AX50" i="15" a="1"/>
  <c r="AF87" i="15" a="1"/>
  <c r="AX54" i="15" a="1"/>
  <c r="AE87" i="15" a="1"/>
  <c r="Y87" i="15" a="1"/>
  <c r="I87" i="15" a="1"/>
  <c r="AM87" i="15" a="1"/>
  <c r="AU82" i="8" a="1"/>
  <c r="AX45" i="15" a="1"/>
  <c r="AU104" i="8" a="1"/>
  <c r="AX46" i="15" a="1"/>
  <c r="V87" i="15" a="1"/>
  <c r="AU79" i="8" a="1"/>
  <c r="AU62" i="8" a="1"/>
  <c r="AX76" i="15" a="1"/>
  <c r="AU100" i="8" a="1"/>
  <c r="AX80" i="15" a="1"/>
  <c r="AK87" i="15" a="1"/>
  <c r="AO87" i="15" a="1"/>
  <c r="AU68" i="8" a="1"/>
  <c r="AU66" i="8" a="1"/>
  <c r="AU52" i="8" a="1"/>
  <c r="AX49" i="15" a="1"/>
  <c r="AX71" i="15" a="1"/>
  <c r="AX56" i="15" a="1"/>
  <c r="AS87" i="15" a="1"/>
  <c r="AX82" i="15" a="1"/>
  <c r="AX83" i="15" a="1"/>
  <c r="AU53" i="8" a="1"/>
  <c r="AU102" i="8" a="1"/>
  <c r="AL87" i="15" a="1"/>
  <c r="AU70" i="8" a="1"/>
  <c r="M87" i="15" a="1"/>
  <c r="AA87" i="15" a="1"/>
  <c r="G87" i="15" a="1"/>
  <c r="D87" i="15" a="1"/>
  <c r="AX70" i="15" a="1"/>
  <c r="AU54" i="8" a="1"/>
  <c r="AU84" i="8" a="1"/>
  <c r="AU78" i="8" a="1"/>
  <c r="K87" i="15" a="1"/>
  <c r="E87" i="15" a="1"/>
  <c r="AX61" i="15" a="1"/>
  <c r="AU72" i="8" a="1"/>
  <c r="AU65" i="8" a="1"/>
  <c r="AX58" i="15" a="1"/>
  <c r="AU59" i="8" a="1"/>
  <c r="AR87" i="15" a="1"/>
  <c r="AX86" i="15" a="1"/>
  <c r="AU77" i="8" a="1"/>
  <c r="AX69" i="15" a="1"/>
  <c r="AX68" i="15" a="1"/>
  <c r="AX60" i="15" a="1"/>
  <c r="AX85" i="15" a="1"/>
  <c r="R87" i="15" a="1"/>
  <c r="U87" i="15" a="1"/>
  <c r="AX87" i="15" a="1"/>
  <c r="AU61" i="8" a="1"/>
  <c r="AW87" i="15" a="1"/>
  <c r="P87" i="15" a="1"/>
  <c r="AU83" i="8" a="1"/>
  <c r="W87" i="15" a="1"/>
  <c r="AX39" i="15" a="1"/>
  <c r="AG87" i="15" a="1"/>
  <c r="AU74" i="8" a="1"/>
  <c r="AX72" i="15" a="1"/>
  <c r="AJ87" i="15" a="1"/>
  <c r="AX44" i="15" a="1"/>
  <c r="S87" i="15" a="1"/>
  <c r="F87" i="15" a="1"/>
  <c r="T87" i="15" a="1"/>
  <c r="AX75" i="15" a="1"/>
  <c r="AP87" i="15" a="1"/>
  <c r="AU85" i="8" a="1"/>
  <c r="AX66" i="15" a="1"/>
  <c r="AX77" i="15" a="1"/>
  <c r="AU56" i="8" a="1"/>
  <c r="AU55" i="8" a="1"/>
  <c r="AX43" i="15" a="1"/>
  <c r="AX67" i="15" a="1"/>
  <c r="AX64" i="15" a="1"/>
  <c r="AT87" i="15" a="1"/>
  <c r="Z87" i="15" a="1"/>
  <c r="AX53" i="15" a="1"/>
  <c r="AX79" i="15" a="1"/>
  <c r="AX74" i="15" a="1"/>
  <c r="H87" i="15" a="1"/>
  <c r="AU76" i="8" a="1"/>
  <c r="C87" i="15" a="1"/>
  <c r="O87" i="15" a="1"/>
  <c r="AX55" i="15" a="1"/>
  <c r="AU101" i="8" a="1"/>
  <c r="AX81" i="15" a="1"/>
  <c r="Q87" i="15" a="1"/>
  <c r="AU67" i="8" a="1"/>
  <c r="AX65" i="15" a="1"/>
  <c r="J87" i="15" a="1"/>
  <c r="AX84" i="15" a="1"/>
  <c r="L87" i="15" a="1"/>
  <c r="AI87" i="15" a="1"/>
  <c r="AN87" i="15" a="1"/>
  <c r="AB87" i="15" a="1"/>
  <c r="AH87" i="15" a="1"/>
  <c r="AD87" i="15" a="1"/>
  <c r="N87" i="15" a="1"/>
  <c r="AU60" i="8" a="1"/>
  <c r="AV87" i="15" a="1"/>
  <c r="AU86" i="8" a="1"/>
  <c r="AX52" i="15" a="1"/>
  <c r="AU103" i="8" a="1"/>
  <c r="AX78" i="15" a="1"/>
  <c r="AQ87" i="15" a="1"/>
  <c r="AX47" i="15" a="1"/>
  <c r="AU87" i="15" a="1"/>
  <c r="AU73" i="8" a="1"/>
  <c r="AX57" i="15" a="1"/>
  <c r="AX73" i="15" a="1"/>
  <c r="Z149" i="15" l="1"/>
  <c r="AD149" i="15"/>
  <c r="V149" i="15"/>
  <c r="R149" i="15"/>
  <c r="N149" i="15"/>
  <c r="AU54" i="8"/>
  <c r="AU53" i="8"/>
  <c r="AU52" i="8"/>
  <c r="AU56" i="8"/>
  <c r="AU55" i="8"/>
  <c r="AU77" i="8"/>
  <c r="AU78" i="8"/>
  <c r="AU76" i="8"/>
  <c r="AU79" i="8"/>
  <c r="AU80" i="8"/>
  <c r="K149" i="15"/>
  <c r="F149" i="15"/>
  <c r="AW149" i="15"/>
  <c r="AV149" i="15"/>
  <c r="AR149" i="15"/>
  <c r="AN149" i="15"/>
  <c r="AJ149" i="15"/>
  <c r="AF149" i="15"/>
  <c r="AC149" i="15"/>
  <c r="X149" i="15"/>
  <c r="T149" i="15"/>
  <c r="P149" i="15"/>
  <c r="L149" i="15"/>
  <c r="H149" i="15"/>
  <c r="AS149" i="15"/>
  <c r="AO149" i="15"/>
  <c r="AK149" i="15"/>
  <c r="AG149" i="15"/>
  <c r="AB149" i="15"/>
  <c r="Y149" i="15"/>
  <c r="U149" i="15"/>
  <c r="Q149" i="15"/>
  <c r="M149" i="15"/>
  <c r="I149" i="15"/>
  <c r="E149" i="15"/>
  <c r="AU149" i="15"/>
  <c r="AQ149" i="15"/>
  <c r="AM149" i="15"/>
  <c r="AI149" i="15"/>
  <c r="AE149" i="15"/>
  <c r="AA149" i="15"/>
  <c r="W149" i="15"/>
  <c r="S149" i="15"/>
  <c r="O149" i="15"/>
  <c r="J149" i="15"/>
  <c r="G149" i="15"/>
  <c r="D87" i="15"/>
  <c r="D150" i="15" s="1"/>
  <c r="B150" i="15"/>
  <c r="C87" i="15"/>
  <c r="C150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AH87" i="15"/>
  <c r="AH150" i="15" s="1"/>
  <c r="AI87" i="15"/>
  <c r="AJ87" i="15"/>
  <c r="AK87" i="15"/>
  <c r="AL87" i="15"/>
  <c r="AL150" i="15" s="1"/>
  <c r="AM87" i="15"/>
  <c r="AN87" i="15"/>
  <c r="AO87" i="15"/>
  <c r="AP87" i="15"/>
  <c r="AP150" i="15" s="1"/>
  <c r="AQ87" i="15"/>
  <c r="AR87" i="15"/>
  <c r="AS87" i="15"/>
  <c r="AT87" i="15"/>
  <c r="AT150" i="15" s="1"/>
  <c r="AU87" i="15"/>
  <c r="AV87" i="15"/>
  <c r="AW87" i="15"/>
  <c r="AX71" i="15"/>
  <c r="AX134" i="15" s="1"/>
  <c r="AX52" i="15"/>
  <c r="AX115" i="15" s="1"/>
  <c r="AX66" i="15"/>
  <c r="AX129" i="15" s="1"/>
  <c r="AX82" i="15"/>
  <c r="AX145" i="15" s="1"/>
  <c r="AX47" i="15"/>
  <c r="AX110" i="15" s="1"/>
  <c r="AX61" i="15"/>
  <c r="AX124" i="15" s="1"/>
  <c r="AX64" i="15"/>
  <c r="AX127" i="15" s="1"/>
  <c r="AX69" i="15"/>
  <c r="AX132" i="15" s="1"/>
  <c r="AX73" i="15"/>
  <c r="AX136" i="15" s="1"/>
  <c r="AX79" i="15"/>
  <c r="AX142" i="15" s="1"/>
  <c r="AX83" i="15"/>
  <c r="AX146" i="15" s="1"/>
  <c r="AX86" i="15"/>
  <c r="AX149" i="15" s="1"/>
  <c r="AX46" i="15"/>
  <c r="AX109" i="15" s="1"/>
  <c r="AX48" i="15"/>
  <c r="AX111" i="15" s="1"/>
  <c r="AX54" i="15"/>
  <c r="AX117" i="15" s="1"/>
  <c r="AX49" i="15"/>
  <c r="AX112" i="15" s="1"/>
  <c r="AX58" i="15"/>
  <c r="AX121" i="15" s="1"/>
  <c r="AX68" i="15"/>
  <c r="AX131" i="15" s="1"/>
  <c r="AX74" i="15"/>
  <c r="AX137" i="15" s="1"/>
  <c r="AX76" i="15"/>
  <c r="AX139" i="15" s="1"/>
  <c r="AX75" i="15"/>
  <c r="AX138" i="15" s="1"/>
  <c r="AX80" i="15"/>
  <c r="AX143" i="15" s="1"/>
  <c r="AX84" i="15"/>
  <c r="AX147" i="15" s="1"/>
  <c r="AX87" i="15"/>
  <c r="AX45" i="15"/>
  <c r="AX108" i="15" s="1"/>
  <c r="AX59" i="15"/>
  <c r="AX122" i="15" s="1"/>
  <c r="AX67" i="15"/>
  <c r="AX130" i="15" s="1"/>
  <c r="AX44" i="15"/>
  <c r="AX107" i="15" s="1"/>
  <c r="AX57" i="15"/>
  <c r="AX120" i="15" s="1"/>
  <c r="AX53" i="15"/>
  <c r="AX116" i="15" s="1"/>
  <c r="AX63" i="15"/>
  <c r="AX126" i="15" s="1"/>
  <c r="AX43" i="15"/>
  <c r="AX106" i="15" s="1"/>
  <c r="AX50" i="15"/>
  <c r="AX113" i="15" s="1"/>
  <c r="AX55" i="15"/>
  <c r="AX118" i="15" s="1"/>
  <c r="AX51" i="15"/>
  <c r="AX114" i="15" s="1"/>
  <c r="AX62" i="15"/>
  <c r="AX125" i="15" s="1"/>
  <c r="AX70" i="15"/>
  <c r="AX133" i="15" s="1"/>
  <c r="AX65" i="15"/>
  <c r="AX128" i="15" s="1"/>
  <c r="AX72" i="15"/>
  <c r="AX135" i="15" s="1"/>
  <c r="AX77" i="15"/>
  <c r="AX140" i="15" s="1"/>
  <c r="AX81" i="15"/>
  <c r="AX144" i="15" s="1"/>
  <c r="AX85" i="15"/>
  <c r="AX148" i="15" s="1"/>
  <c r="AX56" i="15"/>
  <c r="AX119" i="15" s="1"/>
  <c r="AX60" i="15"/>
  <c r="AX123" i="15" s="1"/>
  <c r="AX78" i="15"/>
  <c r="AX141" i="15" s="1"/>
  <c r="AX39" i="15"/>
  <c r="AX105" i="15" s="1"/>
  <c r="AZ38" i="15"/>
  <c r="B88" i="15"/>
  <c r="B211" i="15" s="1"/>
  <c r="AT98" i="8"/>
  <c r="AU104" i="8"/>
  <c r="AU86" i="8"/>
  <c r="AU74" i="8"/>
  <c r="AU68" i="8"/>
  <c r="AU62" i="8"/>
  <c r="AT92" i="8"/>
  <c r="AT91" i="8"/>
  <c r="AT89" i="8"/>
  <c r="AU60" i="8"/>
  <c r="AU59" i="8"/>
  <c r="AU61" i="8"/>
  <c r="AU66" i="8"/>
  <c r="AU67" i="8"/>
  <c r="AU65" i="8"/>
  <c r="AU71" i="8"/>
  <c r="AU72" i="8"/>
  <c r="AU73" i="8"/>
  <c r="AU84" i="8"/>
  <c r="AU85" i="8"/>
  <c r="AU83" i="8"/>
  <c r="AT90" i="8"/>
  <c r="AT96" i="8"/>
  <c r="AU102" i="8"/>
  <c r="AU58" i="8"/>
  <c r="AU64" i="8"/>
  <c r="AU82" i="8"/>
  <c r="AU70" i="8"/>
  <c r="AU103" i="8"/>
  <c r="AU101" i="8"/>
  <c r="AU100" i="8"/>
  <c r="AT95" i="8"/>
  <c r="AT88" i="8"/>
  <c r="AT94" i="8"/>
  <c r="AV50" i="8"/>
  <c r="AT97" i="8"/>
  <c r="AV61" i="8" a="1"/>
  <c r="C88" i="15" a="1"/>
  <c r="AY83" i="15" a="1"/>
  <c r="AY81" i="15" a="1"/>
  <c r="AV56" i="8" a="1"/>
  <c r="AV74" i="8" a="1"/>
  <c r="AH88" i="15" a="1"/>
  <c r="AY47" i="15" a="1"/>
  <c r="AY46" i="15" a="1"/>
  <c r="AV53" i="8" a="1"/>
  <c r="AY63" i="15" a="1"/>
  <c r="AP88" i="15" a="1"/>
  <c r="M88" i="15" a="1"/>
  <c r="AY80" i="15" a="1"/>
  <c r="AV55" i="8" a="1"/>
  <c r="AQ88" i="15" a="1"/>
  <c r="AV77" i="8" a="1"/>
  <c r="AY67" i="15" a="1"/>
  <c r="Z88" i="15" a="1"/>
  <c r="AR88" i="15" a="1"/>
  <c r="AA88" i="15" a="1"/>
  <c r="AY51" i="15" a="1"/>
  <c r="AS88" i="15" a="1"/>
  <c r="AV60" i="8" a="1"/>
  <c r="AY44" i="15" a="1"/>
  <c r="AV58" i="8" a="1"/>
  <c r="AY82" i="15" a="1"/>
  <c r="AO88" i="15" a="1"/>
  <c r="AY88" i="15" a="1"/>
  <c r="AL88" i="15" a="1"/>
  <c r="AY53" i="15" a="1"/>
  <c r="L88" i="15" a="1"/>
  <c r="AV86" i="8" a="1"/>
  <c r="AY71" i="15" a="1"/>
  <c r="D88" i="15" a="1"/>
  <c r="G88" i="15" a="1"/>
  <c r="AV83" i="8" a="1"/>
  <c r="AV54" i="8" a="1"/>
  <c r="AY61" i="15" a="1"/>
  <c r="AF88" i="15" a="1"/>
  <c r="AY49" i="15" a="1"/>
  <c r="I88" i="15" a="1"/>
  <c r="AV73" i="8" a="1"/>
  <c r="AY45" i="15" a="1"/>
  <c r="AY59" i="15" a="1"/>
  <c r="P88" i="15" a="1"/>
  <c r="AY73" i="15" a="1"/>
  <c r="AY52" i="15" a="1"/>
  <c r="AY57" i="15" a="1"/>
  <c r="AK88" i="15" a="1"/>
  <c r="AV78" i="8" a="1"/>
  <c r="AY54" i="15" a="1"/>
  <c r="AY64" i="15" a="1"/>
  <c r="AY55" i="15" a="1"/>
  <c r="AY79" i="15" a="1"/>
  <c r="AY60" i="15" a="1"/>
  <c r="R88" i="15" a="1"/>
  <c r="AV71" i="8" a="1"/>
  <c r="AV79" i="8" a="1"/>
  <c r="AV70" i="8" a="1"/>
  <c r="AB88" i="15" a="1"/>
  <c r="Y88" i="15" a="1"/>
  <c r="AN88" i="15" a="1"/>
  <c r="AM88" i="15" a="1"/>
  <c r="AY66" i="15" a="1"/>
  <c r="AY75" i="15" a="1"/>
  <c r="AD88" i="15" a="1"/>
  <c r="AY84" i="15" a="1"/>
  <c r="AY58" i="15" a="1"/>
  <c r="K88" i="15" a="1"/>
  <c r="AV103" i="8" a="1"/>
  <c r="T88" i="15" a="1"/>
  <c r="J88" i="15" a="1"/>
  <c r="U88" i="15" a="1"/>
  <c r="AV80" i="8" a="1"/>
  <c r="AV66" i="8" a="1"/>
  <c r="AT88" i="15" a="1"/>
  <c r="AU88" i="15" a="1"/>
  <c r="AY68" i="15" a="1"/>
  <c r="AV67" i="8" a="1"/>
  <c r="AY56" i="15" a="1"/>
  <c r="AV85" i="8" a="1"/>
  <c r="N88" i="15" a="1"/>
  <c r="AV64" i="8" a="1"/>
  <c r="F88" i="15" a="1"/>
  <c r="AV84" i="8" a="1"/>
  <c r="AX88" i="15" a="1"/>
  <c r="AV102" i="8" a="1"/>
  <c r="AG88" i="15" a="1"/>
  <c r="AY65" i="15" a="1"/>
  <c r="AW88" i="15" a="1"/>
  <c r="H88" i="15" a="1"/>
  <c r="AV82" i="8" a="1"/>
  <c r="S88" i="15" a="1"/>
  <c r="AI88" i="15" a="1"/>
  <c r="AY69" i="15" a="1"/>
  <c r="AY77" i="15" a="1"/>
  <c r="AY72" i="15" a="1"/>
  <c r="AY43" i="15" a="1"/>
  <c r="AY62" i="15" a="1"/>
  <c r="AV101" i="8" a="1"/>
  <c r="AV65" i="8" a="1"/>
  <c r="AJ88" i="15" a="1"/>
  <c r="AY39" i="15" a="1"/>
  <c r="AV59" i="8" a="1"/>
  <c r="AY78" i="15" a="1"/>
  <c r="AY76" i="15" a="1"/>
  <c r="AY70" i="15" a="1"/>
  <c r="AV68" i="8" a="1"/>
  <c r="AY74" i="15" a="1"/>
  <c r="AV76" i="8" a="1"/>
  <c r="V88" i="15" a="1"/>
  <c r="AV72" i="8" a="1"/>
  <c r="AV52" i="8" a="1"/>
  <c r="X88" i="15" a="1"/>
  <c r="AY50" i="15" a="1"/>
  <c r="AV62" i="8" a="1"/>
  <c r="AV100" i="8" a="1"/>
  <c r="AY85" i="15" a="1"/>
  <c r="AY87" i="15" a="1"/>
  <c r="E88" i="15" a="1"/>
  <c r="AV88" i="15" a="1"/>
  <c r="AE88" i="15" a="1"/>
  <c r="O88" i="15" a="1"/>
  <c r="AY86" i="15" a="1"/>
  <c r="AY48" i="15" a="1"/>
  <c r="W88" i="15" a="1"/>
  <c r="Q88" i="15" a="1"/>
  <c r="AV104" i="8" a="1"/>
  <c r="AC88" i="15" a="1"/>
  <c r="AD150" i="15" l="1"/>
  <c r="Z150" i="15"/>
  <c r="V150" i="15"/>
  <c r="R150" i="15"/>
  <c r="N150" i="15"/>
  <c r="AV53" i="8"/>
  <c r="AV56" i="8"/>
  <c r="AV54" i="8"/>
  <c r="AV52" i="8"/>
  <c r="AV55" i="8"/>
  <c r="AV79" i="8"/>
  <c r="AV76" i="8"/>
  <c r="AV80" i="8"/>
  <c r="AV77" i="8"/>
  <c r="AV78" i="8"/>
  <c r="AV150" i="15"/>
  <c r="J150" i="15"/>
  <c r="AR150" i="15"/>
  <c r="F150" i="15"/>
  <c r="AN150" i="15"/>
  <c r="AJ150" i="15"/>
  <c r="AF150" i="15"/>
  <c r="AC150" i="15"/>
  <c r="X150" i="15"/>
  <c r="T150" i="15"/>
  <c r="P150" i="15"/>
  <c r="L150" i="15"/>
  <c r="H150" i="15"/>
  <c r="AU150" i="15"/>
  <c r="AQ150" i="15"/>
  <c r="AM150" i="15"/>
  <c r="AI150" i="15"/>
  <c r="AE150" i="15"/>
  <c r="AA150" i="15"/>
  <c r="W150" i="15"/>
  <c r="S150" i="15"/>
  <c r="O150" i="15"/>
  <c r="K150" i="15"/>
  <c r="G150" i="15"/>
  <c r="AX150" i="15"/>
  <c r="AW150" i="15"/>
  <c r="AS150" i="15"/>
  <c r="AO150" i="15"/>
  <c r="AK150" i="15"/>
  <c r="AG150" i="15"/>
  <c r="AB150" i="15"/>
  <c r="Y150" i="15"/>
  <c r="U150" i="15"/>
  <c r="Q150" i="15"/>
  <c r="M150" i="15"/>
  <c r="I150" i="15"/>
  <c r="E150" i="15"/>
  <c r="D88" i="15"/>
  <c r="D151" i="15" s="1"/>
  <c r="B151" i="15"/>
  <c r="C88" i="15"/>
  <c r="C151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D151" i="15" s="1"/>
  <c r="AE88" i="15"/>
  <c r="AF88" i="15"/>
  <c r="AG88" i="15"/>
  <c r="AH88" i="15"/>
  <c r="AH151" i="15" s="1"/>
  <c r="AI88" i="15"/>
  <c r="AJ88" i="15"/>
  <c r="AK88" i="15"/>
  <c r="AL88" i="15"/>
  <c r="AL151" i="15" s="1"/>
  <c r="AM88" i="15"/>
  <c r="AN88" i="15"/>
  <c r="AO88" i="15"/>
  <c r="AP88" i="15"/>
  <c r="AP151" i="15" s="1"/>
  <c r="AQ88" i="15"/>
  <c r="AR88" i="15"/>
  <c r="AS88" i="15"/>
  <c r="AT88" i="15"/>
  <c r="AT151" i="15" s="1"/>
  <c r="AU88" i="15"/>
  <c r="AV88" i="15"/>
  <c r="AW88" i="15"/>
  <c r="AX88" i="15"/>
  <c r="AX151" i="15" s="1"/>
  <c r="AY44" i="15"/>
  <c r="AY107" i="15" s="1"/>
  <c r="AY54" i="15"/>
  <c r="AY117" i="15" s="1"/>
  <c r="AY65" i="15"/>
  <c r="AY128" i="15" s="1"/>
  <c r="AY72" i="15"/>
  <c r="AY135" i="15" s="1"/>
  <c r="AY46" i="15"/>
  <c r="AY109" i="15" s="1"/>
  <c r="AY48" i="15"/>
  <c r="AY111" i="15" s="1"/>
  <c r="AY49" i="15"/>
  <c r="AY112" i="15" s="1"/>
  <c r="AY55" i="15"/>
  <c r="AY118" i="15" s="1"/>
  <c r="AY64" i="15"/>
  <c r="AY127" i="15" s="1"/>
  <c r="AY58" i="15"/>
  <c r="AY121" i="15" s="1"/>
  <c r="AY67" i="15"/>
  <c r="AY130" i="15" s="1"/>
  <c r="AY71" i="15"/>
  <c r="AY134" i="15" s="1"/>
  <c r="AY79" i="15"/>
  <c r="AY142" i="15" s="1"/>
  <c r="AY84" i="15"/>
  <c r="AY147" i="15" s="1"/>
  <c r="AY82" i="15"/>
  <c r="AY145" i="15" s="1"/>
  <c r="AY57" i="15"/>
  <c r="AY120" i="15" s="1"/>
  <c r="AY63" i="15"/>
  <c r="AY126" i="15" s="1"/>
  <c r="AY78" i="15"/>
  <c r="AY141" i="15" s="1"/>
  <c r="AY88" i="15"/>
  <c r="AY50" i="15"/>
  <c r="AY113" i="15" s="1"/>
  <c r="AY56" i="15"/>
  <c r="AY119" i="15" s="1"/>
  <c r="AY73" i="15"/>
  <c r="AY136" i="15" s="1"/>
  <c r="AY62" i="15"/>
  <c r="AY125" i="15" s="1"/>
  <c r="AY68" i="15"/>
  <c r="AY131" i="15" s="1"/>
  <c r="AY74" i="15"/>
  <c r="AY137" i="15" s="1"/>
  <c r="AY75" i="15"/>
  <c r="AY138" i="15" s="1"/>
  <c r="AY86" i="15"/>
  <c r="AY149" i="15" s="1"/>
  <c r="AY83" i="15"/>
  <c r="AY146" i="15" s="1"/>
  <c r="AY47" i="15"/>
  <c r="AY110" i="15" s="1"/>
  <c r="AY60" i="15"/>
  <c r="AY123" i="15" s="1"/>
  <c r="AY70" i="15"/>
  <c r="AY133" i="15" s="1"/>
  <c r="AY81" i="15"/>
  <c r="AY144" i="15" s="1"/>
  <c r="AY43" i="15"/>
  <c r="AY106" i="15" s="1"/>
  <c r="AY51" i="15"/>
  <c r="AY114" i="15" s="1"/>
  <c r="AY45" i="15"/>
  <c r="AY108" i="15" s="1"/>
  <c r="AY52" i="15"/>
  <c r="AY115" i="15" s="1"/>
  <c r="AY53" i="15"/>
  <c r="AY116" i="15" s="1"/>
  <c r="AY59" i="15"/>
  <c r="AY122" i="15" s="1"/>
  <c r="AY61" i="15"/>
  <c r="AY124" i="15" s="1"/>
  <c r="AY66" i="15"/>
  <c r="AY129" i="15" s="1"/>
  <c r="AY69" i="15"/>
  <c r="AY132" i="15" s="1"/>
  <c r="AY76" i="15"/>
  <c r="AY139" i="15" s="1"/>
  <c r="AY77" i="15"/>
  <c r="AY140" i="15" s="1"/>
  <c r="AY80" i="15"/>
  <c r="AY143" i="15" s="1"/>
  <c r="AY85" i="15"/>
  <c r="AY148" i="15" s="1"/>
  <c r="AY87" i="15"/>
  <c r="AY150" i="15" s="1"/>
  <c r="AY39" i="15"/>
  <c r="AY105" i="15" s="1"/>
  <c r="BA38" i="15"/>
  <c r="B89" i="15"/>
  <c r="B212" i="15" s="1"/>
  <c r="AU98" i="8"/>
  <c r="AV104" i="8"/>
  <c r="AV86" i="8"/>
  <c r="AV74" i="8"/>
  <c r="AV68" i="8"/>
  <c r="AV62" i="8"/>
  <c r="AU92" i="8"/>
  <c r="AU90" i="8"/>
  <c r="AU89" i="8"/>
  <c r="AU91" i="8"/>
  <c r="AV60" i="8"/>
  <c r="AV61" i="8"/>
  <c r="AV59" i="8"/>
  <c r="AV65" i="8"/>
  <c r="AV67" i="8"/>
  <c r="AV66" i="8"/>
  <c r="AV73" i="8"/>
  <c r="AV72" i="8"/>
  <c r="AV71" i="8"/>
  <c r="AV83" i="8"/>
  <c r="AV84" i="8"/>
  <c r="AV85" i="8"/>
  <c r="AU96" i="8"/>
  <c r="AU97" i="8"/>
  <c r="AU95" i="8"/>
  <c r="AV102" i="8"/>
  <c r="AV58" i="8"/>
  <c r="AV64" i="8"/>
  <c r="AV82" i="8"/>
  <c r="AV70" i="8"/>
  <c r="AV103" i="8"/>
  <c r="AV101" i="8"/>
  <c r="AV100" i="8"/>
  <c r="AU94" i="8"/>
  <c r="AU88" i="8"/>
  <c r="AW50" i="8"/>
  <c r="M89" i="15" a="1"/>
  <c r="AZ68" i="15" a="1"/>
  <c r="AW101" i="8" a="1"/>
  <c r="AZ71" i="15" a="1"/>
  <c r="AZ51" i="15" a="1"/>
  <c r="AW78" i="8" a="1"/>
  <c r="AI89" i="15" a="1"/>
  <c r="AW55" i="8" a="1"/>
  <c r="AW53" i="8" a="1"/>
  <c r="F89" i="15" a="1"/>
  <c r="AW79" i="8" a="1"/>
  <c r="AW54" i="8" a="1"/>
  <c r="AZ43" i="15" a="1"/>
  <c r="AD89" i="15" a="1"/>
  <c r="AW65" i="8" a="1"/>
  <c r="AW74" i="8" a="1"/>
  <c r="AZ74" i="15" a="1"/>
  <c r="AW89" i="15" a="1"/>
  <c r="AW77" i="8" a="1"/>
  <c r="AW67" i="8" a="1"/>
  <c r="AQ89" i="15" a="1"/>
  <c r="AK89" i="15" a="1"/>
  <c r="AZ53" i="15" a="1"/>
  <c r="AZ62" i="15" a="1"/>
  <c r="Y89" i="15" a="1"/>
  <c r="AB89" i="15" a="1"/>
  <c r="AZ59" i="15" a="1"/>
  <c r="AW73" i="8" a="1"/>
  <c r="AY89" i="15" a="1"/>
  <c r="AZ89" i="15" a="1"/>
  <c r="AZ82" i="15" a="1"/>
  <c r="S89" i="15" a="1"/>
  <c r="AZ58" i="15" a="1"/>
  <c r="AZ63" i="15" a="1"/>
  <c r="Z89" i="15" a="1"/>
  <c r="O89" i="15" a="1"/>
  <c r="Q89" i="15" a="1"/>
  <c r="AZ83" i="15" a="1"/>
  <c r="AZ65" i="15" a="1"/>
  <c r="AW52" i="8" a="1"/>
  <c r="AZ64" i="15" a="1"/>
  <c r="AZ44" i="15" a="1"/>
  <c r="AE89" i="15" a="1"/>
  <c r="AZ84" i="15" a="1"/>
  <c r="AW86" i="8" a="1"/>
  <c r="C89" i="15" a="1"/>
  <c r="T89" i="15" a="1"/>
  <c r="AZ54" i="15" a="1"/>
  <c r="AC89" i="15" a="1"/>
  <c r="U89" i="15" a="1"/>
  <c r="AZ50" i="15" a="1"/>
  <c r="AZ61" i="15" a="1"/>
  <c r="AZ48" i="15" a="1"/>
  <c r="AZ88" i="15" a="1"/>
  <c r="AW68" i="8" a="1"/>
  <c r="AZ57" i="15" a="1"/>
  <c r="AZ39" i="15" a="1"/>
  <c r="AU89" i="15" a="1"/>
  <c r="AW70" i="8" a="1"/>
  <c r="AS89" i="15" a="1"/>
  <c r="AZ45" i="15" a="1"/>
  <c r="AZ67" i="15" a="1"/>
  <c r="AW83" i="8" a="1"/>
  <c r="AW56" i="8" a="1"/>
  <c r="AZ52" i="15" a="1"/>
  <c r="AA89" i="15" a="1"/>
  <c r="AZ55" i="15" a="1"/>
  <c r="AW103" i="8" a="1"/>
  <c r="AR89" i="15" a="1"/>
  <c r="D89" i="15" a="1"/>
  <c r="AL89" i="15" a="1"/>
  <c r="AZ85" i="15" a="1"/>
  <c r="AZ77" i="15" a="1"/>
  <c r="AZ72" i="15" a="1"/>
  <c r="AZ76" i="15" a="1"/>
  <c r="AW82" i="8" a="1"/>
  <c r="AW64" i="8" a="1"/>
  <c r="L89" i="15" a="1"/>
  <c r="X89" i="15" a="1"/>
  <c r="AW66" i="8" a="1"/>
  <c r="AW76" i="8" a="1"/>
  <c r="AZ73" i="15" a="1"/>
  <c r="AZ47" i="15" a="1"/>
  <c r="AZ70" i="15" a="1"/>
  <c r="AZ46" i="15" a="1"/>
  <c r="AN89" i="15" a="1"/>
  <c r="AW60" i="8" a="1"/>
  <c r="N89" i="15" a="1"/>
  <c r="AO89" i="15" a="1"/>
  <c r="AF89" i="15" a="1"/>
  <c r="K89" i="15" a="1"/>
  <c r="AW71" i="8" a="1"/>
  <c r="AZ66" i="15" a="1"/>
  <c r="I89" i="15" a="1"/>
  <c r="AW84" i="8" a="1"/>
  <c r="AW58" i="8" a="1"/>
  <c r="W89" i="15" a="1"/>
  <c r="AW80" i="8" a="1"/>
  <c r="R89" i="15" a="1"/>
  <c r="AW62" i="8" a="1"/>
  <c r="J89" i="15" a="1"/>
  <c r="P89" i="15" a="1"/>
  <c r="AP89" i="15" a="1"/>
  <c r="AM89" i="15" a="1"/>
  <c r="AW85" i="8" a="1"/>
  <c r="AW104" i="8" a="1"/>
  <c r="E89" i="15" a="1"/>
  <c r="AW100" i="8" a="1"/>
  <c r="AZ78" i="15" a="1"/>
  <c r="AW59" i="8" a="1"/>
  <c r="AX89" i="15" a="1"/>
  <c r="AZ56" i="15" a="1"/>
  <c r="AH89" i="15" a="1"/>
  <c r="AG89" i="15" a="1"/>
  <c r="AZ86" i="15" a="1"/>
  <c r="AZ75" i="15" a="1"/>
  <c r="AZ49" i="15" a="1"/>
  <c r="AZ80" i="15" a="1"/>
  <c r="AZ81" i="15" a="1"/>
  <c r="AZ69" i="15" a="1"/>
  <c r="AZ60" i="15" a="1"/>
  <c r="AW72" i="8" a="1"/>
  <c r="V89" i="15" a="1"/>
  <c r="H89" i="15" a="1"/>
  <c r="AZ79" i="15" a="1"/>
  <c r="AJ89" i="15" a="1"/>
  <c r="AT89" i="15" a="1"/>
  <c r="AZ87" i="15" a="1"/>
  <c r="G89" i="15" a="1"/>
  <c r="AW102" i="8" a="1"/>
  <c r="AW61" i="8" a="1"/>
  <c r="AV89" i="15" a="1"/>
  <c r="Z151" i="15" l="1"/>
  <c r="V151" i="15"/>
  <c r="R151" i="15"/>
  <c r="N151" i="15"/>
  <c r="AW54" i="8"/>
  <c r="AW53" i="8"/>
  <c r="AW52" i="8"/>
  <c r="AW55" i="8"/>
  <c r="AW56" i="8"/>
  <c r="AW77" i="8"/>
  <c r="AW78" i="8"/>
  <c r="AW76" i="8"/>
  <c r="AW80" i="8"/>
  <c r="AW79" i="8"/>
  <c r="K151" i="15"/>
  <c r="F151" i="15"/>
  <c r="AV151" i="15"/>
  <c r="AR151" i="15"/>
  <c r="AN151" i="15"/>
  <c r="AJ151" i="15"/>
  <c r="AF151" i="15"/>
  <c r="AB151" i="15"/>
  <c r="X151" i="15"/>
  <c r="T151" i="15"/>
  <c r="P151" i="15"/>
  <c r="AY151" i="15"/>
  <c r="AW151" i="15"/>
  <c r="AS151" i="15"/>
  <c r="AO151" i="15"/>
  <c r="AK151" i="15"/>
  <c r="AG151" i="15"/>
  <c r="AC151" i="15"/>
  <c r="Y151" i="15"/>
  <c r="U151" i="15"/>
  <c r="Q151" i="15"/>
  <c r="M151" i="15"/>
  <c r="I151" i="15"/>
  <c r="E151" i="15"/>
  <c r="L151" i="15"/>
  <c r="H151" i="15"/>
  <c r="AU151" i="15"/>
  <c r="AQ151" i="15"/>
  <c r="AM151" i="15"/>
  <c r="AI151" i="15"/>
  <c r="AE151" i="15"/>
  <c r="AA151" i="15"/>
  <c r="W151" i="15"/>
  <c r="S151" i="15"/>
  <c r="O151" i="15"/>
  <c r="J151" i="15"/>
  <c r="G151" i="15"/>
  <c r="D89" i="15"/>
  <c r="D152" i="15" s="1"/>
  <c r="B152" i="15"/>
  <c r="C89" i="15"/>
  <c r="C152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AP89" i="15"/>
  <c r="AQ89" i="15"/>
  <c r="AR89" i="15"/>
  <c r="AS89" i="15"/>
  <c r="AT89" i="15"/>
  <c r="AU89" i="15"/>
  <c r="AV89" i="15"/>
  <c r="AW89" i="15"/>
  <c r="AX89" i="15"/>
  <c r="AY89" i="15"/>
  <c r="AZ54" i="15"/>
  <c r="AZ117" i="15" s="1"/>
  <c r="AZ68" i="15"/>
  <c r="AZ131" i="15" s="1"/>
  <c r="AZ84" i="15"/>
  <c r="AZ147" i="15" s="1"/>
  <c r="AZ49" i="15"/>
  <c r="AZ112" i="15" s="1"/>
  <c r="AZ57" i="15"/>
  <c r="AZ120" i="15" s="1"/>
  <c r="AZ65" i="15"/>
  <c r="AZ128" i="15" s="1"/>
  <c r="AZ82" i="15"/>
  <c r="AZ145" i="15" s="1"/>
  <c r="AZ88" i="15"/>
  <c r="AZ151" i="15" s="1"/>
  <c r="AZ43" i="15"/>
  <c r="AZ106" i="15" s="1"/>
  <c r="AZ60" i="15"/>
  <c r="AZ123" i="15" s="1"/>
  <c r="AZ51" i="15"/>
  <c r="AZ114" i="15" s="1"/>
  <c r="AZ56" i="15"/>
  <c r="AZ119" i="15" s="1"/>
  <c r="AZ58" i="15"/>
  <c r="AZ121" i="15" s="1"/>
  <c r="AZ67" i="15"/>
  <c r="AZ130" i="15" s="1"/>
  <c r="AZ62" i="15"/>
  <c r="AZ125" i="15" s="1"/>
  <c r="AZ72" i="15"/>
  <c r="AZ135" i="15" s="1"/>
  <c r="AZ71" i="15"/>
  <c r="AZ134" i="15" s="1"/>
  <c r="AZ79" i="15"/>
  <c r="AZ142" i="15" s="1"/>
  <c r="AZ83" i="15"/>
  <c r="AZ146" i="15" s="1"/>
  <c r="AZ48" i="15"/>
  <c r="AZ111" i="15" s="1"/>
  <c r="AZ63" i="15"/>
  <c r="AZ126" i="15" s="1"/>
  <c r="AZ76" i="15"/>
  <c r="AZ139" i="15" s="1"/>
  <c r="AZ87" i="15"/>
  <c r="AZ150" i="15" s="1"/>
  <c r="AZ55" i="15"/>
  <c r="AZ118" i="15" s="1"/>
  <c r="AZ64" i="15"/>
  <c r="AZ127" i="15" s="1"/>
  <c r="AZ70" i="15"/>
  <c r="AZ133" i="15" s="1"/>
  <c r="AZ78" i="15"/>
  <c r="AZ141" i="15" s="1"/>
  <c r="AZ89" i="15"/>
  <c r="AZ45" i="15"/>
  <c r="AZ108" i="15" s="1"/>
  <c r="AZ47" i="15"/>
  <c r="AZ110" i="15" s="1"/>
  <c r="AZ53" i="15"/>
  <c r="AZ116" i="15" s="1"/>
  <c r="AZ50" i="15"/>
  <c r="AZ113" i="15" s="1"/>
  <c r="AZ59" i="15"/>
  <c r="AZ122" i="15" s="1"/>
  <c r="AZ69" i="15"/>
  <c r="AZ132" i="15" s="1"/>
  <c r="AZ66" i="15"/>
  <c r="AZ129" i="15" s="1"/>
  <c r="AZ75" i="15"/>
  <c r="AZ138" i="15" s="1"/>
  <c r="AZ74" i="15"/>
  <c r="AZ137" i="15" s="1"/>
  <c r="AZ80" i="15"/>
  <c r="AZ143" i="15" s="1"/>
  <c r="AZ85" i="15"/>
  <c r="AZ148" i="15" s="1"/>
  <c r="AZ86" i="15"/>
  <c r="AZ149" i="15" s="1"/>
  <c r="AZ52" i="15"/>
  <c r="AZ115" i="15" s="1"/>
  <c r="AZ77" i="15"/>
  <c r="AZ140" i="15" s="1"/>
  <c r="AZ81" i="15"/>
  <c r="AZ144" i="15" s="1"/>
  <c r="AZ44" i="15"/>
  <c r="AZ107" i="15" s="1"/>
  <c r="AZ61" i="15"/>
  <c r="AZ124" i="15" s="1"/>
  <c r="AZ46" i="15"/>
  <c r="AZ109" i="15" s="1"/>
  <c r="AZ73" i="15"/>
  <c r="AZ136" i="15" s="1"/>
  <c r="AZ39" i="15"/>
  <c r="AZ105" i="15" s="1"/>
  <c r="BB38" i="15"/>
  <c r="B90" i="15"/>
  <c r="B213" i="15" s="1"/>
  <c r="AV92" i="8"/>
  <c r="AV98" i="8"/>
  <c r="AW104" i="8"/>
  <c r="AW86" i="8"/>
  <c r="AW74" i="8"/>
  <c r="AW68" i="8"/>
  <c r="AW62" i="8"/>
  <c r="AV89" i="8"/>
  <c r="AW59" i="8"/>
  <c r="AW61" i="8"/>
  <c r="AW60" i="8"/>
  <c r="AW65" i="8"/>
  <c r="AW67" i="8"/>
  <c r="AW66" i="8"/>
  <c r="AW72" i="8"/>
  <c r="AW71" i="8"/>
  <c r="AW73" i="8"/>
  <c r="AW84" i="8"/>
  <c r="AW85" i="8"/>
  <c r="AW83" i="8"/>
  <c r="AV90" i="8"/>
  <c r="AV91" i="8"/>
  <c r="AV95" i="8"/>
  <c r="AV96" i="8"/>
  <c r="AW102" i="8"/>
  <c r="AW58" i="8"/>
  <c r="AW64" i="8"/>
  <c r="AW82" i="8"/>
  <c r="AW70" i="8"/>
  <c r="AW103" i="8"/>
  <c r="AW101" i="8"/>
  <c r="AW100" i="8"/>
  <c r="AV97" i="8"/>
  <c r="AV94" i="8"/>
  <c r="AV88" i="8"/>
  <c r="AX50" i="8"/>
  <c r="M90" i="15" a="1"/>
  <c r="AX77" i="8" a="1"/>
  <c r="F90" i="15" a="1"/>
  <c r="W90" i="15" a="1"/>
  <c r="AX82" i="8" a="1"/>
  <c r="C90" i="15" a="1"/>
  <c r="Z90" i="15" a="1"/>
  <c r="BA73" i="15" a="1"/>
  <c r="BA82" i="15" a="1"/>
  <c r="AX80" i="8" a="1"/>
  <c r="AI90" i="15" a="1"/>
  <c r="BA46" i="15" a="1"/>
  <c r="AX60" i="8" a="1"/>
  <c r="AG90" i="15" a="1"/>
  <c r="BA77" i="15" a="1"/>
  <c r="Q90" i="15" a="1"/>
  <c r="BA53" i="15" a="1"/>
  <c r="BA47" i="15" a="1"/>
  <c r="AX52" i="8" a="1"/>
  <c r="D90" i="15" a="1"/>
  <c r="P90" i="15" a="1"/>
  <c r="BA67" i="15" a="1"/>
  <c r="BA80" i="15" a="1"/>
  <c r="BA54" i="15" a="1"/>
  <c r="Y90" i="15" a="1"/>
  <c r="AX66" i="8" a="1"/>
  <c r="AX55" i="8" a="1"/>
  <c r="BA63" i="15" a="1"/>
  <c r="AX100" i="8" a="1"/>
  <c r="BA48" i="15" a="1"/>
  <c r="AX79" i="8" a="1"/>
  <c r="AU90" i="15" a="1"/>
  <c r="AV90" i="15" a="1"/>
  <c r="R90" i="15" a="1"/>
  <c r="AP90" i="15" a="1"/>
  <c r="AX86" i="8" a="1"/>
  <c r="AX73" i="8" a="1"/>
  <c r="AX58" i="8" a="1"/>
  <c r="AS90" i="15" a="1"/>
  <c r="AX56" i="8" a="1"/>
  <c r="AK90" i="15" a="1"/>
  <c r="V90" i="15" a="1"/>
  <c r="G90" i="15" a="1"/>
  <c r="BA69" i="15" a="1"/>
  <c r="BA55" i="15" a="1"/>
  <c r="BA86" i="15" a="1"/>
  <c r="I90" i="15" a="1"/>
  <c r="AX53" i="8" a="1"/>
  <c r="AY90" i="15" a="1"/>
  <c r="AQ90" i="15" a="1"/>
  <c r="BA68" i="15" a="1"/>
  <c r="BA57" i="15" a="1"/>
  <c r="S90" i="15" a="1"/>
  <c r="AF90" i="15" a="1"/>
  <c r="O90" i="15" a="1"/>
  <c r="BA50" i="15" a="1"/>
  <c r="AX62" i="8" a="1"/>
  <c r="AO90" i="15" a="1"/>
  <c r="BA61" i="15" a="1"/>
  <c r="AX90" i="15" a="1"/>
  <c r="N90" i="15" a="1"/>
  <c r="K90" i="15" a="1"/>
  <c r="AX78" i="8" a="1"/>
  <c r="AJ90" i="15" a="1"/>
  <c r="BA90" i="15" a="1"/>
  <c r="BA87" i="15" a="1"/>
  <c r="AX104" i="8" a="1"/>
  <c r="AX83" i="8" a="1"/>
  <c r="AX54" i="8" a="1"/>
  <c r="BA78" i="15" a="1"/>
  <c r="AM90" i="15" a="1"/>
  <c r="BA65" i="15" a="1"/>
  <c r="BA45" i="15" a="1"/>
  <c r="AL90" i="15" a="1"/>
  <c r="BA72" i="15" a="1"/>
  <c r="BA66" i="15" a="1"/>
  <c r="BA75" i="15" a="1"/>
  <c r="AX68" i="8" a="1"/>
  <c r="BA43" i="15" a="1"/>
  <c r="BA56" i="15" a="1"/>
  <c r="AR90" i="15" a="1"/>
  <c r="AX103" i="8" a="1"/>
  <c r="AW90" i="15" a="1"/>
  <c r="AX70" i="8" a="1"/>
  <c r="AX101" i="8" a="1"/>
  <c r="BA60" i="15" a="1"/>
  <c r="AD90" i="15" a="1"/>
  <c r="AX59" i="8" a="1"/>
  <c r="AX74" i="8" a="1"/>
  <c r="BA89" i="15" a="1"/>
  <c r="AN90" i="15" a="1"/>
  <c r="AH90" i="15" a="1"/>
  <c r="L90" i="15" a="1"/>
  <c r="AC90" i="15" a="1"/>
  <c r="AX65" i="8" a="1"/>
  <c r="AB90" i="15" a="1"/>
  <c r="AA90" i="15" a="1"/>
  <c r="AX85" i="8" a="1"/>
  <c r="BA58" i="15" a="1"/>
  <c r="BA62" i="15" a="1"/>
  <c r="BA88" i="15" a="1"/>
  <c r="BA51" i="15" a="1"/>
  <c r="BA70" i="15" a="1"/>
  <c r="BA83" i="15" a="1"/>
  <c r="AE90" i="15" a="1"/>
  <c r="AX102" i="8" a="1"/>
  <c r="BA84" i="15" a="1"/>
  <c r="X90" i="15" a="1"/>
  <c r="U90" i="15" a="1"/>
  <c r="BA85" i="15" a="1"/>
  <c r="BA79" i="15" a="1"/>
  <c r="AX72" i="8" a="1"/>
  <c r="AX64" i="8" a="1"/>
  <c r="AX84" i="8" a="1"/>
  <c r="BA44" i="15" a="1"/>
  <c r="BA49" i="15" a="1"/>
  <c r="BA39" i="15" a="1"/>
  <c r="BA71" i="15" a="1"/>
  <c r="BA52" i="15" a="1"/>
  <c r="AX67" i="8" a="1"/>
  <c r="AX76" i="8" a="1"/>
  <c r="H90" i="15" a="1"/>
  <c r="AX61" i="8" a="1"/>
  <c r="AX71" i="8" a="1"/>
  <c r="BA81" i="15" a="1"/>
  <c r="T90" i="15" a="1"/>
  <c r="J90" i="15" a="1"/>
  <c r="BA59" i="15" a="1"/>
  <c r="BA76" i="15" a="1"/>
  <c r="E90" i="15" a="1"/>
  <c r="AT90" i="15" a="1"/>
  <c r="BA64" i="15" a="1"/>
  <c r="AZ90" i="15" a="1"/>
  <c r="BA74" i="15" a="1"/>
  <c r="AT152" i="15" l="1"/>
  <c r="AL152" i="15"/>
  <c r="AD152" i="15"/>
  <c r="V152" i="15"/>
  <c r="AX152" i="15"/>
  <c r="AP152" i="15"/>
  <c r="AH152" i="15"/>
  <c r="Z152" i="15"/>
  <c r="AX54" i="8"/>
  <c r="AX53" i="8"/>
  <c r="AX55" i="8"/>
  <c r="AX56" i="8"/>
  <c r="AX52" i="8"/>
  <c r="AX76" i="8"/>
  <c r="AX78" i="8"/>
  <c r="AX77" i="8"/>
  <c r="AX79" i="8"/>
  <c r="AX80" i="8"/>
  <c r="R152" i="15"/>
  <c r="N152" i="15"/>
  <c r="K152" i="15"/>
  <c r="F152" i="15"/>
  <c r="AV152" i="15"/>
  <c r="AR152" i="15"/>
  <c r="AN152" i="15"/>
  <c r="AJ152" i="15"/>
  <c r="AF152" i="15"/>
  <c r="AC152" i="15"/>
  <c r="X152" i="15"/>
  <c r="T152" i="15"/>
  <c r="P152" i="15"/>
  <c r="L152" i="15"/>
  <c r="H152" i="15"/>
  <c r="AZ152" i="15"/>
  <c r="AY152" i="15"/>
  <c r="AU152" i="15"/>
  <c r="AQ152" i="15"/>
  <c r="AM152" i="15"/>
  <c r="AI152" i="15"/>
  <c r="AE152" i="15"/>
  <c r="AA152" i="15"/>
  <c r="W152" i="15"/>
  <c r="S152" i="15"/>
  <c r="O152" i="15"/>
  <c r="J152" i="15"/>
  <c r="AW152" i="15"/>
  <c r="AS152" i="15"/>
  <c r="AO152" i="15"/>
  <c r="AK152" i="15"/>
  <c r="AG152" i="15"/>
  <c r="AB152" i="15"/>
  <c r="Y152" i="15"/>
  <c r="U152" i="15"/>
  <c r="Q152" i="15"/>
  <c r="M152" i="15"/>
  <c r="I152" i="15"/>
  <c r="G152" i="15"/>
  <c r="E152" i="15"/>
  <c r="D90" i="15"/>
  <c r="D153" i="15" s="1"/>
  <c r="B153" i="15"/>
  <c r="C90" i="15"/>
  <c r="C153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W90" i="15"/>
  <c r="AX90" i="15"/>
  <c r="AY90" i="15"/>
  <c r="AZ90" i="15"/>
  <c r="BA54" i="15"/>
  <c r="BA117" i="15" s="1"/>
  <c r="BA68" i="15"/>
  <c r="BA131" i="15" s="1"/>
  <c r="BA86" i="15"/>
  <c r="BA149" i="15" s="1"/>
  <c r="BA46" i="15"/>
  <c r="BA109" i="15" s="1"/>
  <c r="BA50" i="15"/>
  <c r="BA113" i="15" s="1"/>
  <c r="BA64" i="15"/>
  <c r="BA127" i="15" s="1"/>
  <c r="BA72" i="15"/>
  <c r="BA135" i="15" s="1"/>
  <c r="BA80" i="15"/>
  <c r="BA143" i="15" s="1"/>
  <c r="BA84" i="15"/>
  <c r="BA147" i="15" s="1"/>
  <c r="BA43" i="15"/>
  <c r="BA106" i="15" s="1"/>
  <c r="BA48" i="15"/>
  <c r="BA111" i="15" s="1"/>
  <c r="BA57" i="15"/>
  <c r="BA120" i="15" s="1"/>
  <c r="BA52" i="15"/>
  <c r="BA115" i="15" s="1"/>
  <c r="BA56" i="15"/>
  <c r="BA119" i="15" s="1"/>
  <c r="BA66" i="15"/>
  <c r="BA129" i="15" s="1"/>
  <c r="BA74" i="15"/>
  <c r="BA137" i="15" s="1"/>
  <c r="BA70" i="15"/>
  <c r="BA133" i="15" s="1"/>
  <c r="BA75" i="15"/>
  <c r="BA138" i="15" s="1"/>
  <c r="BA79" i="15"/>
  <c r="BA142" i="15" s="1"/>
  <c r="BA81" i="15"/>
  <c r="BA144" i="15" s="1"/>
  <c r="BA87" i="15"/>
  <c r="BA150" i="15" s="1"/>
  <c r="BA47" i="15"/>
  <c r="BA110" i="15" s="1"/>
  <c r="BA63" i="15"/>
  <c r="BA126" i="15" s="1"/>
  <c r="BA83" i="15"/>
  <c r="BA146" i="15" s="1"/>
  <c r="BA58" i="15"/>
  <c r="BA121" i="15" s="1"/>
  <c r="BA55" i="15"/>
  <c r="BA118" i="15" s="1"/>
  <c r="BA69" i="15"/>
  <c r="BA132" i="15" s="1"/>
  <c r="BA76" i="15"/>
  <c r="BA139" i="15" s="1"/>
  <c r="BA90" i="15"/>
  <c r="BA45" i="15"/>
  <c r="BA108" i="15" s="1"/>
  <c r="BA49" i="15"/>
  <c r="BA112" i="15" s="1"/>
  <c r="BA60" i="15"/>
  <c r="BA123" i="15" s="1"/>
  <c r="BA53" i="15"/>
  <c r="BA116" i="15" s="1"/>
  <c r="BA61" i="15"/>
  <c r="BA124" i="15" s="1"/>
  <c r="BA59" i="15"/>
  <c r="BA122" i="15" s="1"/>
  <c r="BA67" i="15"/>
  <c r="BA130" i="15" s="1"/>
  <c r="BA71" i="15"/>
  <c r="BA134" i="15" s="1"/>
  <c r="BA77" i="15"/>
  <c r="BA140" i="15" s="1"/>
  <c r="BA85" i="15"/>
  <c r="BA148" i="15" s="1"/>
  <c r="BA82" i="15"/>
  <c r="BA145" i="15" s="1"/>
  <c r="BA89" i="15"/>
  <c r="BA152" i="15" s="1"/>
  <c r="BA88" i="15"/>
  <c r="BA151" i="15" s="1"/>
  <c r="BA44" i="15"/>
  <c r="BA107" i="15" s="1"/>
  <c r="BA65" i="15"/>
  <c r="BA128" i="15" s="1"/>
  <c r="BA73" i="15"/>
  <c r="BA136" i="15" s="1"/>
  <c r="BA51" i="15"/>
  <c r="BA114" i="15" s="1"/>
  <c r="BA78" i="15"/>
  <c r="BA141" i="15" s="1"/>
  <c r="BA62" i="15"/>
  <c r="BA125" i="15" s="1"/>
  <c r="BA39" i="15"/>
  <c r="BA105" i="15" s="1"/>
  <c r="BC38" i="15"/>
  <c r="B91" i="15"/>
  <c r="B214" i="15" s="1"/>
  <c r="AW98" i="8"/>
  <c r="AX104" i="8"/>
  <c r="AX86" i="8"/>
  <c r="AX74" i="8"/>
  <c r="AX68" i="8"/>
  <c r="AX62" i="8"/>
  <c r="AW92" i="8"/>
  <c r="AW90" i="8"/>
  <c r="AW91" i="8"/>
  <c r="AW89" i="8"/>
  <c r="AX61" i="8"/>
  <c r="AX60" i="8"/>
  <c r="AX59" i="8"/>
  <c r="AX66" i="8"/>
  <c r="AX67" i="8"/>
  <c r="AX65" i="8"/>
  <c r="AX72" i="8"/>
  <c r="AX71" i="8"/>
  <c r="AX73" i="8"/>
  <c r="AX84" i="8"/>
  <c r="AX83" i="8"/>
  <c r="AX85" i="8"/>
  <c r="AW97" i="8"/>
  <c r="AX102" i="8"/>
  <c r="AX58" i="8"/>
  <c r="AX64" i="8"/>
  <c r="AX82" i="8"/>
  <c r="AX70" i="8"/>
  <c r="AX103" i="8"/>
  <c r="AX101" i="8"/>
  <c r="AX100" i="8"/>
  <c r="AW96" i="8"/>
  <c r="AW88" i="8"/>
  <c r="AW94" i="8"/>
  <c r="AY50" i="8"/>
  <c r="AW95" i="8"/>
  <c r="AY77" i="8" a="1"/>
  <c r="BB90" i="15" a="1"/>
  <c r="U91" i="15" a="1"/>
  <c r="BB59" i="15" a="1"/>
  <c r="BB84" i="15" a="1"/>
  <c r="BB55" i="15" a="1"/>
  <c r="AY78" i="8" a="1"/>
  <c r="C91" i="15" a="1"/>
  <c r="BB44" i="15" a="1"/>
  <c r="BB52" i="15" a="1"/>
  <c r="H91" i="15" a="1"/>
  <c r="AI91" i="15" a="1"/>
  <c r="AW91" i="15" a="1"/>
  <c r="BB75" i="15" a="1"/>
  <c r="AX91" i="15" a="1"/>
  <c r="AY86" i="8" a="1"/>
  <c r="AO91" i="15" a="1"/>
  <c r="AZ91" i="15" a="1"/>
  <c r="BB65" i="15" a="1"/>
  <c r="BA91" i="15" a="1"/>
  <c r="D91" i="15" a="1"/>
  <c r="BB82" i="15" a="1"/>
  <c r="BB87" i="15" a="1"/>
  <c r="BB50" i="15" a="1"/>
  <c r="AP91" i="15" a="1"/>
  <c r="BB77" i="15" a="1"/>
  <c r="AY65" i="8" a="1"/>
  <c r="BB47" i="15" a="1"/>
  <c r="BB49" i="15" a="1"/>
  <c r="AD91" i="15" a="1"/>
  <c r="Q91" i="15" a="1"/>
  <c r="S91" i="15" a="1"/>
  <c r="BB53" i="15" a="1"/>
  <c r="BB86" i="15" a="1"/>
  <c r="AE91" i="15" a="1"/>
  <c r="BB74" i="15" a="1"/>
  <c r="AQ91" i="15" a="1"/>
  <c r="BB72" i="15" a="1"/>
  <c r="AY103" i="8" a="1"/>
  <c r="BB39" i="15" a="1"/>
  <c r="BB88" i="15" a="1"/>
  <c r="BB70" i="15" a="1"/>
  <c r="AU91" i="15" a="1"/>
  <c r="AY104" i="8" a="1"/>
  <c r="BB62" i="15" a="1"/>
  <c r="BB81" i="15" a="1"/>
  <c r="BB69" i="15" a="1"/>
  <c r="M91" i="15" a="1"/>
  <c r="R91" i="15" a="1"/>
  <c r="AY64" i="8" a="1"/>
  <c r="BB43" i="15" a="1"/>
  <c r="G91" i="15" a="1"/>
  <c r="AY52" i="8" a="1"/>
  <c r="AL91" i="15" a="1"/>
  <c r="AY101" i="8" a="1"/>
  <c r="AY72" i="8" a="1"/>
  <c r="AN91" i="15" a="1"/>
  <c r="BB51" i="15" a="1"/>
  <c r="AY84" i="8" a="1"/>
  <c r="V91" i="15" a="1"/>
  <c r="BB46" i="15" a="1"/>
  <c r="AY54" i="8" a="1"/>
  <c r="L91" i="15" a="1"/>
  <c r="AA91" i="15" a="1"/>
  <c r="E91" i="15" a="1"/>
  <c r="N91" i="15" a="1"/>
  <c r="AY56" i="8" a="1"/>
  <c r="BB79" i="15" a="1"/>
  <c r="BB68" i="15" a="1"/>
  <c r="AY73" i="8" a="1"/>
  <c r="J91" i="15" a="1"/>
  <c r="AR91" i="15" a="1"/>
  <c r="BB76" i="15" a="1"/>
  <c r="BB80" i="15" a="1"/>
  <c r="AY62" i="8" a="1"/>
  <c r="AG91" i="15" a="1"/>
  <c r="AY68" i="8" a="1"/>
  <c r="BB56" i="15" a="1"/>
  <c r="AY58" i="8" a="1"/>
  <c r="AJ91" i="15" a="1"/>
  <c r="BB85" i="15" a="1"/>
  <c r="BB73" i="15" a="1"/>
  <c r="BB57" i="15" a="1"/>
  <c r="AY71" i="8" a="1"/>
  <c r="BB63" i="15" a="1"/>
  <c r="BB64" i="15" a="1"/>
  <c r="AY67" i="8" a="1"/>
  <c r="AY60" i="8" a="1"/>
  <c r="AV91" i="15" a="1"/>
  <c r="BB60" i="15" a="1"/>
  <c r="AY53" i="8" a="1"/>
  <c r="BB89" i="15" a="1"/>
  <c r="AY82" i="8" a="1"/>
  <c r="AT91" i="15" a="1"/>
  <c r="AF91" i="15" a="1"/>
  <c r="AY59" i="8" a="1"/>
  <c r="BB78" i="15" a="1"/>
  <c r="AY61" i="8" a="1"/>
  <c r="F91" i="15" a="1"/>
  <c r="AY80" i="8" a="1"/>
  <c r="AB91" i="15" a="1"/>
  <c r="BB58" i="15" a="1"/>
  <c r="BB67" i="15" a="1"/>
  <c r="O91" i="15" a="1"/>
  <c r="BB66" i="15" a="1"/>
  <c r="AY102" i="8" a="1"/>
  <c r="BB83" i="15" a="1"/>
  <c r="BB61" i="15" a="1"/>
  <c r="Z91" i="15" a="1"/>
  <c r="K91" i="15" a="1"/>
  <c r="AS91" i="15" a="1"/>
  <c r="AY83" i="8" a="1"/>
  <c r="AY70" i="8" a="1"/>
  <c r="AY74" i="8" a="1"/>
  <c r="AH91" i="15" a="1"/>
  <c r="X91" i="15" a="1"/>
  <c r="AY100" i="8" a="1"/>
  <c r="Y91" i="15" a="1"/>
  <c r="AY85" i="8" a="1"/>
  <c r="AC91" i="15" a="1"/>
  <c r="P91" i="15" a="1"/>
  <c r="BB54" i="15" a="1"/>
  <c r="AK91" i="15" a="1"/>
  <c r="BB91" i="15" a="1"/>
  <c r="BB45" i="15" a="1"/>
  <c r="AY76" i="8" a="1"/>
  <c r="T91" i="15" a="1"/>
  <c r="BB71" i="15" a="1"/>
  <c r="AY66" i="8" a="1"/>
  <c r="W91" i="15" a="1"/>
  <c r="BB48" i="15" a="1"/>
  <c r="AY91" i="15" a="1"/>
  <c r="AY79" i="8" a="1"/>
  <c r="AY55" i="8" a="1"/>
  <c r="I91" i="15" a="1"/>
  <c r="AM91" i="15" a="1"/>
  <c r="AY54" i="8" l="1"/>
  <c r="AY52" i="8"/>
  <c r="AY55" i="8"/>
  <c r="AY56" i="8"/>
  <c r="AY53" i="8"/>
  <c r="AY79" i="8"/>
  <c r="AY78" i="8"/>
  <c r="AY76" i="8"/>
  <c r="AY80" i="8"/>
  <c r="AY77" i="8"/>
  <c r="AY153" i="15"/>
  <c r="AU153" i="15"/>
  <c r="AQ153" i="15"/>
  <c r="AM153" i="15"/>
  <c r="AI153" i="15"/>
  <c r="AE153" i="15"/>
  <c r="AA153" i="15"/>
  <c r="W153" i="15"/>
  <c r="S153" i="15"/>
  <c r="O153" i="15"/>
  <c r="AT153" i="15"/>
  <c r="AL153" i="15"/>
  <c r="AD153" i="15"/>
  <c r="V153" i="15"/>
  <c r="K153" i="15"/>
  <c r="AX153" i="15"/>
  <c r="AP153" i="15"/>
  <c r="AH153" i="15"/>
  <c r="Z153" i="15"/>
  <c r="R153" i="15"/>
  <c r="N153" i="15"/>
  <c r="BA153" i="15"/>
  <c r="AW153" i="15"/>
  <c r="AS153" i="15"/>
  <c r="AO153" i="15"/>
  <c r="AK153" i="15"/>
  <c r="AG153" i="15"/>
  <c r="F153" i="15"/>
  <c r="AZ153" i="15"/>
  <c r="AV153" i="15"/>
  <c r="AR153" i="15"/>
  <c r="AN153" i="15"/>
  <c r="AJ153" i="15"/>
  <c r="AF153" i="15"/>
  <c r="AC153" i="15"/>
  <c r="X153" i="15"/>
  <c r="T153" i="15"/>
  <c r="P153" i="15"/>
  <c r="AB153" i="15"/>
  <c r="Y153" i="15"/>
  <c r="U153" i="15"/>
  <c r="Q153" i="15"/>
  <c r="L153" i="15"/>
  <c r="J153" i="15"/>
  <c r="M153" i="15"/>
  <c r="I153" i="15"/>
  <c r="E153" i="15"/>
  <c r="H153" i="15"/>
  <c r="G153" i="15"/>
  <c r="D91" i="15"/>
  <c r="D154" i="15" s="1"/>
  <c r="B154" i="15"/>
  <c r="C91" i="15"/>
  <c r="C154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V154" i="15" s="1"/>
  <c r="W91" i="15"/>
  <c r="X91" i="15"/>
  <c r="Y91" i="15"/>
  <c r="Z91" i="15"/>
  <c r="Z154" i="15" s="1"/>
  <c r="AA91" i="15"/>
  <c r="AC91" i="15"/>
  <c r="AB91" i="15"/>
  <c r="AD91" i="15"/>
  <c r="AD154" i="15" s="1"/>
  <c r="AE91" i="15"/>
  <c r="AF91" i="15"/>
  <c r="AG91" i="15"/>
  <c r="AH91" i="15"/>
  <c r="AH154" i="15" s="1"/>
  <c r="AI91" i="15"/>
  <c r="AJ91" i="15"/>
  <c r="AK91" i="15"/>
  <c r="AL91" i="15"/>
  <c r="AL154" i="15" s="1"/>
  <c r="AM91" i="15"/>
  <c r="AN91" i="15"/>
  <c r="AO91" i="15"/>
  <c r="AP91" i="15"/>
  <c r="AP154" i="15" s="1"/>
  <c r="AQ91" i="15"/>
  <c r="AR91" i="15"/>
  <c r="AS91" i="15"/>
  <c r="AT91" i="15"/>
  <c r="AT154" i="15" s="1"/>
  <c r="AU91" i="15"/>
  <c r="AV91" i="15"/>
  <c r="AW91" i="15"/>
  <c r="AX91" i="15"/>
  <c r="AX154" i="15" s="1"/>
  <c r="AY91" i="15"/>
  <c r="AZ91" i="15"/>
  <c r="BA91" i="15"/>
  <c r="BB54" i="15"/>
  <c r="BB117" i="15" s="1"/>
  <c r="BB58" i="15"/>
  <c r="BB121" i="15" s="1"/>
  <c r="BB81" i="15"/>
  <c r="BB144" i="15" s="1"/>
  <c r="BB89" i="15"/>
  <c r="BB152" i="15" s="1"/>
  <c r="BB45" i="15"/>
  <c r="BB108" i="15" s="1"/>
  <c r="BB55" i="15"/>
  <c r="BB118" i="15" s="1"/>
  <c r="BB57" i="15"/>
  <c r="BB120" i="15" s="1"/>
  <c r="BB74" i="15"/>
  <c r="BB137" i="15" s="1"/>
  <c r="BB82" i="15"/>
  <c r="BB145" i="15" s="1"/>
  <c r="BB88" i="15"/>
  <c r="BB151" i="15" s="1"/>
  <c r="BB44" i="15"/>
  <c r="BB107" i="15" s="1"/>
  <c r="BB52" i="15"/>
  <c r="BB115" i="15" s="1"/>
  <c r="BB56" i="15"/>
  <c r="BB119" i="15" s="1"/>
  <c r="BB49" i="15"/>
  <c r="BB112" i="15" s="1"/>
  <c r="BB60" i="15"/>
  <c r="BB123" i="15" s="1"/>
  <c r="BB68" i="15"/>
  <c r="BB131" i="15" s="1"/>
  <c r="BB66" i="15"/>
  <c r="BB129" i="15" s="1"/>
  <c r="BB72" i="15"/>
  <c r="BB135" i="15" s="1"/>
  <c r="BB71" i="15"/>
  <c r="BB134" i="15" s="1"/>
  <c r="BB79" i="15"/>
  <c r="BB142" i="15" s="1"/>
  <c r="BB84" i="15"/>
  <c r="BB147" i="15" s="1"/>
  <c r="BB91" i="15"/>
  <c r="BB43" i="15"/>
  <c r="BB106" i="15" s="1"/>
  <c r="BB61" i="15"/>
  <c r="BB124" i="15" s="1"/>
  <c r="BB77" i="15"/>
  <c r="BB140" i="15" s="1"/>
  <c r="BB87" i="15"/>
  <c r="BB150" i="15" s="1"/>
  <c r="BB48" i="15"/>
  <c r="BB111" i="15" s="1"/>
  <c r="BB65" i="15"/>
  <c r="BB128" i="15" s="1"/>
  <c r="BB69" i="15"/>
  <c r="BB132" i="15" s="1"/>
  <c r="BB78" i="15"/>
  <c r="BB141" i="15" s="1"/>
  <c r="BB90" i="15"/>
  <c r="BB153" i="15" s="1"/>
  <c r="BB46" i="15"/>
  <c r="BB109" i="15" s="1"/>
  <c r="BB53" i="15"/>
  <c r="BB116" i="15" s="1"/>
  <c r="BB59" i="15"/>
  <c r="BB122" i="15" s="1"/>
  <c r="BB50" i="15"/>
  <c r="BB113" i="15" s="1"/>
  <c r="BB64" i="15"/>
  <c r="BB127" i="15" s="1"/>
  <c r="BB70" i="15"/>
  <c r="BB133" i="15" s="1"/>
  <c r="BB63" i="15"/>
  <c r="BB126" i="15" s="1"/>
  <c r="BB73" i="15"/>
  <c r="BB136" i="15" s="1"/>
  <c r="BB75" i="15"/>
  <c r="BB138" i="15" s="1"/>
  <c r="BB80" i="15"/>
  <c r="BB143" i="15" s="1"/>
  <c r="BB85" i="15"/>
  <c r="BB148" i="15" s="1"/>
  <c r="BB86" i="15"/>
  <c r="BB149" i="15" s="1"/>
  <c r="BB51" i="15"/>
  <c r="BB114" i="15" s="1"/>
  <c r="BB76" i="15"/>
  <c r="BB139" i="15" s="1"/>
  <c r="BB83" i="15"/>
  <c r="BB146" i="15" s="1"/>
  <c r="BB47" i="15"/>
  <c r="BB110" i="15" s="1"/>
  <c r="BB67" i="15"/>
  <c r="BB130" i="15" s="1"/>
  <c r="BB62" i="15"/>
  <c r="BB125" i="15" s="1"/>
  <c r="BB39" i="15"/>
  <c r="BB105" i="15" s="1"/>
  <c r="BD38" i="15"/>
  <c r="B92" i="15"/>
  <c r="B215" i="15" s="1"/>
  <c r="AX98" i="8"/>
  <c r="AY104" i="8"/>
  <c r="AY86" i="8"/>
  <c r="AY74" i="8"/>
  <c r="AY68" i="8"/>
  <c r="AY62" i="8"/>
  <c r="AX92" i="8"/>
  <c r="AX90" i="8"/>
  <c r="AX89" i="8"/>
  <c r="AX91" i="8"/>
  <c r="AY61" i="8"/>
  <c r="AY59" i="8"/>
  <c r="AY60" i="8"/>
  <c r="AY67" i="8"/>
  <c r="AY66" i="8"/>
  <c r="AY65" i="8"/>
  <c r="AY71" i="8"/>
  <c r="AY72" i="8"/>
  <c r="AY73" i="8"/>
  <c r="AY83" i="8"/>
  <c r="AY84" i="8"/>
  <c r="AY85" i="8"/>
  <c r="AX95" i="8"/>
  <c r="AY102" i="8"/>
  <c r="AY58" i="8"/>
  <c r="AY64" i="8"/>
  <c r="AY82" i="8"/>
  <c r="AY70" i="8"/>
  <c r="AY103" i="8"/>
  <c r="AY101" i="8"/>
  <c r="AY100" i="8"/>
  <c r="AX97" i="8"/>
  <c r="AX94" i="8"/>
  <c r="AX88" i="8"/>
  <c r="AZ50" i="8"/>
  <c r="AX96" i="8"/>
  <c r="BC54" i="15" a="1"/>
  <c r="AZ59" i="8" a="1"/>
  <c r="AZ61" i="8" a="1"/>
  <c r="BC57" i="15" a="1"/>
  <c r="BC73" i="15" a="1"/>
  <c r="AD92" i="15" a="1"/>
  <c r="BC85" i="15" a="1"/>
  <c r="BC68" i="15" a="1"/>
  <c r="AW92" i="15" a="1"/>
  <c r="BA92" i="15" a="1"/>
  <c r="AE92" i="15" a="1"/>
  <c r="AZ70" i="8" a="1"/>
  <c r="BC50" i="15" a="1"/>
  <c r="AZ85" i="8" a="1"/>
  <c r="AB92" i="15" a="1"/>
  <c r="BC71" i="15" a="1"/>
  <c r="AI92" i="15" a="1"/>
  <c r="BC62" i="15" a="1"/>
  <c r="AZ56" i="8" a="1"/>
  <c r="BC53" i="15" a="1"/>
  <c r="BC39" i="15" a="1"/>
  <c r="AZ66" i="8" a="1"/>
  <c r="BC70" i="15" a="1"/>
  <c r="C92" i="15" a="1"/>
  <c r="Z92" i="15" a="1"/>
  <c r="BC64" i="15" a="1"/>
  <c r="K92" i="15" a="1"/>
  <c r="AZ52" i="8" a="1"/>
  <c r="AZ54" i="8" a="1"/>
  <c r="AZ74" i="8" a="1"/>
  <c r="M92" i="15" a="1"/>
  <c r="BC69" i="15" a="1"/>
  <c r="AZ79" i="8" a="1"/>
  <c r="BC83" i="15" a="1"/>
  <c r="U92" i="15" a="1"/>
  <c r="AZ78" i="8" a="1"/>
  <c r="D92" i="15" a="1"/>
  <c r="AF92" i="15" a="1"/>
  <c r="Q92" i="15" a="1"/>
  <c r="AZ80" i="8" a="1"/>
  <c r="AZ104" i="8" a="1"/>
  <c r="BC47" i="15" a="1"/>
  <c r="AZ92" i="15" a="1"/>
  <c r="AZ76" i="8" a="1"/>
  <c r="AZ82" i="8" a="1"/>
  <c r="S92" i="15" a="1"/>
  <c r="BC79" i="15" a="1"/>
  <c r="BC84" i="15" a="1"/>
  <c r="AS92" i="15" a="1"/>
  <c r="BC51" i="15" a="1"/>
  <c r="AK92" i="15" a="1"/>
  <c r="BC82" i="15" a="1"/>
  <c r="AZ67" i="8" a="1"/>
  <c r="AZ53" i="8" a="1"/>
  <c r="BC65" i="15" a="1"/>
  <c r="AN92" i="15" a="1"/>
  <c r="BC74" i="15" a="1"/>
  <c r="N92" i="15" a="1"/>
  <c r="H92" i="15" a="1"/>
  <c r="AP92" i="15" a="1"/>
  <c r="BC60" i="15" a="1"/>
  <c r="BC90" i="15" a="1"/>
  <c r="BC67" i="15" a="1"/>
  <c r="AJ92" i="15" a="1"/>
  <c r="AZ60" i="8" a="1"/>
  <c r="BC59" i="15" a="1"/>
  <c r="AC92" i="15" a="1"/>
  <c r="BC46" i="15" a="1"/>
  <c r="AZ58" i="8" a="1"/>
  <c r="L92" i="15" a="1"/>
  <c r="AZ86" i="8" a="1"/>
  <c r="BC92" i="15" a="1"/>
  <c r="T92" i="15" a="1"/>
  <c r="AZ103" i="8" a="1"/>
  <c r="AL92" i="15" a="1"/>
  <c r="BC86" i="15" a="1"/>
  <c r="BC78" i="15" a="1"/>
  <c r="BC45" i="15" a="1"/>
  <c r="BC87" i="15" a="1"/>
  <c r="V92" i="15" a="1"/>
  <c r="AZ84" i="8" a="1"/>
  <c r="AT92" i="15" a="1"/>
  <c r="AZ100" i="8" a="1"/>
  <c r="BC49" i="15" a="1"/>
  <c r="BC66" i="15" a="1"/>
  <c r="O92" i="15" a="1"/>
  <c r="BC72" i="15" a="1"/>
  <c r="BC58" i="15" a="1"/>
  <c r="BB92" i="15" a="1"/>
  <c r="I92" i="15" a="1"/>
  <c r="AY92" i="15" a="1"/>
  <c r="F92" i="15" a="1"/>
  <c r="BC56" i="15" a="1"/>
  <c r="AH92" i="15" a="1"/>
  <c r="AZ72" i="8" a="1"/>
  <c r="AZ71" i="8" a="1"/>
  <c r="AZ77" i="8" a="1"/>
  <c r="AZ102" i="8" a="1"/>
  <c r="R92" i="15" a="1"/>
  <c r="AZ73" i="8" a="1"/>
  <c r="AG92" i="15" a="1"/>
  <c r="BC89" i="15" a="1"/>
  <c r="AZ65" i="8" a="1"/>
  <c r="AU92" i="15" a="1"/>
  <c r="W92" i="15" a="1"/>
  <c r="AX92" i="15" a="1"/>
  <c r="AZ83" i="8" a="1"/>
  <c r="P92" i="15" a="1"/>
  <c r="AZ62" i="8" a="1"/>
  <c r="AA92" i="15" a="1"/>
  <c r="AV92" i="15" a="1"/>
  <c r="AM92" i="15" a="1"/>
  <c r="BC91" i="15" a="1"/>
  <c r="X92" i="15" a="1"/>
  <c r="BC48" i="15" a="1"/>
  <c r="G92" i="15" a="1"/>
  <c r="BC61" i="15" a="1"/>
  <c r="AR92" i="15" a="1"/>
  <c r="AQ92" i="15" a="1"/>
  <c r="BC77" i="15" a="1"/>
  <c r="AZ68" i="8" a="1"/>
  <c r="AZ101" i="8" a="1"/>
  <c r="AZ55" i="8" a="1"/>
  <c r="Y92" i="15" a="1"/>
  <c r="J92" i="15" a="1"/>
  <c r="AZ64" i="8" a="1"/>
  <c r="BC76" i="15" a="1"/>
  <c r="BC81" i="15" a="1"/>
  <c r="BC43" i="15" a="1"/>
  <c r="BC80" i="15" a="1"/>
  <c r="BC55" i="15" a="1"/>
  <c r="BC75" i="15" a="1"/>
  <c r="BC88" i="15" a="1"/>
  <c r="BC44" i="15" a="1"/>
  <c r="BC52" i="15" a="1"/>
  <c r="BC63" i="15" a="1"/>
  <c r="AO92" i="15" a="1"/>
  <c r="E92" i="15" a="1"/>
  <c r="R154" i="15" l="1"/>
  <c r="AZ54" i="8"/>
  <c r="AZ53" i="8"/>
  <c r="AZ52" i="8"/>
  <c r="AZ55" i="8"/>
  <c r="AZ56" i="8"/>
  <c r="AZ78" i="8"/>
  <c r="AZ79" i="8"/>
  <c r="AZ77" i="8"/>
  <c r="AZ76" i="8"/>
  <c r="AZ80" i="8"/>
  <c r="N154" i="15"/>
  <c r="F154" i="15"/>
  <c r="K154" i="15"/>
  <c r="BB154" i="15"/>
  <c r="AY154" i="15"/>
  <c r="AU154" i="15"/>
  <c r="AQ154" i="15"/>
  <c r="AM154" i="15"/>
  <c r="AI154" i="15"/>
  <c r="AE154" i="15"/>
  <c r="AA154" i="15"/>
  <c r="W154" i="15"/>
  <c r="S154" i="15"/>
  <c r="O154" i="15"/>
  <c r="J154" i="15"/>
  <c r="BA154" i="15"/>
  <c r="AW154" i="15"/>
  <c r="AS154" i="15"/>
  <c r="AO154" i="15"/>
  <c r="AK154" i="15"/>
  <c r="AG154" i="15"/>
  <c r="AB154" i="15"/>
  <c r="Y154" i="15"/>
  <c r="U154" i="15"/>
  <c r="Q154" i="15"/>
  <c r="M154" i="15"/>
  <c r="I154" i="15"/>
  <c r="E154" i="15"/>
  <c r="AZ154" i="15"/>
  <c r="AV154" i="15"/>
  <c r="AR154" i="15"/>
  <c r="AN154" i="15"/>
  <c r="AJ154" i="15"/>
  <c r="AF154" i="15"/>
  <c r="AC154" i="15"/>
  <c r="X154" i="15"/>
  <c r="T154" i="15"/>
  <c r="P154" i="15"/>
  <c r="L154" i="15"/>
  <c r="H154" i="15"/>
  <c r="G154" i="15"/>
  <c r="D92" i="15"/>
  <c r="D155" i="15" s="1"/>
  <c r="B155" i="15"/>
  <c r="C92" i="15"/>
  <c r="C155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E92" i="15"/>
  <c r="AF92" i="15"/>
  <c r="AG92" i="15"/>
  <c r="AH92" i="15"/>
  <c r="AI92" i="15"/>
  <c r="AJ92" i="15"/>
  <c r="AK92" i="15"/>
  <c r="AL92" i="15"/>
  <c r="AM92" i="15"/>
  <c r="AN92" i="15"/>
  <c r="AO92" i="15"/>
  <c r="AP92" i="15"/>
  <c r="AQ92" i="15"/>
  <c r="AR92" i="15"/>
  <c r="AS92" i="15"/>
  <c r="AT92" i="15"/>
  <c r="AU92" i="15"/>
  <c r="AV92" i="15"/>
  <c r="AW92" i="15"/>
  <c r="AX92" i="15"/>
  <c r="AY92" i="15"/>
  <c r="AZ92" i="15"/>
  <c r="BA92" i="15"/>
  <c r="BB92" i="15"/>
  <c r="BC43" i="15"/>
  <c r="BC106" i="15" s="1"/>
  <c r="BC47" i="15"/>
  <c r="BC110" i="15" s="1"/>
  <c r="BC61" i="15"/>
  <c r="BC124" i="15" s="1"/>
  <c r="BC51" i="15"/>
  <c r="BC114" i="15" s="1"/>
  <c r="BC56" i="15"/>
  <c r="BC119" i="15" s="1"/>
  <c r="BC63" i="15"/>
  <c r="BC126" i="15" s="1"/>
  <c r="BC67" i="15"/>
  <c r="BC130" i="15" s="1"/>
  <c r="BC71" i="15"/>
  <c r="BC134" i="15" s="1"/>
  <c r="BC76" i="15"/>
  <c r="BC139" i="15" s="1"/>
  <c r="BC77" i="15"/>
  <c r="BC140" i="15" s="1"/>
  <c r="BC82" i="15"/>
  <c r="BC145" i="15" s="1"/>
  <c r="BC89" i="15"/>
  <c r="BC152" i="15" s="1"/>
  <c r="BC91" i="15"/>
  <c r="BC154" i="15" s="1"/>
  <c r="BC44" i="15"/>
  <c r="BC107" i="15" s="1"/>
  <c r="BC50" i="15"/>
  <c r="BC113" i="15" s="1"/>
  <c r="BC59" i="15"/>
  <c r="BC122" i="15" s="1"/>
  <c r="BC53" i="15"/>
  <c r="BC116" i="15" s="1"/>
  <c r="BC58" i="15"/>
  <c r="BC121" i="15" s="1"/>
  <c r="BC60" i="15"/>
  <c r="BC123" i="15" s="1"/>
  <c r="BC68" i="15"/>
  <c r="BC131" i="15" s="1"/>
  <c r="BC72" i="15"/>
  <c r="BC135" i="15" s="1"/>
  <c r="BC78" i="15"/>
  <c r="BC141" i="15" s="1"/>
  <c r="BC83" i="15"/>
  <c r="BC146" i="15" s="1"/>
  <c r="BC84" i="15"/>
  <c r="BC147" i="15" s="1"/>
  <c r="BC90" i="15"/>
  <c r="BC153" i="15" s="1"/>
  <c r="BC87" i="15"/>
  <c r="BC150" i="15" s="1"/>
  <c r="BC46" i="15"/>
  <c r="BC109" i="15" s="1"/>
  <c r="BC52" i="15"/>
  <c r="BC115" i="15" s="1"/>
  <c r="BC48" i="15"/>
  <c r="BC111" i="15" s="1"/>
  <c r="BC54" i="15"/>
  <c r="BC117" i="15" s="1"/>
  <c r="BC62" i="15"/>
  <c r="BC125" i="15" s="1"/>
  <c r="BC64" i="15"/>
  <c r="BC127" i="15" s="1"/>
  <c r="BC69" i="15"/>
  <c r="BC132" i="15" s="1"/>
  <c r="BC79" i="15"/>
  <c r="BC142" i="15" s="1"/>
  <c r="BC74" i="15"/>
  <c r="BC137" i="15" s="1"/>
  <c r="BC80" i="15"/>
  <c r="BC143" i="15" s="1"/>
  <c r="BC86" i="15"/>
  <c r="BC149" i="15" s="1"/>
  <c r="BC92" i="15"/>
  <c r="BC88" i="15"/>
  <c r="BC151" i="15" s="1"/>
  <c r="BC45" i="15"/>
  <c r="BC108" i="15" s="1"/>
  <c r="BC57" i="15"/>
  <c r="BC120" i="15" s="1"/>
  <c r="BC49" i="15"/>
  <c r="BC112" i="15" s="1"/>
  <c r="BC55" i="15"/>
  <c r="BC118" i="15" s="1"/>
  <c r="BC66" i="15"/>
  <c r="BC129" i="15" s="1"/>
  <c r="BC65" i="15"/>
  <c r="BC128" i="15" s="1"/>
  <c r="BC70" i="15"/>
  <c r="BC133" i="15" s="1"/>
  <c r="BC73" i="15"/>
  <c r="BC136" i="15" s="1"/>
  <c r="BC75" i="15"/>
  <c r="BC138" i="15" s="1"/>
  <c r="BC81" i="15"/>
  <c r="BC144" i="15" s="1"/>
  <c r="BC85" i="15"/>
  <c r="BC148" i="15" s="1"/>
  <c r="BC39" i="15"/>
  <c r="BC105" i="15" s="1"/>
  <c r="BE38" i="15"/>
  <c r="B93" i="15"/>
  <c r="B216" i="15" s="1"/>
  <c r="AZ104" i="8"/>
  <c r="AZ86" i="8"/>
  <c r="AZ74" i="8"/>
  <c r="AZ68" i="8"/>
  <c r="AZ62" i="8"/>
  <c r="AY92" i="8"/>
  <c r="AY98" i="8"/>
  <c r="AY89" i="8"/>
  <c r="AY91" i="8"/>
  <c r="AZ61" i="8"/>
  <c r="AZ60" i="8"/>
  <c r="AZ59" i="8"/>
  <c r="AZ65" i="8"/>
  <c r="AZ67" i="8"/>
  <c r="AZ66" i="8"/>
  <c r="AZ71" i="8"/>
  <c r="AZ72" i="8"/>
  <c r="AZ73" i="8"/>
  <c r="AZ83" i="8"/>
  <c r="AZ85" i="8"/>
  <c r="AZ84" i="8"/>
  <c r="AY90" i="8"/>
  <c r="AY97" i="8"/>
  <c r="AZ102" i="8"/>
  <c r="AZ58" i="8"/>
  <c r="AZ64" i="8"/>
  <c r="AZ82" i="8"/>
  <c r="AZ70" i="8"/>
  <c r="AZ103" i="8"/>
  <c r="AZ101" i="8"/>
  <c r="AZ100" i="8"/>
  <c r="BA50" i="8"/>
  <c r="AY95" i="8"/>
  <c r="AY94" i="8"/>
  <c r="AY88" i="8"/>
  <c r="AY96" i="8"/>
  <c r="BD61" i="15" a="1"/>
  <c r="BD39" i="15" a="1"/>
  <c r="D93" i="15" a="1"/>
  <c r="AI93" i="15" a="1"/>
  <c r="BD43" i="15" a="1"/>
  <c r="BA66" i="8" a="1"/>
  <c r="M93" i="15" a="1"/>
  <c r="J93" i="15" a="1"/>
  <c r="BA60" i="8" a="1"/>
  <c r="E93" i="15" a="1"/>
  <c r="AT93" i="15" a="1"/>
  <c r="BD70" i="15" a="1"/>
  <c r="AE93" i="15" a="1"/>
  <c r="BD77" i="15" a="1"/>
  <c r="BA103" i="8" a="1"/>
  <c r="BA74" i="8" a="1"/>
  <c r="BD90" i="15" a="1"/>
  <c r="P93" i="15" a="1"/>
  <c r="BA83" i="8" a="1"/>
  <c r="BD69" i="15" a="1"/>
  <c r="BA76" i="8" a="1"/>
  <c r="BA80" i="8" a="1"/>
  <c r="AJ93" i="15" a="1"/>
  <c r="F93" i="15" a="1"/>
  <c r="BA65" i="8" a="1"/>
  <c r="BA82" i="8" a="1"/>
  <c r="BD85" i="15" a="1"/>
  <c r="Z93" i="15" a="1"/>
  <c r="X93" i="15" a="1"/>
  <c r="AK93" i="15" a="1"/>
  <c r="BD62" i="15" a="1"/>
  <c r="BA78" i="8" a="1"/>
  <c r="AW93" i="15" a="1"/>
  <c r="BA56" i="8" a="1"/>
  <c r="BD71" i="15" a="1"/>
  <c r="AQ93" i="15" a="1"/>
  <c r="AZ93" i="15" a="1"/>
  <c r="BA61" i="8" a="1"/>
  <c r="N93" i="15" a="1"/>
  <c r="BD74" i="15" a="1"/>
  <c r="Q93" i="15" a="1"/>
  <c r="BD53" i="15" a="1"/>
  <c r="BD52" i="15" a="1"/>
  <c r="W93" i="15" a="1"/>
  <c r="BA67" i="8" a="1"/>
  <c r="BD58" i="15" a="1"/>
  <c r="BD50" i="15" a="1"/>
  <c r="BA73" i="8" a="1"/>
  <c r="R93" i="15" a="1"/>
  <c r="BD75" i="15" a="1"/>
  <c r="BA70" i="8" a="1"/>
  <c r="BD73" i="15" a="1"/>
  <c r="AV93" i="15" a="1"/>
  <c r="BD44" i="15" a="1"/>
  <c r="BD59" i="15" a="1"/>
  <c r="BD86" i="15" a="1"/>
  <c r="BD82" i="15" a="1"/>
  <c r="AX93" i="15" a="1"/>
  <c r="V93" i="15" a="1"/>
  <c r="BC93" i="15" a="1"/>
  <c r="AR93" i="15" a="1"/>
  <c r="BD45" i="15" a="1"/>
  <c r="BA100" i="8" a="1"/>
  <c r="BD72" i="15" a="1"/>
  <c r="BD49" i="15" a="1"/>
  <c r="BD56" i="15" a="1"/>
  <c r="BD83" i="15" a="1"/>
  <c r="AH93" i="15" a="1"/>
  <c r="BD48" i="15" a="1"/>
  <c r="O93" i="15" a="1"/>
  <c r="AO93" i="15" a="1"/>
  <c r="BA93" i="15" a="1"/>
  <c r="AD93" i="15" a="1"/>
  <c r="BD76" i="15" a="1"/>
  <c r="BD84" i="15" a="1"/>
  <c r="AC93" i="15" a="1"/>
  <c r="Y93" i="15" a="1"/>
  <c r="BD68" i="15" a="1"/>
  <c r="AY93" i="15" a="1"/>
  <c r="BA52" i="8" a="1"/>
  <c r="BD78" i="15" a="1"/>
  <c r="BD87" i="15" a="1"/>
  <c r="BA101" i="8" a="1"/>
  <c r="BD57" i="15" a="1"/>
  <c r="BA85" i="8" a="1"/>
  <c r="G93" i="15" a="1"/>
  <c r="BA71" i="8" a="1"/>
  <c r="BD66" i="15" a="1"/>
  <c r="I93" i="15" a="1"/>
  <c r="BD80" i="15" a="1"/>
  <c r="BD91" i="15" a="1"/>
  <c r="BD89" i="15" a="1"/>
  <c r="BA55" i="8" a="1"/>
  <c r="AP93" i="15" a="1"/>
  <c r="BA104" i="8" a="1"/>
  <c r="BA62" i="8" a="1"/>
  <c r="BA72" i="8" a="1"/>
  <c r="BD51" i="15" a="1"/>
  <c r="BA84" i="8" a="1"/>
  <c r="U93" i="15" a="1"/>
  <c r="K93" i="15" a="1"/>
  <c r="H93" i="15" a="1"/>
  <c r="BD67" i="15" a="1"/>
  <c r="AL93" i="15" a="1"/>
  <c r="BD60" i="15" a="1"/>
  <c r="AF93" i="15" a="1"/>
  <c r="BB93" i="15" a="1"/>
  <c r="BD65" i="15" a="1"/>
  <c r="S93" i="15" a="1"/>
  <c r="BD46" i="15" a="1"/>
  <c r="C93" i="15" a="1"/>
  <c r="AS93" i="15" a="1"/>
  <c r="BD79" i="15" a="1"/>
  <c r="BD88" i="15" a="1"/>
  <c r="AU93" i="15" a="1"/>
  <c r="BD93" i="15" a="1"/>
  <c r="BA54" i="8" a="1"/>
  <c r="BA79" i="8" a="1"/>
  <c r="BA77" i="8" a="1"/>
  <c r="BA53" i="8" a="1"/>
  <c r="AM93" i="15" a="1"/>
  <c r="AN93" i="15" a="1"/>
  <c r="BD47" i="15" a="1"/>
  <c r="BA86" i="8" a="1"/>
  <c r="BA58" i="8" a="1"/>
  <c r="L93" i="15" a="1"/>
  <c r="T93" i="15" a="1"/>
  <c r="BA68" i="8" a="1"/>
  <c r="BD54" i="15" a="1"/>
  <c r="AB93" i="15" a="1"/>
  <c r="BA59" i="8" a="1"/>
  <c r="AA93" i="15" a="1"/>
  <c r="BD81" i="15" a="1"/>
  <c r="BD92" i="15" a="1"/>
  <c r="BD64" i="15" a="1"/>
  <c r="BD63" i="15" a="1"/>
  <c r="BD55" i="15" a="1"/>
  <c r="BA64" i="8" a="1"/>
  <c r="AG93" i="15" a="1"/>
  <c r="BA102" i="8" a="1"/>
  <c r="BB155" i="15" l="1"/>
  <c r="AT155" i="15"/>
  <c r="AP155" i="15"/>
  <c r="AX155" i="15"/>
  <c r="AL155" i="15"/>
  <c r="AH155" i="15"/>
  <c r="AD155" i="15"/>
  <c r="BA52" i="8"/>
  <c r="BA55" i="8"/>
  <c r="BA53" i="8"/>
  <c r="BA54" i="8"/>
  <c r="BA56" i="8"/>
  <c r="BA79" i="8"/>
  <c r="BA76" i="8"/>
  <c r="BA78" i="8"/>
  <c r="BA77" i="8"/>
  <c r="BA80" i="8"/>
  <c r="Z155" i="15"/>
  <c r="V155" i="15"/>
  <c r="R155" i="15"/>
  <c r="N155" i="15"/>
  <c r="J155" i="15"/>
  <c r="BC155" i="15"/>
  <c r="AZ155" i="15"/>
  <c r="AV155" i="15"/>
  <c r="AR155" i="15"/>
  <c r="AN155" i="15"/>
  <c r="AJ155" i="15"/>
  <c r="AF155" i="15"/>
  <c r="AC155" i="15"/>
  <c r="X155" i="15"/>
  <c r="T155" i="15"/>
  <c r="P155" i="15"/>
  <c r="F155" i="15"/>
  <c r="L155" i="15"/>
  <c r="H155" i="15"/>
  <c r="AY155" i="15"/>
  <c r="AU155" i="15"/>
  <c r="AQ155" i="15"/>
  <c r="AM155" i="15"/>
  <c r="AI155" i="15"/>
  <c r="AE155" i="15"/>
  <c r="AA155" i="15"/>
  <c r="W155" i="15"/>
  <c r="S155" i="15"/>
  <c r="O155" i="15"/>
  <c r="K155" i="15"/>
  <c r="G155" i="15"/>
  <c r="BA155" i="15"/>
  <c r="AW155" i="15"/>
  <c r="AS155" i="15"/>
  <c r="AO155" i="15"/>
  <c r="AK155" i="15"/>
  <c r="AG155" i="15"/>
  <c r="AB155" i="15"/>
  <c r="Y155" i="15"/>
  <c r="U155" i="15"/>
  <c r="Q155" i="15"/>
  <c r="M155" i="15"/>
  <c r="I155" i="15"/>
  <c r="E155" i="15"/>
  <c r="D93" i="15"/>
  <c r="D156" i="15" s="1"/>
  <c r="B156" i="15"/>
  <c r="C93" i="15"/>
  <c r="C156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E93" i="15"/>
  <c r="AF93" i="15"/>
  <c r="AG93" i="15"/>
  <c r="AH93" i="15"/>
  <c r="AH156" i="15" s="1"/>
  <c r="AI93" i="15"/>
  <c r="AJ93" i="15"/>
  <c r="AK93" i="15"/>
  <c r="AL93" i="15"/>
  <c r="AL156" i="15" s="1"/>
  <c r="AM93" i="15"/>
  <c r="AN93" i="15"/>
  <c r="AO93" i="15"/>
  <c r="AP93" i="15"/>
  <c r="AP156" i="15" s="1"/>
  <c r="AQ93" i="15"/>
  <c r="AR93" i="15"/>
  <c r="AS93" i="15"/>
  <c r="AT93" i="15"/>
  <c r="AT156" i="15" s="1"/>
  <c r="AU93" i="15"/>
  <c r="AV93" i="15"/>
  <c r="AW93" i="15"/>
  <c r="AX93" i="15"/>
  <c r="AX156" i="15" s="1"/>
  <c r="AY93" i="15"/>
  <c r="AZ93" i="15"/>
  <c r="BA93" i="15"/>
  <c r="BB93" i="15"/>
  <c r="BB156" i="15" s="1"/>
  <c r="BC93" i="15"/>
  <c r="BD44" i="15"/>
  <c r="BD107" i="15" s="1"/>
  <c r="BD43" i="15"/>
  <c r="BD106" i="15" s="1"/>
  <c r="BD49" i="15"/>
  <c r="BD112" i="15" s="1"/>
  <c r="BD54" i="15"/>
  <c r="BD117" i="15" s="1"/>
  <c r="BD47" i="15"/>
  <c r="BD110" i="15" s="1"/>
  <c r="BD60" i="15"/>
  <c r="BD123" i="15" s="1"/>
  <c r="BD66" i="15"/>
  <c r="BD129" i="15" s="1"/>
  <c r="BD63" i="15"/>
  <c r="BD126" i="15" s="1"/>
  <c r="BD70" i="15"/>
  <c r="BD133" i="15" s="1"/>
  <c r="BD71" i="15"/>
  <c r="BD134" i="15" s="1"/>
  <c r="BD79" i="15"/>
  <c r="BD142" i="15" s="1"/>
  <c r="BD85" i="15"/>
  <c r="BD148" i="15" s="1"/>
  <c r="BD93" i="15"/>
  <c r="BD89" i="15"/>
  <c r="BD152" i="15" s="1"/>
  <c r="BD45" i="15"/>
  <c r="BD108" i="15" s="1"/>
  <c r="BD50" i="15"/>
  <c r="BD113" i="15" s="1"/>
  <c r="BD55" i="15"/>
  <c r="BD118" i="15" s="1"/>
  <c r="BD48" i="15"/>
  <c r="BD111" i="15" s="1"/>
  <c r="BD61" i="15"/>
  <c r="BD124" i="15" s="1"/>
  <c r="BD67" i="15"/>
  <c r="BD130" i="15" s="1"/>
  <c r="BD73" i="15"/>
  <c r="BD136" i="15" s="1"/>
  <c r="BD74" i="15"/>
  <c r="BD137" i="15" s="1"/>
  <c r="BD72" i="15"/>
  <c r="BD135" i="15" s="1"/>
  <c r="BD80" i="15"/>
  <c r="BD143" i="15" s="1"/>
  <c r="BD83" i="15"/>
  <c r="BD146" i="15" s="1"/>
  <c r="BD86" i="15"/>
  <c r="BD149" i="15" s="1"/>
  <c r="BD92" i="15"/>
  <c r="BD155" i="15" s="1"/>
  <c r="BD51" i="15"/>
  <c r="BD114" i="15" s="1"/>
  <c r="BD56" i="15"/>
  <c r="BD119" i="15" s="1"/>
  <c r="BD52" i="15"/>
  <c r="BD115" i="15" s="1"/>
  <c r="BD65" i="15"/>
  <c r="BD128" i="15" s="1"/>
  <c r="BD69" i="15"/>
  <c r="BD132" i="15" s="1"/>
  <c r="BD64" i="15"/>
  <c r="BD127" i="15" s="1"/>
  <c r="BD75" i="15"/>
  <c r="BD138" i="15" s="1"/>
  <c r="BD76" i="15"/>
  <c r="BD139" i="15" s="1"/>
  <c r="BD81" i="15"/>
  <c r="BD144" i="15" s="1"/>
  <c r="BD84" i="15"/>
  <c r="BD147" i="15" s="1"/>
  <c r="BD87" i="15"/>
  <c r="BD150" i="15" s="1"/>
  <c r="BD90" i="15"/>
  <c r="BD153" i="15" s="1"/>
  <c r="BD46" i="15"/>
  <c r="BD109" i="15" s="1"/>
  <c r="BD53" i="15"/>
  <c r="BD116" i="15" s="1"/>
  <c r="BD57" i="15"/>
  <c r="BD120" i="15" s="1"/>
  <c r="BD58" i="15"/>
  <c r="BD121" i="15" s="1"/>
  <c r="BD62" i="15"/>
  <c r="BD125" i="15" s="1"/>
  <c r="BD59" i="15"/>
  <c r="BD122" i="15" s="1"/>
  <c r="BD68" i="15"/>
  <c r="BD131" i="15" s="1"/>
  <c r="BD77" i="15"/>
  <c r="BD140" i="15" s="1"/>
  <c r="BD78" i="15"/>
  <c r="BD141" i="15" s="1"/>
  <c r="BD82" i="15"/>
  <c r="BD145" i="15" s="1"/>
  <c r="BD91" i="15"/>
  <c r="BD154" i="15" s="1"/>
  <c r="BD88" i="15"/>
  <c r="BD151" i="15" s="1"/>
  <c r="BD39" i="15"/>
  <c r="BD105" i="15" s="1"/>
  <c r="BF38" i="15"/>
  <c r="B94" i="15"/>
  <c r="B217" i="15" s="1"/>
  <c r="BA104" i="8"/>
  <c r="BA86" i="8"/>
  <c r="BA74" i="8"/>
  <c r="BA68" i="8"/>
  <c r="BA62" i="8"/>
  <c r="AZ92" i="8"/>
  <c r="AZ98" i="8"/>
  <c r="AZ91" i="8"/>
  <c r="AZ90" i="8"/>
  <c r="BA61" i="8"/>
  <c r="BA60" i="8"/>
  <c r="BA59" i="8"/>
  <c r="BA65" i="8"/>
  <c r="BA67" i="8"/>
  <c r="BA66" i="8"/>
  <c r="BA72" i="8"/>
  <c r="BA73" i="8"/>
  <c r="BA71" i="8"/>
  <c r="BA83" i="8"/>
  <c r="BA84" i="8"/>
  <c r="BA85" i="8"/>
  <c r="AZ89" i="8"/>
  <c r="AZ97" i="8"/>
  <c r="AZ95" i="8"/>
  <c r="BA102" i="8"/>
  <c r="BA58" i="8"/>
  <c r="BA64" i="8"/>
  <c r="BA82" i="8"/>
  <c r="BA70" i="8"/>
  <c r="BA103" i="8"/>
  <c r="BA101" i="8"/>
  <c r="BA100" i="8"/>
  <c r="BB50" i="8"/>
  <c r="AZ88" i="8"/>
  <c r="AZ94" i="8"/>
  <c r="AZ96" i="8"/>
  <c r="BE82" i="15" a="1"/>
  <c r="AH94" i="15" a="1"/>
  <c r="AL94" i="15" a="1"/>
  <c r="F94" i="15" a="1"/>
  <c r="BB94" i="15" a="1"/>
  <c r="BB80" i="8" a="1"/>
  <c r="BE91" i="15" a="1"/>
  <c r="AF94" i="15" a="1"/>
  <c r="BE60" i="15" a="1"/>
  <c r="P94" i="15" a="1"/>
  <c r="BB85" i="8" a="1"/>
  <c r="W94" i="15" a="1"/>
  <c r="AW94" i="15" a="1"/>
  <c r="BE55" i="15" a="1"/>
  <c r="BB62" i="8" a="1"/>
  <c r="Y94" i="15" a="1"/>
  <c r="BE56" i="15" a="1"/>
  <c r="X94" i="15" a="1"/>
  <c r="BB52" i="8" a="1"/>
  <c r="BE50" i="15" a="1"/>
  <c r="BB76" i="8" a="1"/>
  <c r="BE68" i="15" a="1"/>
  <c r="BE54" i="15" a="1"/>
  <c r="N94" i="15" a="1"/>
  <c r="AG94" i="15" a="1"/>
  <c r="BB101" i="8" a="1"/>
  <c r="H94" i="15" a="1"/>
  <c r="BE53" i="15" a="1"/>
  <c r="BE62" i="15" a="1"/>
  <c r="J94" i="15" a="1"/>
  <c r="BE93" i="15" a="1"/>
  <c r="BB79" i="8" a="1"/>
  <c r="BE67" i="15" a="1"/>
  <c r="BB102" i="8" a="1"/>
  <c r="BE46" i="15" a="1"/>
  <c r="BB70" i="8" a="1"/>
  <c r="I94" i="15" a="1"/>
  <c r="AB94" i="15" a="1"/>
  <c r="V94" i="15" a="1"/>
  <c r="BE52" i="15" a="1"/>
  <c r="AI94" i="15" a="1"/>
  <c r="BE74" i="15" a="1"/>
  <c r="BE79" i="15" a="1"/>
  <c r="BE89" i="15" a="1"/>
  <c r="BB67" i="8" a="1"/>
  <c r="BB66" i="8" a="1"/>
  <c r="BB72" i="8" a="1"/>
  <c r="BE85" i="15" a="1"/>
  <c r="AX94" i="15" a="1"/>
  <c r="BE80" i="15" a="1"/>
  <c r="K94" i="15" a="1"/>
  <c r="AO94" i="15" a="1"/>
  <c r="BE69" i="15" a="1"/>
  <c r="BE70" i="15" a="1"/>
  <c r="BE63" i="15" a="1"/>
  <c r="BC94" i="15" a="1"/>
  <c r="AV94" i="15" a="1"/>
  <c r="E94" i="15" a="1"/>
  <c r="BE59" i="15" a="1"/>
  <c r="R94" i="15" a="1"/>
  <c r="BE65" i="15" a="1"/>
  <c r="BE57" i="15" a="1"/>
  <c r="BE86" i="15" a="1"/>
  <c r="AP94" i="15" a="1"/>
  <c r="BB61" i="8" a="1"/>
  <c r="M94" i="15" a="1"/>
  <c r="BB68" i="8" a="1"/>
  <c r="BE87" i="15" a="1"/>
  <c r="BB65" i="8" a="1"/>
  <c r="BE78" i="15" a="1"/>
  <c r="BB78" i="8" a="1"/>
  <c r="AT94" i="15" a="1"/>
  <c r="BE39" i="15" a="1"/>
  <c r="BE81" i="15" a="1"/>
  <c r="BE44" i="15" a="1"/>
  <c r="AJ94" i="15" a="1"/>
  <c r="BB84" i="8" a="1"/>
  <c r="AR94" i="15" a="1"/>
  <c r="BD94" i="15" a="1"/>
  <c r="AE94" i="15" a="1"/>
  <c r="BE94" i="15" a="1"/>
  <c r="AD94" i="15" a="1"/>
  <c r="Q94" i="15" a="1"/>
  <c r="BE49" i="15" a="1"/>
  <c r="BE61" i="15" a="1"/>
  <c r="BB104" i="8" a="1"/>
  <c r="BE90" i="15" a="1"/>
  <c r="BE43" i="15" a="1"/>
  <c r="D94" i="15" a="1"/>
  <c r="AZ94" i="15" a="1"/>
  <c r="BB55" i="8" a="1"/>
  <c r="BE76" i="15" a="1"/>
  <c r="BE75" i="15" a="1"/>
  <c r="BE66" i="15" a="1"/>
  <c r="BE83" i="15" a="1"/>
  <c r="BE71" i="15" a="1"/>
  <c r="C94" i="15" a="1"/>
  <c r="BE72" i="15" a="1"/>
  <c r="BB56" i="8" a="1"/>
  <c r="AY94" i="15" a="1"/>
  <c r="BE47" i="15" a="1"/>
  <c r="AA94" i="15" a="1"/>
  <c r="BE73" i="15" a="1"/>
  <c r="AM94" i="15" a="1"/>
  <c r="BB77" i="8" a="1"/>
  <c r="BE88" i="15" a="1"/>
  <c r="L94" i="15" a="1"/>
  <c r="BB60" i="8" a="1"/>
  <c r="BE64" i="15" a="1"/>
  <c r="Z94" i="15" a="1"/>
  <c r="U94" i="15" a="1"/>
  <c r="AC94" i="15" a="1"/>
  <c r="BE84" i="15" a="1"/>
  <c r="BB59" i="8" a="1"/>
  <c r="BB83" i="8" a="1"/>
  <c r="BB53" i="8" a="1"/>
  <c r="BE48" i="15" a="1"/>
  <c r="AS94" i="15" a="1"/>
  <c r="AN94" i="15" a="1"/>
  <c r="BB64" i="8" a="1"/>
  <c r="BE77" i="15" a="1"/>
  <c r="AQ94" i="15" a="1"/>
  <c r="BE92" i="15" a="1"/>
  <c r="BE58" i="15" a="1"/>
  <c r="BB71" i="8" a="1"/>
  <c r="S94" i="15" a="1"/>
  <c r="BA94" i="15" a="1"/>
  <c r="BE45" i="15" a="1"/>
  <c r="BB58" i="8" a="1"/>
  <c r="G94" i="15" a="1"/>
  <c r="BB100" i="8" a="1"/>
  <c r="BB103" i="8" a="1"/>
  <c r="T94" i="15" a="1"/>
  <c r="BB73" i="8" a="1"/>
  <c r="O94" i="15" a="1"/>
  <c r="BB86" i="8" a="1"/>
  <c r="BE51" i="15" a="1"/>
  <c r="BB74" i="8" a="1"/>
  <c r="AU94" i="15" a="1"/>
  <c r="AK94" i="15" a="1"/>
  <c r="BB82" i="8" a="1"/>
  <c r="BB54" i="8" a="1"/>
  <c r="AD156" i="15" l="1"/>
  <c r="Z156" i="15"/>
  <c r="BB52" i="8"/>
  <c r="BB54" i="8"/>
  <c r="BB56" i="8"/>
  <c r="BB53" i="8"/>
  <c r="BB55" i="8"/>
  <c r="BB77" i="8"/>
  <c r="BB80" i="8"/>
  <c r="BB79" i="8"/>
  <c r="BB76" i="8"/>
  <c r="BB78" i="8"/>
  <c r="V156" i="15"/>
  <c r="R156" i="15"/>
  <c r="N156" i="15"/>
  <c r="F156" i="15"/>
  <c r="K156" i="15"/>
  <c r="BA156" i="15"/>
  <c r="AW156" i="15"/>
  <c r="AS156" i="15"/>
  <c r="AO156" i="15"/>
  <c r="AG156" i="15"/>
  <c r="AB156" i="15"/>
  <c r="Y156" i="15"/>
  <c r="U156" i="15"/>
  <c r="BD156" i="15"/>
  <c r="AZ156" i="15"/>
  <c r="AV156" i="15"/>
  <c r="AR156" i="15"/>
  <c r="AN156" i="15"/>
  <c r="AJ156" i="15"/>
  <c r="AF156" i="15"/>
  <c r="AC156" i="15"/>
  <c r="X156" i="15"/>
  <c r="AK156" i="15"/>
  <c r="BC156" i="15"/>
  <c r="AY156" i="15"/>
  <c r="AU156" i="15"/>
  <c r="AQ156" i="15"/>
  <c r="Q156" i="15"/>
  <c r="M156" i="15"/>
  <c r="I156" i="15"/>
  <c r="E156" i="15"/>
  <c r="T156" i="15"/>
  <c r="P156" i="15"/>
  <c r="L156" i="15"/>
  <c r="H156" i="15"/>
  <c r="AM156" i="15"/>
  <c r="AI156" i="15"/>
  <c r="AE156" i="15"/>
  <c r="AA156" i="15"/>
  <c r="W156" i="15"/>
  <c r="S156" i="15"/>
  <c r="O156" i="15"/>
  <c r="J156" i="15"/>
  <c r="G156" i="15"/>
  <c r="D94" i="15"/>
  <c r="D157" i="15" s="1"/>
  <c r="B157" i="15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V157" i="15" s="1"/>
  <c r="W94" i="15"/>
  <c r="X94" i="15"/>
  <c r="Y94" i="15"/>
  <c r="Z94" i="15"/>
  <c r="Z157" i="15" s="1"/>
  <c r="AA94" i="15"/>
  <c r="AB94" i="15"/>
  <c r="AC94" i="15"/>
  <c r="AD94" i="15"/>
  <c r="AD157" i="15" s="1"/>
  <c r="AE94" i="15"/>
  <c r="AF94" i="15"/>
  <c r="AG94" i="15"/>
  <c r="AH94" i="15"/>
  <c r="AH157" i="15" s="1"/>
  <c r="AI94" i="15"/>
  <c r="AJ94" i="15"/>
  <c r="AK94" i="15"/>
  <c r="AL94" i="15"/>
  <c r="AL157" i="15" s="1"/>
  <c r="AM94" i="15"/>
  <c r="AN94" i="15"/>
  <c r="AO94" i="15"/>
  <c r="AP94" i="15"/>
  <c r="AP157" i="15" s="1"/>
  <c r="AQ94" i="15"/>
  <c r="AR94" i="15"/>
  <c r="AS94" i="15"/>
  <c r="AT94" i="15"/>
  <c r="AT157" i="15" s="1"/>
  <c r="AU94" i="15"/>
  <c r="AV94" i="15"/>
  <c r="AW94" i="15"/>
  <c r="AX94" i="15"/>
  <c r="AX157" i="15" s="1"/>
  <c r="AY94" i="15"/>
  <c r="AZ94" i="15"/>
  <c r="BA94" i="15"/>
  <c r="BB94" i="15"/>
  <c r="BB157" i="15" s="1"/>
  <c r="BC94" i="15"/>
  <c r="BD94" i="15"/>
  <c r="BE44" i="15"/>
  <c r="BE107" i="15" s="1"/>
  <c r="BE63" i="15"/>
  <c r="BE126" i="15" s="1"/>
  <c r="BE73" i="15"/>
  <c r="BE136" i="15" s="1"/>
  <c r="BE82" i="15"/>
  <c r="BE145" i="15" s="1"/>
  <c r="BE51" i="15"/>
  <c r="BE114" i="15" s="1"/>
  <c r="BE53" i="15"/>
  <c r="BE116" i="15" s="1"/>
  <c r="BE72" i="15"/>
  <c r="BE135" i="15" s="1"/>
  <c r="BE69" i="15"/>
  <c r="BE132" i="15" s="1"/>
  <c r="BE78" i="15"/>
  <c r="BE141" i="15" s="1"/>
  <c r="BE88" i="15"/>
  <c r="BE151" i="15" s="1"/>
  <c r="BE92" i="15"/>
  <c r="BE155" i="15" s="1"/>
  <c r="BE43" i="15"/>
  <c r="BE106" i="15" s="1"/>
  <c r="BE48" i="15"/>
  <c r="BE111" i="15" s="1"/>
  <c r="BE60" i="15"/>
  <c r="BE123" i="15" s="1"/>
  <c r="BE54" i="15"/>
  <c r="BE117" i="15" s="1"/>
  <c r="BE58" i="15"/>
  <c r="BE121" i="15" s="1"/>
  <c r="BE64" i="15"/>
  <c r="BE127" i="15" s="1"/>
  <c r="BE66" i="15"/>
  <c r="BE129" i="15" s="1"/>
  <c r="BE70" i="15"/>
  <c r="BE133" i="15" s="1"/>
  <c r="BE75" i="15"/>
  <c r="BE138" i="15" s="1"/>
  <c r="BE76" i="15"/>
  <c r="BE139" i="15" s="1"/>
  <c r="BE80" i="15"/>
  <c r="BE143" i="15" s="1"/>
  <c r="BE90" i="15"/>
  <c r="BE153" i="15" s="1"/>
  <c r="BE94" i="15"/>
  <c r="BE56" i="15"/>
  <c r="BE119" i="15" s="1"/>
  <c r="BE68" i="15"/>
  <c r="BE131" i="15" s="1"/>
  <c r="BE84" i="15"/>
  <c r="BE147" i="15" s="1"/>
  <c r="BE89" i="15"/>
  <c r="BE152" i="15" s="1"/>
  <c r="BE46" i="15"/>
  <c r="BE109" i="15" s="1"/>
  <c r="BE57" i="15"/>
  <c r="BE120" i="15" s="1"/>
  <c r="BE62" i="15"/>
  <c r="BE125" i="15" s="1"/>
  <c r="BE74" i="15"/>
  <c r="BE137" i="15" s="1"/>
  <c r="BE85" i="15"/>
  <c r="BE148" i="15" s="1"/>
  <c r="BE86" i="15"/>
  <c r="BE149" i="15" s="1"/>
  <c r="BE45" i="15"/>
  <c r="BE108" i="15" s="1"/>
  <c r="BE49" i="15"/>
  <c r="BE112" i="15" s="1"/>
  <c r="BE47" i="15"/>
  <c r="BE110" i="15" s="1"/>
  <c r="BE55" i="15"/>
  <c r="BE118" i="15" s="1"/>
  <c r="BE59" i="15"/>
  <c r="BE122" i="15" s="1"/>
  <c r="BE61" i="15"/>
  <c r="BE124" i="15" s="1"/>
  <c r="BE67" i="15"/>
  <c r="BE130" i="15" s="1"/>
  <c r="BE71" i="15"/>
  <c r="BE134" i="15" s="1"/>
  <c r="BE77" i="15"/>
  <c r="BE140" i="15" s="1"/>
  <c r="BE83" i="15"/>
  <c r="BE146" i="15" s="1"/>
  <c r="BE81" i="15"/>
  <c r="BE144" i="15" s="1"/>
  <c r="BE91" i="15"/>
  <c r="BE154" i="15" s="1"/>
  <c r="BE87" i="15"/>
  <c r="BE150" i="15" s="1"/>
  <c r="BE52" i="15"/>
  <c r="BE115" i="15" s="1"/>
  <c r="BE79" i="15"/>
  <c r="BE142" i="15" s="1"/>
  <c r="BE93" i="15"/>
  <c r="BE156" i="15" s="1"/>
  <c r="BE50" i="15"/>
  <c r="BE113" i="15" s="1"/>
  <c r="BE65" i="15"/>
  <c r="BE128" i="15" s="1"/>
  <c r="BE39" i="15"/>
  <c r="BE105" i="15" s="1"/>
  <c r="BG38" i="15"/>
  <c r="B95" i="15"/>
  <c r="B218" i="15" s="1"/>
  <c r="BB104" i="8"/>
  <c r="BB86" i="8"/>
  <c r="BB74" i="8"/>
  <c r="BB68" i="8"/>
  <c r="BB62" i="8"/>
  <c r="BA98" i="8"/>
  <c r="BA92" i="8"/>
  <c r="BA89" i="8"/>
  <c r="BA91" i="8"/>
  <c r="BA90" i="8"/>
  <c r="BB61" i="8"/>
  <c r="BB60" i="8"/>
  <c r="BB59" i="8"/>
  <c r="BB66" i="8"/>
  <c r="BB65" i="8"/>
  <c r="BB67" i="8"/>
  <c r="BB71" i="8"/>
  <c r="BB72" i="8"/>
  <c r="BB73" i="8"/>
  <c r="BB84" i="8"/>
  <c r="BB83" i="8"/>
  <c r="BB85" i="8"/>
  <c r="BA95" i="8"/>
  <c r="BB102" i="8"/>
  <c r="BB58" i="8"/>
  <c r="BB64" i="8"/>
  <c r="BB82" i="8"/>
  <c r="BB70" i="8"/>
  <c r="BB103" i="8"/>
  <c r="BB101" i="8"/>
  <c r="BB100" i="8"/>
  <c r="BA88" i="8"/>
  <c r="BA94" i="8"/>
  <c r="BC50" i="8"/>
  <c r="BA96" i="8"/>
  <c r="BA97" i="8"/>
  <c r="BC56" i="8" a="1"/>
  <c r="BC77" i="8" a="1"/>
  <c r="BC79" i="8" a="1"/>
  <c r="BC54" i="8" a="1"/>
  <c r="BC76" i="8" a="1"/>
  <c r="BC80" i="8" a="1"/>
  <c r="BC52" i="8" a="1"/>
  <c r="BC53" i="8" a="1"/>
  <c r="BC78" i="8" a="1"/>
  <c r="BC55" i="8" a="1"/>
  <c r="R157" i="15" l="1"/>
  <c r="N157" i="15"/>
  <c r="BC53" i="8"/>
  <c r="BC56" i="8"/>
  <c r="BC54" i="8"/>
  <c r="BC52" i="8"/>
  <c r="BC55" i="8"/>
  <c r="BC77" i="8"/>
  <c r="BC76" i="8"/>
  <c r="BC80" i="8"/>
  <c r="BC79" i="8"/>
  <c r="BC78" i="8"/>
  <c r="J157" i="15"/>
  <c r="F157" i="15"/>
  <c r="BE157" i="15"/>
  <c r="BD157" i="15"/>
  <c r="AZ157" i="15"/>
  <c r="AV157" i="15"/>
  <c r="AR157" i="15"/>
  <c r="AN157" i="15"/>
  <c r="AJ157" i="15"/>
  <c r="AF157" i="15"/>
  <c r="AB157" i="15"/>
  <c r="X157" i="15"/>
  <c r="T157" i="15"/>
  <c r="P157" i="15"/>
  <c r="L157" i="15"/>
  <c r="H157" i="15"/>
  <c r="BA157" i="15"/>
  <c r="AW157" i="15"/>
  <c r="AS157" i="15"/>
  <c r="AO157" i="15"/>
  <c r="AK157" i="15"/>
  <c r="AG157" i="15"/>
  <c r="AC157" i="15"/>
  <c r="Y157" i="15"/>
  <c r="U157" i="15"/>
  <c r="Q157" i="15"/>
  <c r="M157" i="15"/>
  <c r="I157" i="15"/>
  <c r="E157" i="15"/>
  <c r="BC157" i="15"/>
  <c r="AY157" i="15"/>
  <c r="AU157" i="15"/>
  <c r="AQ157" i="15"/>
  <c r="AM157" i="15"/>
  <c r="AI157" i="15"/>
  <c r="AE157" i="15"/>
  <c r="AA157" i="15"/>
  <c r="W157" i="15"/>
  <c r="S157" i="15"/>
  <c r="O157" i="15"/>
  <c r="K157" i="15"/>
  <c r="G157" i="15"/>
  <c r="B158" i="15"/>
  <c r="BH38" i="15"/>
  <c r="B96" i="15"/>
  <c r="B219" i="15" s="1"/>
  <c r="BB98" i="8"/>
  <c r="BB92" i="8"/>
  <c r="BB91" i="8"/>
  <c r="BB90" i="8"/>
  <c r="BB89" i="8"/>
  <c r="BB97" i="8"/>
  <c r="BB95" i="8"/>
  <c r="BB88" i="8"/>
  <c r="BB94" i="8"/>
  <c r="BD50" i="8"/>
  <c r="BB96" i="8"/>
  <c r="BD52" i="8" a="1"/>
  <c r="BD56" i="8" a="1"/>
  <c r="BD79" i="8" a="1"/>
  <c r="BD78" i="8" a="1"/>
  <c r="BD55" i="8" a="1"/>
  <c r="BD77" i="8" a="1"/>
  <c r="BD54" i="8" a="1"/>
  <c r="BD80" i="8" a="1"/>
  <c r="BD76" i="8" a="1"/>
  <c r="BD53" i="8" a="1"/>
  <c r="BD54" i="8" l="1"/>
  <c r="BD55" i="8"/>
  <c r="BD56" i="8"/>
  <c r="BD52" i="8"/>
  <c r="BD53" i="8"/>
  <c r="BD79" i="8"/>
  <c r="BD78" i="8"/>
  <c r="BD76" i="8"/>
  <c r="BD80" i="8"/>
  <c r="BD77" i="8"/>
  <c r="B159" i="15"/>
  <c r="BI38" i="15"/>
  <c r="B97" i="15"/>
  <c r="B220" i="15" s="1"/>
  <c r="BE50" i="8"/>
  <c r="AG97" i="15" a="1"/>
  <c r="AU96" i="15" a="1"/>
  <c r="BF47" i="15" a="1"/>
  <c r="BF73" i="15" a="1"/>
  <c r="BH89" i="15" a="1"/>
  <c r="BD71" i="8" a="1"/>
  <c r="BE85" i="8" a="1"/>
  <c r="BE55" i="8" a="1"/>
  <c r="O96" i="15" a="1"/>
  <c r="AA96" i="15" a="1"/>
  <c r="BH73" i="15" a="1"/>
  <c r="BF66" i="15" a="1"/>
  <c r="BH77" i="15" a="1"/>
  <c r="BH47" i="15" a="1"/>
  <c r="BF72" i="15" a="1"/>
  <c r="AO97" i="15" a="1"/>
  <c r="BF71" i="15" a="1"/>
  <c r="AW97" i="15" a="1"/>
  <c r="BG88" i="15" a="1"/>
  <c r="Y97" i="15" a="1"/>
  <c r="AT96" i="15" a="1"/>
  <c r="BH79" i="15" a="1"/>
  <c r="AY95" i="15" a="1"/>
  <c r="BD83" i="8" a="1"/>
  <c r="BG54" i="15" a="1"/>
  <c r="BG49" i="15" a="1"/>
  <c r="BC85" i="8" a="1"/>
  <c r="BD60" i="8" a="1"/>
  <c r="BF74" i="15" a="1"/>
  <c r="AR96" i="15" a="1"/>
  <c r="BE61" i="8" a="1"/>
  <c r="BE65" i="8" a="1"/>
  <c r="BF59" i="15" a="1"/>
  <c r="BG45" i="15" a="1"/>
  <c r="BC65" i="8" a="1"/>
  <c r="BH87" i="15" a="1"/>
  <c r="BD66" i="8" a="1"/>
  <c r="K95" i="15" a="1"/>
  <c r="BG74" i="15" a="1"/>
  <c r="BG56" i="15" a="1"/>
  <c r="BE68" i="8" a="1"/>
  <c r="AH95" i="15" a="1"/>
  <c r="BH52" i="15" a="1"/>
  <c r="BG61" i="15" a="1"/>
  <c r="BC67" i="8" a="1"/>
  <c r="BG69" i="15" a="1"/>
  <c r="BF48" i="15" a="1"/>
  <c r="AH96" i="15" a="1"/>
  <c r="BE78" i="8" a="1"/>
  <c r="BF39" i="15" a="1"/>
  <c r="BH84" i="15" a="1"/>
  <c r="BF58" i="15" a="1"/>
  <c r="F97" i="15" a="1"/>
  <c r="BC61" i="8" a="1"/>
  <c r="BH55" i="15" a="1"/>
  <c r="H96" i="15" a="1"/>
  <c r="Y96" i="15" a="1"/>
  <c r="BE71" i="8" a="1"/>
  <c r="BH78" i="15" a="1"/>
  <c r="U95" i="15" a="1"/>
  <c r="BF91" i="15" a="1"/>
  <c r="BF78" i="15" a="1"/>
  <c r="BC73" i="8" a="1"/>
  <c r="N97" i="15" a="1"/>
  <c r="BF95" i="15" a="1"/>
  <c r="U97" i="15" a="1"/>
  <c r="BG67" i="15" a="1"/>
  <c r="BF93" i="15" a="1"/>
  <c r="BG82" i="15" a="1"/>
  <c r="BG89" i="15" a="1"/>
  <c r="BE96" i="15" a="1"/>
  <c r="BC84" i="8" a="1"/>
  <c r="AC95" i="15" a="1"/>
  <c r="G97" i="15" a="1"/>
  <c r="BH46" i="15" a="1"/>
  <c r="BF67" i="15" a="1"/>
  <c r="AK95" i="15" a="1"/>
  <c r="BC101" i="8" a="1"/>
  <c r="C97" i="15" a="1"/>
  <c r="BC86" i="8" a="1"/>
  <c r="S95" i="15" a="1"/>
  <c r="AP97" i="15" a="1"/>
  <c r="AI95" i="15" a="1"/>
  <c r="W95" i="15" a="1"/>
  <c r="BH39" i="15" a="1"/>
  <c r="O95" i="15" a="1"/>
  <c r="BD95" i="15" a="1"/>
  <c r="BG70" i="15" a="1"/>
  <c r="P95" i="15" a="1"/>
  <c r="BD97" i="15" a="1"/>
  <c r="BC70" i="8" a="1"/>
  <c r="AB97" i="15" a="1"/>
  <c r="AQ97" i="15" a="1"/>
  <c r="BE54" i="8" a="1"/>
  <c r="AY96" i="15" a="1"/>
  <c r="BH96" i="15" a="1"/>
  <c r="BD103" i="8" a="1"/>
  <c r="BE52" i="8" a="1"/>
  <c r="R96" i="15" a="1"/>
  <c r="BD72" i="8" a="1"/>
  <c r="AI96" i="15" a="1"/>
  <c r="BG68" i="15" a="1"/>
  <c r="AA97" i="15" a="1"/>
  <c r="BH71" i="15" a="1"/>
  <c r="AG96" i="15" a="1"/>
  <c r="BE101" i="8" a="1"/>
  <c r="BH57" i="15" a="1"/>
  <c r="Q95" i="15" a="1"/>
  <c r="BG87" i="15" a="1"/>
  <c r="BF52" i="15" a="1"/>
  <c r="D96" i="15" a="1"/>
  <c r="BH80" i="15" a="1"/>
  <c r="BH66" i="15" a="1"/>
  <c r="AR97" i="15" a="1"/>
  <c r="BG46" i="15" a="1"/>
  <c r="BF87" i="15" a="1"/>
  <c r="BH90" i="15" a="1"/>
  <c r="AV96" i="15" a="1"/>
  <c r="AN97" i="15" a="1"/>
  <c r="BF50" i="15" a="1"/>
  <c r="AW96" i="15" a="1"/>
  <c r="BH64" i="15" a="1"/>
  <c r="AX97" i="15" a="1"/>
  <c r="BF55" i="15" a="1"/>
  <c r="P96" i="15" a="1"/>
  <c r="BF49" i="15" a="1"/>
  <c r="AL97" i="15" a="1"/>
  <c r="BC102" i="8" a="1"/>
  <c r="AM95" i="15" a="1"/>
  <c r="BH74" i="15" a="1"/>
  <c r="BE83" i="8" a="1"/>
  <c r="BD61" i="8" a="1"/>
  <c r="AX96" i="15" a="1"/>
  <c r="U96" i="15" a="1"/>
  <c r="BE59" i="8" a="1"/>
  <c r="C96" i="15" a="1"/>
  <c r="BC58" i="8" a="1"/>
  <c r="BG90" i="15" a="1"/>
  <c r="AE96" i="15" a="1"/>
  <c r="S96" i="15" a="1"/>
  <c r="P97" i="15" a="1"/>
  <c r="BH69" i="15" a="1"/>
  <c r="AC96" i="15" a="1"/>
  <c r="E96" i="15" a="1"/>
  <c r="BF90" i="15" a="1"/>
  <c r="AX95" i="15" a="1"/>
  <c r="BH59" i="15" a="1"/>
  <c r="BF54" i="15" a="1"/>
  <c r="BG94" i="15" a="1"/>
  <c r="BG66" i="15" a="1"/>
  <c r="BG62" i="15" a="1"/>
  <c r="J96" i="15" a="1"/>
  <c r="BF82" i="15" a="1"/>
  <c r="BG39" i="15" a="1"/>
  <c r="AL95" i="15" a="1"/>
  <c r="BG91" i="15" a="1"/>
  <c r="BE74" i="8" a="1"/>
  <c r="BC71" i="8" a="1"/>
  <c r="AJ97" i="15" a="1"/>
  <c r="R95" i="15" a="1"/>
  <c r="T97" i="15" a="1"/>
  <c r="BG71" i="15" a="1"/>
  <c r="J97" i="15" a="1"/>
  <c r="BD64" i="8" a="1"/>
  <c r="AP95" i="15" a="1"/>
  <c r="BG47" i="15" a="1"/>
  <c r="BB96" i="15" a="1"/>
  <c r="O97" i="15" a="1"/>
  <c r="AB96" i="15" a="1"/>
  <c r="I97" i="15" a="1"/>
  <c r="BF70" i="15" a="1"/>
  <c r="M96" i="15" a="1"/>
  <c r="BF77" i="15" a="1"/>
  <c r="BG95" i="15" a="1"/>
  <c r="BD67" i="8" a="1"/>
  <c r="AM97" i="15" a="1"/>
  <c r="BH82" i="15" a="1"/>
  <c r="BA96" i="15" a="1"/>
  <c r="D95" i="15" a="1"/>
  <c r="M95" i="15" a="1"/>
  <c r="AF97" i="15" a="1"/>
  <c r="BE58" i="8" a="1"/>
  <c r="AU95" i="15" a="1"/>
  <c r="BG51" i="15" a="1"/>
  <c r="K96" i="15" a="1"/>
  <c r="BD68" i="8" a="1"/>
  <c r="BD74" i="8" a="1"/>
  <c r="AJ95" i="15" a="1"/>
  <c r="D97" i="15" a="1"/>
  <c r="BF60" i="15" a="1"/>
  <c r="BH72" i="15" a="1"/>
  <c r="BG76" i="15" a="1"/>
  <c r="BF51" i="15" a="1"/>
  <c r="BG53" i="15" a="1"/>
  <c r="S97" i="15" a="1"/>
  <c r="AT95" i="15" a="1"/>
  <c r="W97" i="15" a="1"/>
  <c r="AY97" i="15" a="1"/>
  <c r="BG84" i="15" a="1"/>
  <c r="BF81" i="15" a="1"/>
  <c r="BF84" i="15" a="1"/>
  <c r="BH44" i="15" a="1"/>
  <c r="BF62" i="15" a="1"/>
  <c r="BE76" i="8" a="1"/>
  <c r="BE103" i="8" a="1"/>
  <c r="BG48" i="15" a="1"/>
  <c r="BE86" i="8" a="1"/>
  <c r="BG55" i="15" a="1"/>
  <c r="BG64" i="15" a="1"/>
  <c r="BF94" i="15" a="1"/>
  <c r="G95" i="15" a="1"/>
  <c r="BF43" i="15" a="1"/>
  <c r="AP96" i="15" a="1"/>
  <c r="Z97" i="15" a="1"/>
  <c r="F95" i="15" a="1"/>
  <c r="BH51" i="15" a="1"/>
  <c r="BD84" i="8" a="1"/>
  <c r="BH81" i="15" a="1"/>
  <c r="BH93" i="15" a="1"/>
  <c r="AU97" i="15" a="1"/>
  <c r="BD65" i="8" a="1"/>
  <c r="BF44" i="15" a="1"/>
  <c r="BF53" i="15" a="1"/>
  <c r="AO95" i="15" a="1"/>
  <c r="Q96" i="15" a="1"/>
  <c r="AZ96" i="15" a="1"/>
  <c r="Z95" i="15" a="1"/>
  <c r="BF97" i="15" a="1"/>
  <c r="BF85" i="15" a="1"/>
  <c r="BG65" i="15" a="1"/>
  <c r="BE72" i="8" a="1"/>
  <c r="BC103" i="8" a="1"/>
  <c r="Y95" i="15" a="1"/>
  <c r="BC60" i="8" a="1"/>
  <c r="BB97" i="15" a="1"/>
  <c r="BC100" i="8" a="1"/>
  <c r="BD102" i="8" a="1"/>
  <c r="BF61" i="15" a="1"/>
  <c r="BF68" i="15" a="1"/>
  <c r="BD70" i="8" a="1"/>
  <c r="BD96" i="15" a="1"/>
  <c r="BD58" i="8" a="1"/>
  <c r="AR95" i="15" a="1"/>
  <c r="BH70" i="15" a="1"/>
  <c r="AI97" i="15" a="1"/>
  <c r="BF79" i="15" a="1"/>
  <c r="T96" i="15" a="1"/>
  <c r="BF83" i="15" a="1"/>
  <c r="N96" i="15" a="1"/>
  <c r="AE95" i="15" a="1"/>
  <c r="BD73" i="8" a="1"/>
  <c r="BH43" i="15" a="1"/>
  <c r="BH83" i="15" a="1"/>
  <c r="BE60" i="8" a="1"/>
  <c r="BG93" i="15" a="1"/>
  <c r="AB95" i="15" a="1"/>
  <c r="BG43" i="15" a="1"/>
  <c r="BF56" i="15" a="1"/>
  <c r="BH49" i="15" a="1"/>
  <c r="BC83" i="8" a="1"/>
  <c r="I96" i="15" a="1"/>
  <c r="BD86" i="8" a="1"/>
  <c r="V95" i="15" a="1"/>
  <c r="AN96" i="15" a="1"/>
  <c r="BD100" i="8" a="1"/>
  <c r="BC97" i="15" a="1"/>
  <c r="BE70" i="8" a="1"/>
  <c r="BH58" i="15" a="1"/>
  <c r="BF76" i="15" a="1"/>
  <c r="BD104" i="8" a="1"/>
  <c r="R97" i="15" a="1"/>
  <c r="AN95" i="15" a="1"/>
  <c r="BD59" i="8" a="1"/>
  <c r="BA97" i="15" a="1"/>
  <c r="AD96" i="15" a="1"/>
  <c r="BG79" i="15" a="1"/>
  <c r="AC97" i="15" a="1"/>
  <c r="Q97" i="15" a="1"/>
  <c r="BF92" i="15" a="1"/>
  <c r="AQ96" i="15" a="1"/>
  <c r="BD101" i="8" a="1"/>
  <c r="BH63" i="15" a="1"/>
  <c r="BF80" i="15" a="1"/>
  <c r="BH86" i="15" a="1"/>
  <c r="BD85" i="8" a="1"/>
  <c r="AV95" i="15" a="1"/>
  <c r="BE56" i="8" a="1"/>
  <c r="AO96" i="15" a="1"/>
  <c r="BE104" i="8" a="1"/>
  <c r="BG77" i="15" a="1"/>
  <c r="K97" i="15" a="1"/>
  <c r="BD62" i="8" a="1"/>
  <c r="BE82" i="8" a="1"/>
  <c r="BE84" i="8" a="1"/>
  <c r="F96" i="15" a="1"/>
  <c r="BF75" i="15" a="1"/>
  <c r="BH65" i="15" a="1"/>
  <c r="BH67" i="15" a="1"/>
  <c r="BC104" i="8" a="1"/>
  <c r="J95" i="15" a="1"/>
  <c r="BH68" i="15" a="1"/>
  <c r="BC64" i="8" a="1"/>
  <c r="AD97" i="15" a="1"/>
  <c r="V97" i="15" a="1"/>
  <c r="BE66" i="8" a="1"/>
  <c r="G96" i="15" a="1"/>
  <c r="BG44" i="15" a="1"/>
  <c r="BG58" i="15" a="1"/>
  <c r="BH91" i="15" a="1"/>
  <c r="BG96" i="15" a="1"/>
  <c r="BE73" i="8" a="1"/>
  <c r="BE67" i="8" a="1"/>
  <c r="BE64" i="8" a="1"/>
  <c r="AD95" i="15" a="1"/>
  <c r="BG60" i="15" a="1"/>
  <c r="BH54" i="15" a="1"/>
  <c r="BF57" i="15" a="1"/>
  <c r="L96" i="15" a="1"/>
  <c r="BG50" i="15" a="1"/>
  <c r="BH95" i="15" a="1"/>
  <c r="BF64" i="15" a="1"/>
  <c r="AF95" i="15" a="1"/>
  <c r="BC72" i="8" a="1"/>
  <c r="BH94" i="15" a="1"/>
  <c r="BG97" i="15" a="1"/>
  <c r="H97" i="15" a="1"/>
  <c r="BG83" i="15" a="1"/>
  <c r="BE77" i="8" a="1"/>
  <c r="BC66" i="8" a="1"/>
  <c r="BG73" i="15" a="1"/>
  <c r="L95" i="15" a="1"/>
  <c r="V96" i="15" a="1"/>
  <c r="BH76" i="15" a="1"/>
  <c r="BH50" i="15" a="1"/>
  <c r="BG72" i="15" a="1"/>
  <c r="BG59" i="15" a="1"/>
  <c r="AL96" i="15" a="1"/>
  <c r="BH62" i="15" a="1"/>
  <c r="AW95" i="15" a="1"/>
  <c r="BH88" i="15" a="1"/>
  <c r="N95" i="15" a="1"/>
  <c r="BH85" i="15" a="1"/>
  <c r="BG92" i="15" a="1"/>
  <c r="BF65" i="15" a="1"/>
  <c r="BG85" i="15" a="1"/>
  <c r="E95" i="15" a="1"/>
  <c r="BH56" i="15" a="1"/>
  <c r="X97" i="15" a="1"/>
  <c r="BF96" i="15" a="1"/>
  <c r="BF45" i="15" a="1"/>
  <c r="BF63" i="15" a="1"/>
  <c r="M97" i="15" a="1"/>
  <c r="BF89" i="15" a="1"/>
  <c r="BC59" i="8" a="1"/>
  <c r="BE100" i="8" a="1"/>
  <c r="E97" i="15" a="1"/>
  <c r="AK96" i="15" a="1"/>
  <c r="L97" i="15" a="1"/>
  <c r="BE53" i="8" a="1"/>
  <c r="AQ95" i="15" a="1"/>
  <c r="X95" i="15" a="1"/>
  <c r="BD82" i="8" a="1"/>
  <c r="BC82" i="8" a="1"/>
  <c r="BF46" i="15" a="1"/>
  <c r="X96" i="15" a="1"/>
  <c r="BB95" i="15" a="1"/>
  <c r="BH45" i="15" a="1"/>
  <c r="H95" i="15" a="1"/>
  <c r="AZ95" i="15" a="1"/>
  <c r="AS97" i="15" a="1"/>
  <c r="BG52" i="15" a="1"/>
  <c r="BF86" i="15" a="1"/>
  <c r="BE102" i="8" a="1"/>
  <c r="BC74" i="8" a="1"/>
  <c r="BF88" i="15" a="1"/>
  <c r="BH97" i="15" a="1"/>
  <c r="BC96" i="15" a="1"/>
  <c r="BG80" i="15" a="1"/>
  <c r="AH97" i="15" a="1"/>
  <c r="BH53" i="15" a="1"/>
  <c r="BC95" i="15" a="1"/>
  <c r="BE97" i="15" a="1"/>
  <c r="BH48" i="15" a="1"/>
  <c r="BH60" i="15" a="1"/>
  <c r="BG75" i="15" a="1"/>
  <c r="T95" i="15" a="1"/>
  <c r="AF96" i="15" a="1"/>
  <c r="AA95" i="15" a="1"/>
  <c r="BG78" i="15" a="1"/>
  <c r="Z96" i="15" a="1"/>
  <c r="BH61" i="15" a="1"/>
  <c r="BE62" i="8" a="1"/>
  <c r="BC68" i="8" a="1"/>
  <c r="BF69" i="15" a="1"/>
  <c r="AZ97" i="15" a="1"/>
  <c r="AT97" i="15" a="1"/>
  <c r="BG81" i="15" a="1"/>
  <c r="BE80" i="8" a="1"/>
  <c r="I95" i="15" a="1"/>
  <c r="BH92" i="15" a="1"/>
  <c r="W96" i="15" a="1"/>
  <c r="BG63" i="15" a="1"/>
  <c r="AM96" i="15" a="1"/>
  <c r="AG95" i="15" a="1"/>
  <c r="AS95" i="15" a="1"/>
  <c r="AJ96" i="15" a="1"/>
  <c r="BG86" i="15" a="1"/>
  <c r="AV97" i="15" a="1"/>
  <c r="BC62" i="8" a="1"/>
  <c r="AS96" i="15" a="1"/>
  <c r="C95" i="15" a="1"/>
  <c r="AK97" i="15" a="1"/>
  <c r="BH75" i="15" a="1"/>
  <c r="BG57" i="15" a="1"/>
  <c r="BE95" i="15" a="1"/>
  <c r="BE79" i="8" a="1"/>
  <c r="BA95" i="15" a="1"/>
  <c r="AE97" i="15" a="1"/>
  <c r="BE53" i="8" l="1"/>
  <c r="BE54" i="8"/>
  <c r="BE56" i="8"/>
  <c r="BE52" i="8"/>
  <c r="BE55" i="8"/>
  <c r="BE77" i="8"/>
  <c r="BE78" i="8"/>
  <c r="BE76" i="8"/>
  <c r="BE80" i="8"/>
  <c r="BE79" i="8"/>
  <c r="BF51" i="15"/>
  <c r="BF114" i="15" s="1"/>
  <c r="AE96" i="15"/>
  <c r="BG64" i="15"/>
  <c r="BG127" i="15" s="1"/>
  <c r="BF96" i="15"/>
  <c r="BF75" i="15"/>
  <c r="BF138" i="15" s="1"/>
  <c r="BG75" i="15"/>
  <c r="BG138" i="15" s="1"/>
  <c r="BF88" i="15"/>
  <c r="BF151" i="15" s="1"/>
  <c r="V95" i="15"/>
  <c r="BG39" i="15"/>
  <c r="BG105" i="15" s="1"/>
  <c r="BG72" i="15"/>
  <c r="BG135" i="15" s="1"/>
  <c r="BG45" i="15"/>
  <c r="BG108" i="15" s="1"/>
  <c r="BG57" i="15"/>
  <c r="BG120" i="15" s="1"/>
  <c r="U95" i="15"/>
  <c r="BF57" i="15"/>
  <c r="BF120" i="15" s="1"/>
  <c r="L96" i="15"/>
  <c r="BG67" i="15"/>
  <c r="BG130" i="15" s="1"/>
  <c r="BE96" i="15"/>
  <c r="BD70" i="8"/>
  <c r="BF47" i="15"/>
  <c r="BF110" i="15" s="1"/>
  <c r="BF65" i="15"/>
  <c r="BF128" i="15" s="1"/>
  <c r="BG61" i="15"/>
  <c r="BG124" i="15" s="1"/>
  <c r="G96" i="15"/>
  <c r="X96" i="15"/>
  <c r="AM95" i="15"/>
  <c r="BD95" i="15"/>
  <c r="BF60" i="15"/>
  <c r="BF123" i="15" s="1"/>
  <c r="BF72" i="15"/>
  <c r="BF135" i="15" s="1"/>
  <c r="AK96" i="15"/>
  <c r="Q96" i="15"/>
  <c r="BD66" i="8"/>
  <c r="BG80" i="15"/>
  <c r="BG143" i="15" s="1"/>
  <c r="BA96" i="15"/>
  <c r="AS95" i="15"/>
  <c r="BF95" i="15"/>
  <c r="BF61" i="15"/>
  <c r="BF124" i="15" s="1"/>
  <c r="BC103" i="8"/>
  <c r="AD95" i="15"/>
  <c r="AH96" i="15"/>
  <c r="BD102" i="8"/>
  <c r="BG63" i="15"/>
  <c r="BG126" i="15" s="1"/>
  <c r="AL96" i="15"/>
  <c r="BF54" i="15"/>
  <c r="BF117" i="15" s="1"/>
  <c r="AU95" i="15"/>
  <c r="BC100" i="8"/>
  <c r="BF84" i="15"/>
  <c r="BF147" i="15" s="1"/>
  <c r="AC96" i="15"/>
  <c r="BD86" i="8"/>
  <c r="BG73" i="15"/>
  <c r="BG136" i="15" s="1"/>
  <c r="AX96" i="15"/>
  <c r="AE95" i="15"/>
  <c r="P95" i="15"/>
  <c r="O95" i="15"/>
  <c r="AB95" i="15"/>
  <c r="BC86" i="8"/>
  <c r="AI96" i="15"/>
  <c r="AS96" i="15"/>
  <c r="BD74" i="8"/>
  <c r="R95" i="15"/>
  <c r="BF58" i="15"/>
  <c r="BF121" i="15" s="1"/>
  <c r="BC82" i="8"/>
  <c r="BF69" i="15"/>
  <c r="BF132" i="15" s="1"/>
  <c r="BF87" i="15"/>
  <c r="BF150" i="15" s="1"/>
  <c r="BC96" i="15"/>
  <c r="BG87" i="15"/>
  <c r="BG150" i="15" s="1"/>
  <c r="BB96" i="15"/>
  <c r="D96" i="15"/>
  <c r="D159" i="15" s="1"/>
  <c r="BF43" i="15"/>
  <c r="BF106" i="15" s="1"/>
  <c r="C95" i="15"/>
  <c r="C158" i="15" s="1"/>
  <c r="AJ95" i="15"/>
  <c r="W95" i="15"/>
  <c r="BD83" i="8"/>
  <c r="W96" i="15"/>
  <c r="Y96" i="15"/>
  <c r="BG94" i="15"/>
  <c r="BG157" i="15" s="1"/>
  <c r="BC61" i="8"/>
  <c r="BC101" i="8"/>
  <c r="BF73" i="15"/>
  <c r="BF136" i="15" s="1"/>
  <c r="BC72" i="8"/>
  <c r="BD60" i="8"/>
  <c r="U96" i="15"/>
  <c r="AQ96" i="15"/>
  <c r="AU96" i="15"/>
  <c r="AD96" i="15"/>
  <c r="BG46" i="15"/>
  <c r="BG109" i="15" s="1"/>
  <c r="BG93" i="15"/>
  <c r="BG156" i="15" s="1"/>
  <c r="BG83" i="15"/>
  <c r="BG146" i="15" s="1"/>
  <c r="BG53" i="15"/>
  <c r="BG116" i="15" s="1"/>
  <c r="AN95" i="15"/>
  <c r="Q95" i="15"/>
  <c r="AV95" i="15"/>
  <c r="Z95" i="15"/>
  <c r="BC67" i="8"/>
  <c r="AY95" i="15"/>
  <c r="H95" i="15"/>
  <c r="BF80" i="15"/>
  <c r="BF143" i="15" s="1"/>
  <c r="R96" i="15"/>
  <c r="BD101" i="8"/>
  <c r="BG48" i="15"/>
  <c r="BG111" i="15" s="1"/>
  <c r="BG43" i="15"/>
  <c r="BG106" i="15" s="1"/>
  <c r="BG65" i="15"/>
  <c r="BG128" i="15" s="1"/>
  <c r="BG79" i="15"/>
  <c r="BG142" i="15" s="1"/>
  <c r="BG62" i="15"/>
  <c r="BG125" i="15" s="1"/>
  <c r="BG92" i="15"/>
  <c r="BG155" i="15" s="1"/>
  <c r="BC62" i="8"/>
  <c r="BC95" i="15"/>
  <c r="BF91" i="15"/>
  <c r="BF154" i="15" s="1"/>
  <c r="BF63" i="15"/>
  <c r="BF126" i="15" s="1"/>
  <c r="BF81" i="15"/>
  <c r="BF144" i="15" s="1"/>
  <c r="AF95" i="15"/>
  <c r="BF89" i="15"/>
  <c r="BF152" i="15" s="1"/>
  <c r="BF39" i="15"/>
  <c r="BF105" i="15" s="1"/>
  <c r="BC102" i="8"/>
  <c r="BG68" i="15"/>
  <c r="BG131" i="15" s="1"/>
  <c r="V96" i="15"/>
  <c r="J96" i="15"/>
  <c r="N96" i="15"/>
  <c r="BD62" i="8"/>
  <c r="K96" i="15"/>
  <c r="BG47" i="15"/>
  <c r="BG110" i="15" s="1"/>
  <c r="BG52" i="15"/>
  <c r="BG115" i="15" s="1"/>
  <c r="AC95" i="15"/>
  <c r="G95" i="15"/>
  <c r="AT95" i="15"/>
  <c r="L95" i="15"/>
  <c r="BC65" i="8"/>
  <c r="BC71" i="8"/>
  <c r="BF53" i="15"/>
  <c r="BF116" i="15" s="1"/>
  <c r="BF52" i="15"/>
  <c r="BF115" i="15" s="1"/>
  <c r="BD100" i="8"/>
  <c r="AZ96" i="15"/>
  <c r="M96" i="15"/>
  <c r="BG78" i="15"/>
  <c r="BG141" i="15" s="1"/>
  <c r="BG56" i="15"/>
  <c r="BG119" i="15" s="1"/>
  <c r="BD84" i="8"/>
  <c r="C96" i="15"/>
  <c r="C159" i="15" s="1"/>
  <c r="BD82" i="8"/>
  <c r="BG71" i="15"/>
  <c r="BG134" i="15" s="1"/>
  <c r="BC74" i="8"/>
  <c r="BA95" i="15"/>
  <c r="BF86" i="15"/>
  <c r="BF149" i="15" s="1"/>
  <c r="BC83" i="8"/>
  <c r="F95" i="15"/>
  <c r="BF49" i="15"/>
  <c r="BF112" i="15" s="1"/>
  <c r="M95" i="15"/>
  <c r="BF45" i="15"/>
  <c r="BF108" i="15" s="1"/>
  <c r="AG96" i="15"/>
  <c r="Y95" i="15"/>
  <c r="AL95" i="15"/>
  <c r="AZ95" i="15"/>
  <c r="BF90" i="15"/>
  <c r="BF153" i="15" s="1"/>
  <c r="BD104" i="8"/>
  <c r="BG96" i="15"/>
  <c r="BD68" i="8"/>
  <c r="AW96" i="15"/>
  <c r="BF92" i="15"/>
  <c r="BF155" i="15" s="1"/>
  <c r="BC64" i="8"/>
  <c r="BF93" i="15"/>
  <c r="BF156" i="15" s="1"/>
  <c r="BF76" i="15"/>
  <c r="BF139" i="15" s="1"/>
  <c r="BG49" i="15"/>
  <c r="BG112" i="15" s="1"/>
  <c r="BG85" i="15"/>
  <c r="BG148" i="15" s="1"/>
  <c r="BD64" i="8"/>
  <c r="BD103" i="8"/>
  <c r="BF85" i="15"/>
  <c r="BF148" i="15" s="1"/>
  <c r="BC85" i="8"/>
  <c r="AG95" i="15"/>
  <c r="AX95" i="15"/>
  <c r="BF83" i="15"/>
  <c r="BF146" i="15" s="1"/>
  <c r="O96" i="15"/>
  <c r="BG74" i="15"/>
  <c r="BG137" i="15" s="1"/>
  <c r="AB96" i="15"/>
  <c r="BG76" i="15"/>
  <c r="BG139" i="15" s="1"/>
  <c r="BF56" i="15"/>
  <c r="BF119" i="15" s="1"/>
  <c r="BF62" i="15"/>
  <c r="BF125" i="15" s="1"/>
  <c r="BB95" i="15"/>
  <c r="BF46" i="15"/>
  <c r="BF109" i="15" s="1"/>
  <c r="AO96" i="15"/>
  <c r="BG50" i="15"/>
  <c r="BG113" i="15" s="1"/>
  <c r="AJ96" i="15"/>
  <c r="BG59" i="15"/>
  <c r="BG122" i="15" s="1"/>
  <c r="AY96" i="15"/>
  <c r="BF70" i="15"/>
  <c r="BF133" i="15" s="1"/>
  <c r="BF79" i="15"/>
  <c r="BF142" i="15" s="1"/>
  <c r="BF48" i="15"/>
  <c r="BF111" i="15" s="1"/>
  <c r="BF94" i="15"/>
  <c r="BF157" i="15" s="1"/>
  <c r="AN96" i="15"/>
  <c r="BG81" i="15"/>
  <c r="BG144" i="15" s="1"/>
  <c r="BD72" i="8"/>
  <c r="E96" i="15"/>
  <c r="BG90" i="15"/>
  <c r="BG153" i="15" s="1"/>
  <c r="J95" i="15"/>
  <c r="BF68" i="15"/>
  <c r="BF131" i="15" s="1"/>
  <c r="BF71" i="15"/>
  <c r="BF134" i="15" s="1"/>
  <c r="I95" i="15"/>
  <c r="T96" i="15"/>
  <c r="BD61" i="8"/>
  <c r="BD59" i="8"/>
  <c r="BD67" i="8"/>
  <c r="AR96" i="15"/>
  <c r="AA95" i="15"/>
  <c r="AR95" i="15"/>
  <c r="BC68" i="8"/>
  <c r="AP95" i="15"/>
  <c r="BF82" i="15"/>
  <c r="BF145" i="15" s="1"/>
  <c r="Z96" i="15"/>
  <c r="BG95" i="15"/>
  <c r="BD73" i="8"/>
  <c r="I96" i="15"/>
  <c r="P96" i="15"/>
  <c r="BG70" i="15"/>
  <c r="BG133" i="15" s="1"/>
  <c r="S96" i="15"/>
  <c r="BG69" i="15"/>
  <c r="BG132" i="15" s="1"/>
  <c r="AP96" i="15"/>
  <c r="BE95" i="15"/>
  <c r="AI95" i="15"/>
  <c r="BC73" i="8"/>
  <c r="BC104" i="8"/>
  <c r="BF66" i="15"/>
  <c r="BF129" i="15" s="1"/>
  <c r="BF50" i="15"/>
  <c r="BF113" i="15" s="1"/>
  <c r="BG66" i="15"/>
  <c r="BG129" i="15" s="1"/>
  <c r="AV96" i="15"/>
  <c r="BD58" i="8"/>
  <c r="BD94" i="8" s="1"/>
  <c r="F96" i="15"/>
  <c r="F159" i="15" s="1"/>
  <c r="BG54" i="15"/>
  <c r="BG117" i="15" s="1"/>
  <c r="BG91" i="15"/>
  <c r="BG154" i="15" s="1"/>
  <c r="BD65" i="8"/>
  <c r="BG82" i="15"/>
  <c r="BG145" i="15" s="1"/>
  <c r="AM96" i="15"/>
  <c r="BC66" i="8"/>
  <c r="BF78" i="15"/>
  <c r="BF141" i="15" s="1"/>
  <c r="AH95" i="15"/>
  <c r="BF74" i="15"/>
  <c r="BF137" i="15" s="1"/>
  <c r="BC58" i="8"/>
  <c r="BC94" i="8" s="1"/>
  <c r="X95" i="15"/>
  <c r="AO95" i="15"/>
  <c r="S95" i="15"/>
  <c r="D95" i="15"/>
  <c r="D158" i="15" s="1"/>
  <c r="BG77" i="15"/>
  <c r="BG140" i="15" s="1"/>
  <c r="BG84" i="15"/>
  <c r="BG147" i="15" s="1"/>
  <c r="BG89" i="15"/>
  <c r="BG152" i="15" s="1"/>
  <c r="AF96" i="15"/>
  <c r="BG55" i="15"/>
  <c r="BG118" i="15" s="1"/>
  <c r="BG88" i="15"/>
  <c r="BG151" i="15" s="1"/>
  <c r="AT96" i="15"/>
  <c r="BG60" i="15"/>
  <c r="BG123" i="15" s="1"/>
  <c r="AW95" i="15"/>
  <c r="AK95" i="15"/>
  <c r="BF44" i="15"/>
  <c r="BF107" i="15" s="1"/>
  <c r="BC59" i="8"/>
  <c r="AQ95" i="15"/>
  <c r="BF59" i="15"/>
  <c r="BF122" i="15" s="1"/>
  <c r="BC60" i="8"/>
  <c r="BF55" i="15"/>
  <c r="BF118" i="15" s="1"/>
  <c r="BF64" i="15"/>
  <c r="BF127" i="15" s="1"/>
  <c r="BD71" i="8"/>
  <c r="H96" i="15"/>
  <c r="BG51" i="15"/>
  <c r="BG114" i="15" s="1"/>
  <c r="BG58" i="15"/>
  <c r="BG121" i="15" s="1"/>
  <c r="BD96" i="15"/>
  <c r="BD159" i="15" s="1"/>
  <c r="BG86" i="15"/>
  <c r="BG149" i="15" s="1"/>
  <c r="BD85" i="8"/>
  <c r="BG44" i="15"/>
  <c r="BG107" i="15" s="1"/>
  <c r="AA96" i="15"/>
  <c r="AA159" i="15" s="1"/>
  <c r="K95" i="15"/>
  <c r="BF67" i="15"/>
  <c r="BF130" i="15" s="1"/>
  <c r="T95" i="15"/>
  <c r="BF77" i="15"/>
  <c r="BF140" i="15" s="1"/>
  <c r="BC70" i="8"/>
  <c r="N95" i="15"/>
  <c r="N158" i="15" s="1"/>
  <c r="E95" i="15"/>
  <c r="BC84" i="8"/>
  <c r="D97" i="15"/>
  <c r="D160" i="15" s="1"/>
  <c r="B160" i="15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U97" i="15"/>
  <c r="AV97" i="15"/>
  <c r="AW97" i="15"/>
  <c r="AX97" i="15"/>
  <c r="AY97" i="15"/>
  <c r="AZ97" i="15"/>
  <c r="BA97" i="15"/>
  <c r="BB97" i="15"/>
  <c r="BB160" i="15" s="1"/>
  <c r="BC97" i="15"/>
  <c r="BD97" i="15"/>
  <c r="BE97" i="15"/>
  <c r="BF97" i="15"/>
  <c r="BF160" i="15" s="1"/>
  <c r="BG97" i="15"/>
  <c r="BH43" i="15"/>
  <c r="BH106" i="15" s="1"/>
  <c r="BH50" i="15"/>
  <c r="BH113" i="15" s="1"/>
  <c r="BH56" i="15"/>
  <c r="BH119" i="15" s="1"/>
  <c r="BH49" i="15"/>
  <c r="BH112" i="15" s="1"/>
  <c r="BH57" i="15"/>
  <c r="BH120" i="15" s="1"/>
  <c r="BH67" i="15"/>
  <c r="BH130" i="15" s="1"/>
  <c r="BH62" i="15"/>
  <c r="BH125" i="15" s="1"/>
  <c r="BH72" i="15"/>
  <c r="BH135" i="15" s="1"/>
  <c r="BH71" i="15"/>
  <c r="BH134" i="15" s="1"/>
  <c r="BH79" i="15"/>
  <c r="BH142" i="15" s="1"/>
  <c r="BH85" i="15"/>
  <c r="BH148" i="15" s="1"/>
  <c r="BH93" i="15"/>
  <c r="BH156" i="15" s="1"/>
  <c r="BH91" i="15"/>
  <c r="BH154" i="15" s="1"/>
  <c r="BH95" i="15"/>
  <c r="BH45" i="15"/>
  <c r="BH108" i="15" s="1"/>
  <c r="BH53" i="15"/>
  <c r="BH116" i="15" s="1"/>
  <c r="BH58" i="15"/>
  <c r="BH121" i="15" s="1"/>
  <c r="BH51" i="15"/>
  <c r="BH114" i="15" s="1"/>
  <c r="BH59" i="15"/>
  <c r="BH122" i="15" s="1"/>
  <c r="BH69" i="15"/>
  <c r="BH132" i="15" s="1"/>
  <c r="BH66" i="15"/>
  <c r="BH129" i="15" s="1"/>
  <c r="BH75" i="15"/>
  <c r="BH138" i="15" s="1"/>
  <c r="BH74" i="15"/>
  <c r="BH137" i="15" s="1"/>
  <c r="BH80" i="15"/>
  <c r="BH143" i="15" s="1"/>
  <c r="BH84" i="15"/>
  <c r="BH147" i="15" s="1"/>
  <c r="BH86" i="15"/>
  <c r="BH149" i="15" s="1"/>
  <c r="BH92" i="15"/>
  <c r="BH155" i="15" s="1"/>
  <c r="BH96" i="15"/>
  <c r="BH44" i="15"/>
  <c r="BH107" i="15" s="1"/>
  <c r="BH54" i="15"/>
  <c r="BH117" i="15" s="1"/>
  <c r="BH47" i="15"/>
  <c r="BH110" i="15" s="1"/>
  <c r="BH52" i="15"/>
  <c r="BH115" i="15" s="1"/>
  <c r="BH63" i="15"/>
  <c r="BH126" i="15" s="1"/>
  <c r="BH61" i="15"/>
  <c r="BH124" i="15" s="1"/>
  <c r="BH68" i="15"/>
  <c r="BH131" i="15" s="1"/>
  <c r="BH77" i="15"/>
  <c r="BH140" i="15" s="1"/>
  <c r="BH76" i="15"/>
  <c r="BH139" i="15" s="1"/>
  <c r="BH81" i="15"/>
  <c r="BH144" i="15" s="1"/>
  <c r="BH82" i="15"/>
  <c r="BH145" i="15" s="1"/>
  <c r="BH87" i="15"/>
  <c r="BH150" i="15" s="1"/>
  <c r="BH88" i="15"/>
  <c r="BH151" i="15" s="1"/>
  <c r="BH97" i="15"/>
  <c r="BH46" i="15"/>
  <c r="BH109" i="15" s="1"/>
  <c r="BH55" i="15"/>
  <c r="BH118" i="15" s="1"/>
  <c r="BH48" i="15"/>
  <c r="BH111" i="15" s="1"/>
  <c r="BH60" i="15"/>
  <c r="BH123" i="15" s="1"/>
  <c r="BH64" i="15"/>
  <c r="BH127" i="15" s="1"/>
  <c r="BH65" i="15"/>
  <c r="BH128" i="15" s="1"/>
  <c r="BH70" i="15"/>
  <c r="BH133" i="15" s="1"/>
  <c r="BH73" i="15"/>
  <c r="BH136" i="15" s="1"/>
  <c r="BH78" i="15"/>
  <c r="BH141" i="15" s="1"/>
  <c r="BH83" i="15"/>
  <c r="BH146" i="15" s="1"/>
  <c r="BH89" i="15"/>
  <c r="BH152" i="15" s="1"/>
  <c r="BH90" i="15"/>
  <c r="BH153" i="15" s="1"/>
  <c r="BH94" i="15"/>
  <c r="BH157" i="15" s="1"/>
  <c r="BH39" i="15"/>
  <c r="BH105" i="15" s="1"/>
  <c r="BJ38" i="15"/>
  <c r="B98" i="15"/>
  <c r="BE104" i="8"/>
  <c r="BE86" i="8"/>
  <c r="BE74" i="8"/>
  <c r="BE68" i="8"/>
  <c r="BE62" i="8"/>
  <c r="BE61" i="8"/>
  <c r="BE60" i="8"/>
  <c r="BE59" i="8"/>
  <c r="BE65" i="8"/>
  <c r="BE66" i="8"/>
  <c r="BE67" i="8"/>
  <c r="BE73" i="8"/>
  <c r="BE71" i="8"/>
  <c r="BE72" i="8"/>
  <c r="BE84" i="8"/>
  <c r="BE85" i="8"/>
  <c r="BE83" i="8"/>
  <c r="BE102" i="8"/>
  <c r="BE58" i="8"/>
  <c r="BE64" i="8"/>
  <c r="BE82" i="8"/>
  <c r="BE70" i="8"/>
  <c r="BE103" i="8"/>
  <c r="BE101" i="8"/>
  <c r="BE100" i="8"/>
  <c r="BF50" i="8"/>
  <c r="BI51" i="15" a="1"/>
  <c r="BI82" i="15" a="1"/>
  <c r="AE98" i="15" a="1"/>
  <c r="BI75" i="15" a="1"/>
  <c r="E98" i="15" a="1"/>
  <c r="AJ98" i="15" a="1"/>
  <c r="O98" i="15" a="1"/>
  <c r="BI95" i="15" a="1"/>
  <c r="AF98" i="15" a="1"/>
  <c r="BI65" i="15" a="1"/>
  <c r="BF58" i="8" a="1"/>
  <c r="BF73" i="8" a="1"/>
  <c r="I98" i="15" a="1"/>
  <c r="S98" i="15" a="1"/>
  <c r="D98" i="15" a="1"/>
  <c r="BD98" i="15" a="1"/>
  <c r="BI87" i="15" a="1"/>
  <c r="BI54" i="15" a="1"/>
  <c r="BI53" i="15" a="1"/>
  <c r="BA98" i="15" a="1"/>
  <c r="BF74" i="8" a="1"/>
  <c r="BI62" i="15" a="1"/>
  <c r="AZ98" i="15" a="1"/>
  <c r="BI57" i="15" a="1"/>
  <c r="W98" i="15" a="1"/>
  <c r="AL98" i="15" a="1"/>
  <c r="BF83" i="8" a="1"/>
  <c r="BI85" i="15" a="1"/>
  <c r="BI83" i="15" a="1"/>
  <c r="BI74" i="15" a="1"/>
  <c r="BI44" i="15" a="1"/>
  <c r="BF61" i="8" a="1"/>
  <c r="AI98" i="15" a="1"/>
  <c r="BI39" i="15" a="1"/>
  <c r="BI47" i="15" a="1"/>
  <c r="BI80" i="15" a="1"/>
  <c r="AO98" i="15" a="1"/>
  <c r="BI46" i="15" a="1"/>
  <c r="AH98" i="15" a="1"/>
  <c r="AR98" i="15" a="1"/>
  <c r="P98" i="15" a="1"/>
  <c r="BF98" i="15" a="1"/>
  <c r="AQ98" i="15" a="1"/>
  <c r="BI71" i="15" a="1"/>
  <c r="BF68" i="8" a="1"/>
  <c r="X98" i="15" a="1"/>
  <c r="BI72" i="15" a="1"/>
  <c r="BF86" i="8" a="1"/>
  <c r="AS98" i="15" a="1"/>
  <c r="F98" i="15" a="1"/>
  <c r="Y98" i="15" a="1"/>
  <c r="BI48" i="15" a="1"/>
  <c r="AN98" i="15" a="1"/>
  <c r="AY98" i="15" a="1"/>
  <c r="BI79" i="15" a="1"/>
  <c r="BF103" i="8" a="1"/>
  <c r="K98" i="15" a="1"/>
  <c r="BF84" i="8" a="1"/>
  <c r="R98" i="15" a="1"/>
  <c r="BI63" i="15" a="1"/>
  <c r="BI97" i="15" a="1"/>
  <c r="BF85" i="8" a="1"/>
  <c r="BI91" i="15" a="1"/>
  <c r="BI70" i="15" a="1"/>
  <c r="BI98" i="15" a="1"/>
  <c r="BI76" i="15" a="1"/>
  <c r="BI68" i="15" a="1"/>
  <c r="BI55" i="15" a="1"/>
  <c r="BF102" i="8" a="1"/>
  <c r="BF72" i="8" a="1"/>
  <c r="BI92" i="15" a="1"/>
  <c r="BI60" i="15" a="1"/>
  <c r="V98" i="15" a="1"/>
  <c r="AX98" i="15" a="1"/>
  <c r="AG98" i="15" a="1"/>
  <c r="BI93" i="15" a="1"/>
  <c r="BG98" i="15" a="1"/>
  <c r="U98" i="15" a="1"/>
  <c r="BF59" i="8" a="1"/>
  <c r="BF77" i="8" a="1"/>
  <c r="BC98" i="15" a="1"/>
  <c r="BI88" i="15" a="1"/>
  <c r="AM98" i="15" a="1"/>
  <c r="BI69" i="15" a="1"/>
  <c r="AC98" i="15" a="1"/>
  <c r="AA98" i="15" a="1"/>
  <c r="BI90" i="15" a="1"/>
  <c r="BF71" i="8" a="1"/>
  <c r="AU98" i="15" a="1"/>
  <c r="G98" i="15" a="1"/>
  <c r="BI84" i="15" a="1"/>
  <c r="N98" i="15" a="1"/>
  <c r="BI73" i="15" a="1"/>
  <c r="BI81" i="15" a="1"/>
  <c r="H98" i="15" a="1"/>
  <c r="J98" i="15" a="1"/>
  <c r="BI89" i="15" a="1"/>
  <c r="AT98" i="15" a="1"/>
  <c r="BF53" i="8" a="1"/>
  <c r="BF64" i="8" a="1"/>
  <c r="BI66" i="15" a="1"/>
  <c r="BI64" i="15" a="1"/>
  <c r="BF60" i="8" a="1"/>
  <c r="BF104" i="8" a="1"/>
  <c r="BF54" i="8" a="1"/>
  <c r="BF70" i="8" a="1"/>
  <c r="BI59" i="15" a="1"/>
  <c r="BI50" i="15" a="1"/>
  <c r="BI58" i="15" a="1"/>
  <c r="L98" i="15" a="1"/>
  <c r="BF80" i="8" a="1"/>
  <c r="BF55" i="8" a="1"/>
  <c r="BF67" i="8" a="1"/>
  <c r="BF101" i="8" a="1"/>
  <c r="AD98" i="15" a="1"/>
  <c r="M98" i="15" a="1"/>
  <c r="BF79" i="8" a="1"/>
  <c r="BI67" i="15" a="1"/>
  <c r="AW98" i="15" a="1"/>
  <c r="BI45" i="15" a="1"/>
  <c r="AK98" i="15" a="1"/>
  <c r="BI96" i="15" a="1"/>
  <c r="C98" i="15" a="1"/>
  <c r="BI49" i="15" a="1"/>
  <c r="BF65" i="8" a="1"/>
  <c r="BB98" i="15" a="1"/>
  <c r="BI56" i="15" a="1"/>
  <c r="AV98" i="15" a="1"/>
  <c r="BF100" i="8" a="1"/>
  <c r="BF62" i="8" a="1"/>
  <c r="T98" i="15" a="1"/>
  <c r="BF82" i="8" a="1"/>
  <c r="BI43" i="15" a="1"/>
  <c r="BF76" i="8" a="1"/>
  <c r="BF78" i="8" a="1"/>
  <c r="Q98" i="15" a="1"/>
  <c r="AB98" i="15" a="1"/>
  <c r="Z98" i="15" a="1"/>
  <c r="BI52" i="15" a="1"/>
  <c r="BI61" i="15" a="1"/>
  <c r="BI77" i="15" a="1"/>
  <c r="AP98" i="15" a="1"/>
  <c r="BF52" i="8" a="1"/>
  <c r="BF66" i="8" a="1"/>
  <c r="BI94" i="15" a="1"/>
  <c r="BH98" i="15" a="1"/>
  <c r="BI86" i="15" a="1"/>
  <c r="BF56" i="8" a="1"/>
  <c r="BI78" i="15" a="1"/>
  <c r="BE98" i="15" a="1"/>
  <c r="AT160" i="15" l="1"/>
  <c r="AX160" i="15"/>
  <c r="B221" i="15"/>
  <c r="B99" i="15"/>
  <c r="AU159" i="15"/>
  <c r="AL160" i="15"/>
  <c r="AP160" i="15"/>
  <c r="AH160" i="15"/>
  <c r="AD160" i="15"/>
  <c r="Z160" i="15"/>
  <c r="V160" i="15"/>
  <c r="N160" i="15"/>
  <c r="R160" i="15"/>
  <c r="BF56" i="8"/>
  <c r="BF54" i="8"/>
  <c r="BF52" i="8"/>
  <c r="BF53" i="8"/>
  <c r="BF55" i="8"/>
  <c r="BF78" i="8"/>
  <c r="BF76" i="8"/>
  <c r="BF80" i="8"/>
  <c r="BF79" i="8"/>
  <c r="BF77" i="8"/>
  <c r="AP159" i="15"/>
  <c r="P159" i="15"/>
  <c r="Z159" i="15"/>
  <c r="E159" i="15"/>
  <c r="AY159" i="15"/>
  <c r="AO159" i="15"/>
  <c r="O159" i="15"/>
  <c r="BG159" i="15"/>
  <c r="BH159" i="15"/>
  <c r="AV159" i="15"/>
  <c r="BB158" i="15"/>
  <c r="BD95" i="8"/>
  <c r="H158" i="15"/>
  <c r="AN158" i="15"/>
  <c r="AD158" i="15"/>
  <c r="BC88" i="8"/>
  <c r="AI158" i="15"/>
  <c r="AP158" i="15"/>
  <c r="J158" i="15"/>
  <c r="AX158" i="15"/>
  <c r="F158" i="15"/>
  <c r="G158" i="15"/>
  <c r="O158" i="15"/>
  <c r="AM158" i="15"/>
  <c r="BH158" i="15"/>
  <c r="Z158" i="15"/>
  <c r="AJ158" i="15"/>
  <c r="AK158" i="15"/>
  <c r="AO158" i="15"/>
  <c r="M158" i="15"/>
  <c r="AF158" i="15"/>
  <c r="AY158" i="15"/>
  <c r="W158" i="15"/>
  <c r="W159" i="15"/>
  <c r="AC159" i="15"/>
  <c r="AH158" i="15"/>
  <c r="AR158" i="15"/>
  <c r="BD158" i="15"/>
  <c r="E158" i="15"/>
  <c r="T158" i="15"/>
  <c r="AQ158" i="15"/>
  <c r="AW158" i="15"/>
  <c r="X158" i="15"/>
  <c r="Q158" i="15"/>
  <c r="K158" i="15"/>
  <c r="S158" i="15"/>
  <c r="BE158" i="15"/>
  <c r="BC98" i="8"/>
  <c r="BD97" i="8"/>
  <c r="I158" i="15"/>
  <c r="M159" i="15"/>
  <c r="AS159" i="15"/>
  <c r="AF159" i="15"/>
  <c r="AM159" i="15"/>
  <c r="BD92" i="8"/>
  <c r="BC159" i="15"/>
  <c r="BD91" i="8"/>
  <c r="AT158" i="15"/>
  <c r="AG158" i="15"/>
  <c r="AZ158" i="15"/>
  <c r="AU158" i="15"/>
  <c r="BD88" i="8"/>
  <c r="AA158" i="15"/>
  <c r="Y158" i="15"/>
  <c r="BA158" i="15"/>
  <c r="BD98" i="8"/>
  <c r="AB158" i="15"/>
  <c r="AS158" i="15"/>
  <c r="G159" i="15"/>
  <c r="BC89" i="8"/>
  <c r="AC158" i="15"/>
  <c r="BD90" i="8"/>
  <c r="P158" i="15"/>
  <c r="U158" i="15"/>
  <c r="BC97" i="8"/>
  <c r="R159" i="15"/>
  <c r="BD89" i="8"/>
  <c r="AL158" i="15"/>
  <c r="L158" i="15"/>
  <c r="BC158" i="15"/>
  <c r="AV158" i="15"/>
  <c r="BC96" i="8"/>
  <c r="R158" i="15"/>
  <c r="BC92" i="8"/>
  <c r="AE158" i="15"/>
  <c r="BF158" i="15"/>
  <c r="BD96" i="8"/>
  <c r="X159" i="15"/>
  <c r="L159" i="15"/>
  <c r="V158" i="15"/>
  <c r="BC95" i="8"/>
  <c r="AH159" i="15"/>
  <c r="BF159" i="15"/>
  <c r="T159" i="15"/>
  <c r="AJ159" i="15"/>
  <c r="AZ159" i="15"/>
  <c r="Q159" i="15"/>
  <c r="AG159" i="15"/>
  <c r="AW159" i="15"/>
  <c r="K159" i="15"/>
  <c r="AQ159" i="15"/>
  <c r="BC91" i="8"/>
  <c r="BC90" i="8"/>
  <c r="J159" i="15"/>
  <c r="BB159" i="15"/>
  <c r="AX159" i="15"/>
  <c r="AL159" i="15"/>
  <c r="H159" i="15"/>
  <c r="AN159" i="15"/>
  <c r="U159" i="15"/>
  <c r="AK159" i="15"/>
  <c r="BA159" i="15"/>
  <c r="AE159" i="15"/>
  <c r="V159" i="15"/>
  <c r="AB159" i="15"/>
  <c r="AR159" i="15"/>
  <c r="I159" i="15"/>
  <c r="Y159" i="15"/>
  <c r="BE159" i="15"/>
  <c r="S159" i="15"/>
  <c r="AI159" i="15"/>
  <c r="N159" i="15"/>
  <c r="AT159" i="15"/>
  <c r="BG158" i="15"/>
  <c r="AD159" i="15"/>
  <c r="F160" i="15"/>
  <c r="K160" i="15"/>
  <c r="BH160" i="15"/>
  <c r="AW160" i="15"/>
  <c r="AS160" i="15"/>
  <c r="AG160" i="15"/>
  <c r="U160" i="15"/>
  <c r="I160" i="15"/>
  <c r="BA160" i="15"/>
  <c r="AO160" i="15"/>
  <c r="AB160" i="15"/>
  <c r="Q160" i="15"/>
  <c r="M160" i="15"/>
  <c r="BE160" i="15"/>
  <c r="AK160" i="15"/>
  <c r="Y160" i="15"/>
  <c r="E160" i="15"/>
  <c r="BD160" i="15"/>
  <c r="AZ160" i="15"/>
  <c r="AV160" i="15"/>
  <c r="AR160" i="15"/>
  <c r="AN160" i="15"/>
  <c r="AJ160" i="15"/>
  <c r="AF160" i="15"/>
  <c r="AC160" i="15"/>
  <c r="X160" i="15"/>
  <c r="T160" i="15"/>
  <c r="P160" i="15"/>
  <c r="L160" i="15"/>
  <c r="H160" i="15"/>
  <c r="BG160" i="15"/>
  <c r="BC160" i="15"/>
  <c r="AY160" i="15"/>
  <c r="AU160" i="15"/>
  <c r="AQ160" i="15"/>
  <c r="AM160" i="15"/>
  <c r="AI160" i="15"/>
  <c r="AE160" i="15"/>
  <c r="AA160" i="15"/>
  <c r="W160" i="15"/>
  <c r="S160" i="15"/>
  <c r="O160" i="15"/>
  <c r="J160" i="15"/>
  <c r="G160" i="15"/>
  <c r="D98" i="15"/>
  <c r="D161" i="15" s="1"/>
  <c r="B161" i="15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S98" i="15"/>
  <c r="T98" i="15"/>
  <c r="U98" i="15"/>
  <c r="V98" i="15"/>
  <c r="V161" i="15" s="1"/>
  <c r="W98" i="15"/>
  <c r="X98" i="15"/>
  <c r="Y98" i="15"/>
  <c r="Z98" i="15"/>
  <c r="Z161" i="15" s="1"/>
  <c r="AA98" i="15"/>
  <c r="AB98" i="15"/>
  <c r="AC98" i="15"/>
  <c r="AD98" i="15"/>
  <c r="AD161" i="15" s="1"/>
  <c r="AE98" i="15"/>
  <c r="AF98" i="15"/>
  <c r="AG98" i="15"/>
  <c r="AH98" i="15"/>
  <c r="AH161" i="15" s="1"/>
  <c r="AI98" i="15"/>
  <c r="AJ98" i="15"/>
  <c r="AK98" i="15"/>
  <c r="AL98" i="15"/>
  <c r="AL161" i="15" s="1"/>
  <c r="AM98" i="15"/>
  <c r="AN98" i="15"/>
  <c r="AO98" i="15"/>
  <c r="AP98" i="15"/>
  <c r="AP161" i="15" s="1"/>
  <c r="AQ98" i="15"/>
  <c r="AR98" i="15"/>
  <c r="AS98" i="15"/>
  <c r="AT98" i="15"/>
  <c r="AT161" i="15" s="1"/>
  <c r="AU98" i="15"/>
  <c r="AV98" i="15"/>
  <c r="AW98" i="15"/>
  <c r="AX98" i="15"/>
  <c r="AX161" i="15" s="1"/>
  <c r="AY98" i="15"/>
  <c r="AZ98" i="15"/>
  <c r="BA98" i="15"/>
  <c r="BB98" i="15"/>
  <c r="BB161" i="15" s="1"/>
  <c r="BC98" i="15"/>
  <c r="BD98" i="15"/>
  <c r="BE98" i="15"/>
  <c r="BF98" i="15"/>
  <c r="BF161" i="15" s="1"/>
  <c r="BG98" i="15"/>
  <c r="BH98" i="15"/>
  <c r="BI52" i="15"/>
  <c r="BI115" i="15" s="1"/>
  <c r="BI78" i="15"/>
  <c r="BI141" i="15" s="1"/>
  <c r="BI53" i="15"/>
  <c r="BI116" i="15" s="1"/>
  <c r="BI62" i="15"/>
  <c r="BI125" i="15" s="1"/>
  <c r="BI72" i="15"/>
  <c r="BI135" i="15" s="1"/>
  <c r="BI86" i="15"/>
  <c r="BI149" i="15" s="1"/>
  <c r="BI92" i="15"/>
  <c r="BI155" i="15" s="1"/>
  <c r="BI43" i="15"/>
  <c r="BI106" i="15" s="1"/>
  <c r="BI48" i="15"/>
  <c r="BI111" i="15" s="1"/>
  <c r="BI49" i="15"/>
  <c r="BI112" i="15" s="1"/>
  <c r="BI54" i="15"/>
  <c r="BI117" i="15" s="1"/>
  <c r="BI57" i="15"/>
  <c r="BI120" i="15" s="1"/>
  <c r="BI59" i="15"/>
  <c r="BI122" i="15" s="1"/>
  <c r="BI66" i="15"/>
  <c r="BI129" i="15" s="1"/>
  <c r="BI70" i="15"/>
  <c r="BI133" i="15" s="1"/>
  <c r="BI75" i="15"/>
  <c r="BI138" i="15" s="1"/>
  <c r="BI79" i="15"/>
  <c r="BI142" i="15" s="1"/>
  <c r="BI80" i="15"/>
  <c r="BI143" i="15" s="1"/>
  <c r="BI88" i="15"/>
  <c r="BI151" i="15" s="1"/>
  <c r="BI90" i="15"/>
  <c r="BI153" i="15" s="1"/>
  <c r="BI97" i="15"/>
  <c r="BI160" i="15" s="1"/>
  <c r="BI56" i="15"/>
  <c r="BI119" i="15" s="1"/>
  <c r="BI68" i="15"/>
  <c r="BI131" i="15" s="1"/>
  <c r="BI46" i="15"/>
  <c r="BI109" i="15" s="1"/>
  <c r="BI60" i="15"/>
  <c r="BI123" i="15" s="1"/>
  <c r="BI64" i="15"/>
  <c r="BI127" i="15" s="1"/>
  <c r="BI76" i="15"/>
  <c r="BI139" i="15" s="1"/>
  <c r="BI84" i="15"/>
  <c r="BI147" i="15" s="1"/>
  <c r="BI98" i="15"/>
  <c r="BI45" i="15"/>
  <c r="BI108" i="15" s="1"/>
  <c r="BI50" i="15"/>
  <c r="BI113" i="15" s="1"/>
  <c r="BI51" i="15"/>
  <c r="BI114" i="15" s="1"/>
  <c r="BI55" i="15"/>
  <c r="BI118" i="15" s="1"/>
  <c r="BI61" i="15"/>
  <c r="BI124" i="15" s="1"/>
  <c r="BI63" i="15"/>
  <c r="BI126" i="15" s="1"/>
  <c r="BI67" i="15"/>
  <c r="BI130" i="15" s="1"/>
  <c r="BI71" i="15"/>
  <c r="BI134" i="15" s="1"/>
  <c r="BI77" i="15"/>
  <c r="BI140" i="15" s="1"/>
  <c r="BI82" i="15"/>
  <c r="BI145" i="15" s="1"/>
  <c r="BI81" i="15"/>
  <c r="BI144" i="15" s="1"/>
  <c r="BI94" i="15"/>
  <c r="BI157" i="15" s="1"/>
  <c r="BI87" i="15"/>
  <c r="BI150" i="15" s="1"/>
  <c r="BI95" i="15"/>
  <c r="BI158" i="15" s="1"/>
  <c r="BI44" i="15"/>
  <c r="BI107" i="15" s="1"/>
  <c r="BI65" i="15"/>
  <c r="BI128" i="15" s="1"/>
  <c r="BI74" i="15"/>
  <c r="BI137" i="15" s="1"/>
  <c r="BI73" i="15"/>
  <c r="BI136" i="15" s="1"/>
  <c r="BI85" i="15"/>
  <c r="BI148" i="15" s="1"/>
  <c r="BI83" i="15"/>
  <c r="BI146" i="15" s="1"/>
  <c r="BI89" i="15"/>
  <c r="BI152" i="15" s="1"/>
  <c r="BI91" i="15"/>
  <c r="BI154" i="15" s="1"/>
  <c r="BI96" i="15"/>
  <c r="BI159" i="15" s="1"/>
  <c r="BI58" i="15"/>
  <c r="BI121" i="15" s="1"/>
  <c r="BI47" i="15"/>
  <c r="BI110" i="15" s="1"/>
  <c r="BI69" i="15"/>
  <c r="BI132" i="15" s="1"/>
  <c r="BI93" i="15"/>
  <c r="BI156" i="15" s="1"/>
  <c r="BI39" i="15"/>
  <c r="BI105" i="15" s="1"/>
  <c r="BK38" i="15"/>
  <c r="BE98" i="8"/>
  <c r="BF104" i="8"/>
  <c r="BF86" i="8"/>
  <c r="BF74" i="8"/>
  <c r="BF68" i="8"/>
  <c r="BF62" i="8"/>
  <c r="BE92" i="8"/>
  <c r="BE90" i="8"/>
  <c r="BE89" i="8"/>
  <c r="BF61" i="8"/>
  <c r="BF59" i="8"/>
  <c r="BF60" i="8"/>
  <c r="BF65" i="8"/>
  <c r="BF67" i="8"/>
  <c r="BF66" i="8"/>
  <c r="BF71" i="8"/>
  <c r="BF73" i="8"/>
  <c r="BF72" i="8"/>
  <c r="BF83" i="8"/>
  <c r="BF84" i="8"/>
  <c r="BF85" i="8"/>
  <c r="BE91" i="8"/>
  <c r="BE97" i="8"/>
  <c r="BF102" i="8"/>
  <c r="BF58" i="8"/>
  <c r="BF64" i="8"/>
  <c r="BF82" i="8"/>
  <c r="BF70" i="8"/>
  <c r="BF103" i="8"/>
  <c r="BF101" i="8"/>
  <c r="BF100" i="8"/>
  <c r="BE94" i="8"/>
  <c r="BE88" i="8"/>
  <c r="BE96" i="8"/>
  <c r="BG50" i="8"/>
  <c r="BE95" i="8"/>
  <c r="AL99" i="15" a="1"/>
  <c r="BG52" i="8" a="1"/>
  <c r="I99" i="15" a="1"/>
  <c r="BJ77" i="15" a="1"/>
  <c r="AI99" i="15" a="1"/>
  <c r="P99" i="15" a="1"/>
  <c r="BG53" i="8" a="1"/>
  <c r="BA99" i="15" a="1"/>
  <c r="BG104" i="8" a="1"/>
  <c r="C99" i="15" a="1"/>
  <c r="BJ81" i="15" a="1"/>
  <c r="BF99" i="15" a="1"/>
  <c r="J99" i="15" a="1"/>
  <c r="M99" i="15" a="1"/>
  <c r="BI99" i="15" a="1"/>
  <c r="BG61" i="8" a="1"/>
  <c r="S99" i="15" a="1"/>
  <c r="BJ85" i="15" a="1"/>
  <c r="N99" i="15" a="1"/>
  <c r="AE99" i="15" a="1"/>
  <c r="BH99" i="15" a="1"/>
  <c r="O99" i="15" a="1"/>
  <c r="AK99" i="15" a="1"/>
  <c r="BJ64" i="15" a="1"/>
  <c r="BJ97" i="15" a="1"/>
  <c r="BJ73" i="15" a="1"/>
  <c r="BJ45" i="15" a="1"/>
  <c r="BJ49" i="15" a="1"/>
  <c r="BJ76" i="15" a="1"/>
  <c r="BJ67" i="15" a="1"/>
  <c r="AJ99" i="15" a="1"/>
  <c r="BG73" i="8" a="1"/>
  <c r="BG101" i="8" a="1"/>
  <c r="Q99" i="15" a="1"/>
  <c r="AB99" i="15" a="1"/>
  <c r="AC99" i="15" a="1"/>
  <c r="BG77" i="8" a="1"/>
  <c r="AM99" i="15" a="1"/>
  <c r="BJ86" i="15" a="1"/>
  <c r="K99" i="15" a="1"/>
  <c r="BJ55" i="15" a="1"/>
  <c r="E99" i="15" a="1"/>
  <c r="AZ99" i="15" a="1"/>
  <c r="BG74" i="8" a="1"/>
  <c r="BJ88" i="15" a="1"/>
  <c r="BJ46" i="15" a="1"/>
  <c r="BJ58" i="15" a="1"/>
  <c r="BJ68" i="15" a="1"/>
  <c r="BG72" i="8" a="1"/>
  <c r="BG59" i="8" a="1"/>
  <c r="BG60" i="8" a="1"/>
  <c r="AS99" i="15" a="1"/>
  <c r="BG84" i="8" a="1"/>
  <c r="BG62" i="8" a="1"/>
  <c r="AD99" i="15" a="1"/>
  <c r="BJ94" i="15" a="1"/>
  <c r="BG100" i="8" a="1"/>
  <c r="BJ79" i="15" a="1"/>
  <c r="BJ60" i="15" a="1"/>
  <c r="BJ47" i="15" a="1"/>
  <c r="BJ48" i="15" a="1"/>
  <c r="BJ78" i="15" a="1"/>
  <c r="U99" i="15" a="1"/>
  <c r="BG67" i="8" a="1"/>
  <c r="BJ44" i="15" a="1"/>
  <c r="AN99" i="15" a="1"/>
  <c r="BG80" i="8" a="1"/>
  <c r="BJ39" i="15" a="1"/>
  <c r="BJ84" i="15" a="1"/>
  <c r="BG70" i="8" a="1"/>
  <c r="H99" i="15" a="1"/>
  <c r="BJ83" i="15" a="1"/>
  <c r="BG68" i="8" a="1"/>
  <c r="BJ72" i="15" a="1"/>
  <c r="Y99" i="15" a="1"/>
  <c r="BB99" i="15" a="1"/>
  <c r="BJ56" i="15" a="1"/>
  <c r="AA99" i="15" a="1"/>
  <c r="BJ43" i="15" a="1"/>
  <c r="BJ89" i="15" a="1"/>
  <c r="W99" i="15" a="1"/>
  <c r="BJ75" i="15" a="1"/>
  <c r="F99" i="15" a="1"/>
  <c r="BJ98" i="15" a="1"/>
  <c r="BG79" i="8" a="1"/>
  <c r="BG55" i="8" a="1"/>
  <c r="BJ66" i="15" a="1"/>
  <c r="BJ99" i="15" a="1"/>
  <c r="BJ52" i="15" a="1"/>
  <c r="X99" i="15" a="1"/>
  <c r="BG78" i="8" a="1"/>
  <c r="BJ91" i="15" a="1"/>
  <c r="BG86" i="8" a="1"/>
  <c r="BG54" i="8" a="1"/>
  <c r="BE99" i="15" a="1"/>
  <c r="BJ87" i="15" a="1"/>
  <c r="BJ70" i="15" a="1"/>
  <c r="BG58" i="8" a="1"/>
  <c r="BJ54" i="15" a="1"/>
  <c r="AO99" i="15" a="1"/>
  <c r="BG76" i="8" a="1"/>
  <c r="AH99" i="15" a="1"/>
  <c r="AU99" i="15" a="1"/>
  <c r="BJ90" i="15" a="1"/>
  <c r="BG66" i="8" a="1"/>
  <c r="AT99" i="15" a="1"/>
  <c r="BJ96" i="15" a="1"/>
  <c r="BJ59" i="15" a="1"/>
  <c r="BJ57" i="15" a="1"/>
  <c r="T99" i="15" a="1"/>
  <c r="BG103" i="8" a="1"/>
  <c r="BJ92" i="15" a="1"/>
  <c r="BJ82" i="15" a="1"/>
  <c r="BC99" i="15" a="1"/>
  <c r="BJ80" i="15" a="1"/>
  <c r="D99" i="15" a="1"/>
  <c r="AR99" i="15" a="1"/>
  <c r="AP99" i="15" a="1"/>
  <c r="BJ93" i="15" a="1"/>
  <c r="V99" i="15" a="1"/>
  <c r="BJ95" i="15" a="1"/>
  <c r="AY99" i="15" a="1"/>
  <c r="AF99" i="15" a="1"/>
  <c r="BJ53" i="15" a="1"/>
  <c r="BG71" i="8" a="1"/>
  <c r="BJ71" i="15" a="1"/>
  <c r="BJ62" i="15" a="1"/>
  <c r="BK99" i="15" a="1"/>
  <c r="BJ69" i="15" a="1"/>
  <c r="BG65" i="8" a="1"/>
  <c r="BJ61" i="15" a="1"/>
  <c r="BJ74" i="15" a="1"/>
  <c r="BD99" i="15" a="1"/>
  <c r="BJ51" i="15" a="1"/>
  <c r="G99" i="15" a="1"/>
  <c r="BG99" i="15" a="1"/>
  <c r="AV99" i="15" a="1"/>
  <c r="Z99" i="15" a="1"/>
  <c r="BJ50" i="15" a="1"/>
  <c r="AG99" i="15" a="1"/>
  <c r="BG64" i="8" a="1"/>
  <c r="AQ99" i="15" a="1"/>
  <c r="L99" i="15" a="1"/>
  <c r="AW99" i="15" a="1"/>
  <c r="BG56" i="8" a="1"/>
  <c r="BG82" i="8" a="1"/>
  <c r="R99" i="15" a="1"/>
  <c r="BG83" i="8" a="1"/>
  <c r="BG102" i="8" a="1"/>
  <c r="AX99" i="15" a="1"/>
  <c r="BJ63" i="15" a="1"/>
  <c r="BG85" i="8" a="1"/>
  <c r="BJ65" i="15" a="1"/>
  <c r="C99" i="15" l="1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W99" i="15"/>
  <c r="AX99" i="15"/>
  <c r="AY99" i="15"/>
  <c r="AZ99" i="15"/>
  <c r="BA99" i="15"/>
  <c r="BB99" i="15"/>
  <c r="BC99" i="15"/>
  <c r="BD99" i="15"/>
  <c r="BE99" i="15"/>
  <c r="BF99" i="15"/>
  <c r="BG99" i="15"/>
  <c r="BH99" i="15"/>
  <c r="BI99" i="15"/>
  <c r="BJ99" i="15"/>
  <c r="B222" i="15"/>
  <c r="B100" i="15"/>
  <c r="BK99" i="15"/>
  <c r="R161" i="15"/>
  <c r="N161" i="15"/>
  <c r="K161" i="15"/>
  <c r="BG52" i="8"/>
  <c r="BG55" i="8"/>
  <c r="BG56" i="8"/>
  <c r="BG54" i="8"/>
  <c r="BG53" i="8"/>
  <c r="BG79" i="8"/>
  <c r="BG77" i="8"/>
  <c r="BG78" i="8"/>
  <c r="BG76" i="8"/>
  <c r="BG80" i="8"/>
  <c r="F161" i="15"/>
  <c r="BI161" i="15"/>
  <c r="BE161" i="15"/>
  <c r="BA161" i="15"/>
  <c r="AW161" i="15"/>
  <c r="BH161" i="15"/>
  <c r="BD161" i="15"/>
  <c r="AZ161" i="15"/>
  <c r="AV161" i="15"/>
  <c r="AR161" i="15"/>
  <c r="AN161" i="15"/>
  <c r="AJ161" i="15"/>
  <c r="AF161" i="15"/>
  <c r="AB161" i="15"/>
  <c r="X161" i="15"/>
  <c r="T161" i="15"/>
  <c r="P161" i="15"/>
  <c r="L161" i="15"/>
  <c r="H161" i="15"/>
  <c r="BG161" i="15"/>
  <c r="BC161" i="15"/>
  <c r="AY161" i="15"/>
  <c r="AU161" i="15"/>
  <c r="AQ161" i="15"/>
  <c r="AM161" i="15"/>
  <c r="AI161" i="15"/>
  <c r="AE161" i="15"/>
  <c r="AS161" i="15"/>
  <c r="AO161" i="15"/>
  <c r="AK161" i="15"/>
  <c r="AG161" i="15"/>
  <c r="AA161" i="15"/>
  <c r="W161" i="15"/>
  <c r="S161" i="15"/>
  <c r="O161" i="15"/>
  <c r="J161" i="15"/>
  <c r="G161" i="15"/>
  <c r="AC161" i="15"/>
  <c r="Y161" i="15"/>
  <c r="U161" i="15"/>
  <c r="Q161" i="15"/>
  <c r="M161" i="15"/>
  <c r="I161" i="15"/>
  <c r="E161" i="15"/>
  <c r="BJ44" i="15"/>
  <c r="BJ107" i="15" s="1"/>
  <c r="BJ47" i="15"/>
  <c r="BJ110" i="15" s="1"/>
  <c r="BJ53" i="15"/>
  <c r="BJ116" i="15" s="1"/>
  <c r="BJ57" i="15"/>
  <c r="BJ120" i="15" s="1"/>
  <c r="BJ60" i="15"/>
  <c r="BJ123" i="15" s="1"/>
  <c r="BJ66" i="15"/>
  <c r="BJ129" i="15" s="1"/>
  <c r="BJ62" i="15"/>
  <c r="BJ125" i="15" s="1"/>
  <c r="BJ69" i="15"/>
  <c r="BJ132" i="15" s="1"/>
  <c r="BJ71" i="15"/>
  <c r="BJ134" i="15" s="1"/>
  <c r="BJ79" i="15"/>
  <c r="BJ142" i="15" s="1"/>
  <c r="BJ82" i="15"/>
  <c r="BJ145" i="15" s="1"/>
  <c r="BJ92" i="15"/>
  <c r="BJ155" i="15" s="1"/>
  <c r="BJ88" i="15"/>
  <c r="BJ151" i="15" s="1"/>
  <c r="BJ95" i="15"/>
  <c r="BJ158" i="15" s="1"/>
  <c r="BJ46" i="15"/>
  <c r="BJ109" i="15" s="1"/>
  <c r="BJ48" i="15"/>
  <c r="BJ111" i="15" s="1"/>
  <c r="BJ54" i="15"/>
  <c r="BJ117" i="15" s="1"/>
  <c r="BJ50" i="15"/>
  <c r="BJ113" i="15" s="1"/>
  <c r="BJ64" i="15"/>
  <c r="BJ127" i="15" s="1"/>
  <c r="BJ68" i="15"/>
  <c r="BJ131" i="15" s="1"/>
  <c r="BJ72" i="15"/>
  <c r="BJ135" i="15" s="1"/>
  <c r="BJ73" i="15"/>
  <c r="BJ136" i="15" s="1"/>
  <c r="BJ75" i="15"/>
  <c r="BJ138" i="15" s="1"/>
  <c r="BJ80" i="15"/>
  <c r="BJ143" i="15" s="1"/>
  <c r="BJ85" i="15"/>
  <c r="BJ148" i="15" s="1"/>
  <c r="BJ86" i="15"/>
  <c r="BJ149" i="15" s="1"/>
  <c r="BJ93" i="15"/>
  <c r="BJ156" i="15" s="1"/>
  <c r="BJ96" i="15"/>
  <c r="BJ159" i="15" s="1"/>
  <c r="BJ43" i="15"/>
  <c r="BJ106" i="15" s="1"/>
  <c r="BJ49" i="15"/>
  <c r="BJ112" i="15" s="1"/>
  <c r="BJ55" i="15"/>
  <c r="BJ118" i="15" s="1"/>
  <c r="BJ52" i="15"/>
  <c r="BJ115" i="15" s="1"/>
  <c r="BJ61" i="15"/>
  <c r="BJ124" i="15" s="1"/>
  <c r="BJ70" i="15"/>
  <c r="BJ133" i="15" s="1"/>
  <c r="BJ63" i="15"/>
  <c r="BJ126" i="15" s="1"/>
  <c r="BJ76" i="15"/>
  <c r="BJ139" i="15" s="1"/>
  <c r="BJ77" i="15"/>
  <c r="BJ140" i="15" s="1"/>
  <c r="BJ81" i="15"/>
  <c r="BJ144" i="15" s="1"/>
  <c r="BJ83" i="15"/>
  <c r="BJ146" i="15" s="1"/>
  <c r="BJ87" i="15"/>
  <c r="BJ150" i="15" s="1"/>
  <c r="BJ89" i="15"/>
  <c r="BJ152" i="15" s="1"/>
  <c r="BJ98" i="15"/>
  <c r="BJ161" i="15" s="1"/>
  <c r="BJ45" i="15"/>
  <c r="BJ108" i="15" s="1"/>
  <c r="BJ51" i="15"/>
  <c r="BJ114" i="15" s="1"/>
  <c r="BJ56" i="15"/>
  <c r="BJ119" i="15" s="1"/>
  <c r="BJ59" i="15"/>
  <c r="BJ122" i="15" s="1"/>
  <c r="BJ65" i="15"/>
  <c r="BJ128" i="15" s="1"/>
  <c r="BJ58" i="15"/>
  <c r="BJ121" i="15" s="1"/>
  <c r="BJ67" i="15"/>
  <c r="BJ130" i="15" s="1"/>
  <c r="BJ74" i="15"/>
  <c r="BJ137" i="15" s="1"/>
  <c r="BJ78" i="15"/>
  <c r="BJ141" i="15" s="1"/>
  <c r="BJ84" i="15"/>
  <c r="BJ147" i="15" s="1"/>
  <c r="BJ90" i="15"/>
  <c r="BJ153" i="15" s="1"/>
  <c r="BJ91" i="15"/>
  <c r="BJ154" i="15" s="1"/>
  <c r="BJ94" i="15"/>
  <c r="BJ157" i="15" s="1"/>
  <c r="BJ97" i="15"/>
  <c r="BJ160" i="15" s="1"/>
  <c r="BJ39" i="15"/>
  <c r="BJ105" i="15" s="1"/>
  <c r="BL38" i="15"/>
  <c r="BF98" i="8"/>
  <c r="BF92" i="8"/>
  <c r="BG104" i="8"/>
  <c r="BG86" i="8"/>
  <c r="BG74" i="8"/>
  <c r="BG68" i="8"/>
  <c r="BG62" i="8"/>
  <c r="BF90" i="8"/>
  <c r="BF89" i="8"/>
  <c r="BG60" i="8"/>
  <c r="BG61" i="8"/>
  <c r="BG59" i="8"/>
  <c r="BG65" i="8"/>
  <c r="BG66" i="8"/>
  <c r="BG67" i="8"/>
  <c r="BG73" i="8"/>
  <c r="BG71" i="8"/>
  <c r="BG72" i="8"/>
  <c r="BG83" i="8"/>
  <c r="BG84" i="8"/>
  <c r="BG85" i="8"/>
  <c r="BF91" i="8"/>
  <c r="BF95" i="8"/>
  <c r="BG102" i="8"/>
  <c r="BG58" i="8"/>
  <c r="BG64" i="8"/>
  <c r="BG82" i="8"/>
  <c r="BG70" i="8"/>
  <c r="BG103" i="8"/>
  <c r="BG101" i="8"/>
  <c r="BG100" i="8"/>
  <c r="BF94" i="8"/>
  <c r="BF88" i="8"/>
  <c r="BH50" i="8"/>
  <c r="BF96" i="8"/>
  <c r="BF97" i="8"/>
  <c r="BK48" i="15" a="1"/>
  <c r="T100" i="15" a="1"/>
  <c r="BK76" i="15" a="1"/>
  <c r="E100" i="15" a="1"/>
  <c r="AG100" i="15" a="1"/>
  <c r="BK94" i="15" a="1"/>
  <c r="AD100" i="15" a="1"/>
  <c r="BK39" i="15" a="1"/>
  <c r="BK74" i="15" a="1"/>
  <c r="BK90" i="15" a="1"/>
  <c r="BK98" i="15" a="1"/>
  <c r="BK51" i="15" a="1"/>
  <c r="C100" i="15" a="1"/>
  <c r="BK68" i="15" a="1"/>
  <c r="BK55" i="15" a="1"/>
  <c r="BB100" i="15" a="1"/>
  <c r="BK83" i="15" a="1"/>
  <c r="BH74" i="8" a="1"/>
  <c r="AU100" i="15" a="1"/>
  <c r="BC100" i="15" a="1"/>
  <c r="BH68" i="8" a="1"/>
  <c r="AB100" i="15" a="1"/>
  <c r="BK84" i="15" a="1"/>
  <c r="AQ100" i="15" a="1"/>
  <c r="BK43" i="15" a="1"/>
  <c r="U100" i="15" a="1"/>
  <c r="N100" i="15" a="1"/>
  <c r="BK59" i="15" a="1"/>
  <c r="BK95" i="15" a="1"/>
  <c r="BH64" i="8" a="1"/>
  <c r="BH76" i="8" a="1"/>
  <c r="BH101" i="8" a="1"/>
  <c r="BK57" i="15" a="1"/>
  <c r="BK97" i="15" a="1"/>
  <c r="BH77" i="8" a="1"/>
  <c r="BH100" i="15" a="1"/>
  <c r="BK66" i="15" a="1"/>
  <c r="BK67" i="15" a="1"/>
  <c r="W100" i="15" a="1"/>
  <c r="BF100" i="15" a="1"/>
  <c r="BK77" i="15" a="1"/>
  <c r="AY100" i="15" a="1"/>
  <c r="BL99" i="15" a="1"/>
  <c r="AE100" i="15" a="1"/>
  <c r="BH56" i="8" a="1"/>
  <c r="BK75" i="15" a="1"/>
  <c r="BD100" i="15" a="1"/>
  <c r="BK96" i="15" a="1"/>
  <c r="BK61" i="15" a="1"/>
  <c r="D100" i="15" a="1"/>
  <c r="BK47" i="15" a="1"/>
  <c r="AM100" i="15" a="1"/>
  <c r="BE100" i="15" a="1"/>
  <c r="BK91" i="15" a="1"/>
  <c r="BH59" i="8" a="1"/>
  <c r="BK69" i="15" a="1"/>
  <c r="BK85" i="15" a="1"/>
  <c r="AJ100" i="15" a="1"/>
  <c r="K100" i="15" a="1"/>
  <c r="BK80" i="15" a="1"/>
  <c r="BH61" i="8" a="1"/>
  <c r="AL100" i="15" a="1"/>
  <c r="BH67" i="8" a="1"/>
  <c r="BH80" i="8" a="1"/>
  <c r="BH83" i="8" a="1"/>
  <c r="F100" i="15" a="1"/>
  <c r="BH55" i="8" a="1"/>
  <c r="BH52" i="8" a="1"/>
  <c r="BH102" i="8" a="1"/>
  <c r="AZ100" i="15" a="1"/>
  <c r="BH54" i="8" a="1"/>
  <c r="BH71" i="8" a="1"/>
  <c r="L100" i="15" a="1"/>
  <c r="AK100" i="15" a="1"/>
  <c r="AC100" i="15" a="1"/>
  <c r="BK70" i="15" a="1"/>
  <c r="BK87" i="15" a="1"/>
  <c r="AF100" i="15" a="1"/>
  <c r="BK60" i="15" a="1"/>
  <c r="BK73" i="15" a="1"/>
  <c r="H100" i="15" a="1"/>
  <c r="BK92" i="15" a="1"/>
  <c r="BK79" i="15" a="1"/>
  <c r="Q100" i="15" a="1"/>
  <c r="BH86" i="8" a="1"/>
  <c r="S100" i="15" a="1"/>
  <c r="BH60" i="8" a="1"/>
  <c r="BH66" i="8" a="1"/>
  <c r="Z100" i="15" a="1"/>
  <c r="P100" i="15" a="1"/>
  <c r="BK52" i="15" a="1"/>
  <c r="BK65" i="15" a="1"/>
  <c r="X100" i="15" a="1"/>
  <c r="BH78" i="8" a="1"/>
  <c r="V100" i="15" a="1"/>
  <c r="AW100" i="15" a="1"/>
  <c r="BH79" i="8" a="1"/>
  <c r="AI100" i="15" a="1"/>
  <c r="BK82" i="15" a="1"/>
  <c r="BH82" i="8" a="1"/>
  <c r="BK46" i="15" a="1"/>
  <c r="BH84" i="8" a="1"/>
  <c r="BH72" i="8" a="1"/>
  <c r="BK49" i="15" a="1"/>
  <c r="AA100" i="15" a="1"/>
  <c r="BK72" i="15" a="1"/>
  <c r="AH100" i="15" a="1"/>
  <c r="G100" i="15" a="1"/>
  <c r="BK93" i="15" a="1"/>
  <c r="BJ100" i="15" a="1"/>
  <c r="BK54" i="15" a="1"/>
  <c r="AS100" i="15" a="1"/>
  <c r="BH100" i="8" a="1"/>
  <c r="AV100" i="15" a="1"/>
  <c r="BH58" i="8" a="1"/>
  <c r="BH53" i="8" a="1"/>
  <c r="AN100" i="15" a="1"/>
  <c r="AR100" i="15" a="1"/>
  <c r="BH104" i="8" a="1"/>
  <c r="BK45" i="15" a="1"/>
  <c r="O100" i="15" a="1"/>
  <c r="BK62" i="15" a="1"/>
  <c r="J100" i="15" a="1"/>
  <c r="BI100" i="15" a="1"/>
  <c r="BK78" i="15" a="1"/>
  <c r="BK50" i="15" a="1"/>
  <c r="BK64" i="15" a="1"/>
  <c r="BL100" i="15" a="1"/>
  <c r="BK86" i="15" a="1"/>
  <c r="BK53" i="15" a="1"/>
  <c r="AT100" i="15" a="1"/>
  <c r="BK63" i="15" a="1"/>
  <c r="BK89" i="15" a="1"/>
  <c r="BK100" i="15" a="1"/>
  <c r="BK71" i="15" a="1"/>
  <c r="BH70" i="8" a="1"/>
  <c r="AX100" i="15" a="1"/>
  <c r="BK88" i="15" a="1"/>
  <c r="AP100" i="15" a="1"/>
  <c r="R100" i="15" a="1"/>
  <c r="Y100" i="15" a="1"/>
  <c r="M100" i="15" a="1"/>
  <c r="BH85" i="8" a="1"/>
  <c r="AO100" i="15" a="1"/>
  <c r="BK56" i="15" a="1"/>
  <c r="BH62" i="8" a="1"/>
  <c r="BK44" i="15" a="1"/>
  <c r="BK58" i="15" a="1"/>
  <c r="BK81" i="15" a="1"/>
  <c r="BH103" i="8" a="1"/>
  <c r="BA100" i="15" a="1"/>
  <c r="I100" i="15" a="1"/>
  <c r="BG100" i="15" a="1"/>
  <c r="BH73" i="8" a="1"/>
  <c r="BH65" i="8" a="1"/>
  <c r="D100" i="15" l="1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E100" i="15"/>
  <c r="AD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W100" i="15"/>
  <c r="AX100" i="15"/>
  <c r="AY100" i="15"/>
  <c r="AZ100" i="15"/>
  <c r="BA100" i="15"/>
  <c r="BB100" i="15"/>
  <c r="BC100" i="15"/>
  <c r="BD100" i="15"/>
  <c r="BE100" i="15"/>
  <c r="BF100" i="15"/>
  <c r="BG100" i="15"/>
  <c r="BH100" i="15"/>
  <c r="BI100" i="15"/>
  <c r="BJ100" i="15"/>
  <c r="BK100" i="15"/>
  <c r="B101" i="15"/>
  <c r="B223" i="15"/>
  <c r="BL100" i="15"/>
  <c r="BL99" i="15"/>
  <c r="BH55" i="8"/>
  <c r="BH52" i="8"/>
  <c r="BH54" i="8"/>
  <c r="BH53" i="8"/>
  <c r="BH56" i="8"/>
  <c r="BH77" i="8"/>
  <c r="BH78" i="8"/>
  <c r="BH79" i="8"/>
  <c r="BH76" i="8"/>
  <c r="BH80" i="8"/>
  <c r="BK50" i="15"/>
  <c r="BK113" i="15" s="1"/>
  <c r="BK65" i="15"/>
  <c r="BK128" i="15" s="1"/>
  <c r="BK75" i="15"/>
  <c r="BK138" i="15" s="1"/>
  <c r="BK52" i="15"/>
  <c r="BK115" i="15" s="1"/>
  <c r="BK57" i="15"/>
  <c r="BK120" i="15" s="1"/>
  <c r="BK70" i="15"/>
  <c r="BK133" i="15" s="1"/>
  <c r="BK77" i="15"/>
  <c r="BK140" i="15" s="1"/>
  <c r="BK94" i="15"/>
  <c r="BK157" i="15" s="1"/>
  <c r="BK93" i="15"/>
  <c r="BK156" i="15" s="1"/>
  <c r="BK43" i="15"/>
  <c r="BK106" i="15" s="1"/>
  <c r="BK47" i="15"/>
  <c r="BK110" i="15" s="1"/>
  <c r="BK59" i="15"/>
  <c r="BK122" i="15" s="1"/>
  <c r="BK54" i="15"/>
  <c r="BK117" i="15" s="1"/>
  <c r="BK58" i="15"/>
  <c r="BK121" i="15" s="1"/>
  <c r="BK64" i="15"/>
  <c r="BK127" i="15" s="1"/>
  <c r="BK67" i="15"/>
  <c r="BK130" i="15" s="1"/>
  <c r="BK71" i="15"/>
  <c r="BK134" i="15" s="1"/>
  <c r="BK78" i="15"/>
  <c r="BK141" i="15" s="1"/>
  <c r="BK82" i="15"/>
  <c r="BK145" i="15" s="1"/>
  <c r="BK81" i="15"/>
  <c r="BK144" i="15" s="1"/>
  <c r="BK89" i="15"/>
  <c r="BK152" i="15" s="1"/>
  <c r="BK91" i="15"/>
  <c r="BK154" i="15" s="1"/>
  <c r="BK98" i="15"/>
  <c r="BK161" i="15" s="1"/>
  <c r="BK46" i="15"/>
  <c r="BK109" i="15" s="1"/>
  <c r="BK56" i="15"/>
  <c r="BK119" i="15" s="1"/>
  <c r="BK69" i="15"/>
  <c r="BK132" i="15" s="1"/>
  <c r="BK86" i="15"/>
  <c r="BK149" i="15" s="1"/>
  <c r="BK45" i="15"/>
  <c r="BK108" i="15" s="1"/>
  <c r="BK53" i="15"/>
  <c r="BK116" i="15" s="1"/>
  <c r="BK66" i="15"/>
  <c r="BK129" i="15" s="1"/>
  <c r="BK76" i="15"/>
  <c r="BK139" i="15" s="1"/>
  <c r="BK85" i="15"/>
  <c r="BK148" i="15" s="1"/>
  <c r="BK44" i="15"/>
  <c r="BK107" i="15" s="1"/>
  <c r="BK49" i="15"/>
  <c r="BK112" i="15" s="1"/>
  <c r="BK48" i="15"/>
  <c r="BK111" i="15" s="1"/>
  <c r="BK55" i="15"/>
  <c r="BK118" i="15" s="1"/>
  <c r="BK62" i="15"/>
  <c r="BK125" i="15" s="1"/>
  <c r="BK61" i="15"/>
  <c r="BK124" i="15" s="1"/>
  <c r="BK68" i="15"/>
  <c r="BK131" i="15" s="1"/>
  <c r="BK72" i="15"/>
  <c r="BK135" i="15" s="1"/>
  <c r="BK74" i="15"/>
  <c r="BK137" i="15" s="1"/>
  <c r="BK83" i="15"/>
  <c r="BK146" i="15" s="1"/>
  <c r="BK84" i="15"/>
  <c r="BK147" i="15" s="1"/>
  <c r="BK90" i="15"/>
  <c r="BK153" i="15" s="1"/>
  <c r="BK87" i="15"/>
  <c r="BK150" i="15" s="1"/>
  <c r="BK95" i="15"/>
  <c r="BK158" i="15" s="1"/>
  <c r="BK63" i="15"/>
  <c r="BK126" i="15" s="1"/>
  <c r="BK73" i="15"/>
  <c r="BK136" i="15" s="1"/>
  <c r="BK79" i="15"/>
  <c r="BK142" i="15" s="1"/>
  <c r="BK92" i="15"/>
  <c r="BK155" i="15" s="1"/>
  <c r="BK88" i="15"/>
  <c r="BK151" i="15" s="1"/>
  <c r="BK96" i="15"/>
  <c r="BK159" i="15" s="1"/>
  <c r="BK51" i="15"/>
  <c r="BK114" i="15" s="1"/>
  <c r="BK60" i="15"/>
  <c r="BK123" i="15" s="1"/>
  <c r="BK80" i="15"/>
  <c r="BK143" i="15" s="1"/>
  <c r="BK97" i="15"/>
  <c r="BK160" i="15" s="1"/>
  <c r="BK39" i="15"/>
  <c r="BK105" i="15" s="1"/>
  <c r="BM38" i="15"/>
  <c r="BG98" i="8"/>
  <c r="BG92" i="8"/>
  <c r="BH104" i="8"/>
  <c r="BH86" i="8"/>
  <c r="BH74" i="8"/>
  <c r="BH68" i="8"/>
  <c r="BH62" i="8"/>
  <c r="BG90" i="8"/>
  <c r="BG89" i="8"/>
  <c r="BH60" i="8"/>
  <c r="BH59" i="8"/>
  <c r="BH61" i="8"/>
  <c r="BH67" i="8"/>
  <c r="BH66" i="8"/>
  <c r="BH65" i="8"/>
  <c r="BH71" i="8"/>
  <c r="BH73" i="8"/>
  <c r="BH72" i="8"/>
  <c r="BH84" i="8"/>
  <c r="BH85" i="8"/>
  <c r="BH83" i="8"/>
  <c r="BG91" i="8"/>
  <c r="BG96" i="8"/>
  <c r="BH102" i="8"/>
  <c r="BH58" i="8"/>
  <c r="BH64" i="8"/>
  <c r="BH82" i="8"/>
  <c r="BH70" i="8"/>
  <c r="BH103" i="8"/>
  <c r="BH101" i="8"/>
  <c r="BH100" i="8"/>
  <c r="BI50" i="8"/>
  <c r="BG97" i="8"/>
  <c r="BG88" i="8"/>
  <c r="BG94" i="8"/>
  <c r="BG95" i="8"/>
  <c r="BI72" i="8" a="1"/>
  <c r="BH101" i="15" a="1"/>
  <c r="BI71" i="8" a="1"/>
  <c r="BM101" i="15" a="1"/>
  <c r="BL75" i="15" a="1"/>
  <c r="AB101" i="15" a="1"/>
  <c r="AG101" i="15" a="1"/>
  <c r="BI66" i="8" a="1"/>
  <c r="V101" i="15" a="1"/>
  <c r="X101" i="15" a="1"/>
  <c r="BL91" i="15" a="1"/>
  <c r="BI73" i="8" a="1"/>
  <c r="BM100" i="15" a="1"/>
  <c r="BL62" i="15" a="1"/>
  <c r="BL56" i="15" a="1"/>
  <c r="BL86" i="15" a="1"/>
  <c r="BL71" i="15" a="1"/>
  <c r="W101" i="15" a="1"/>
  <c r="AY101" i="15" a="1"/>
  <c r="BL67" i="15" a="1"/>
  <c r="BJ101" i="15" a="1"/>
  <c r="Q101" i="15" a="1"/>
  <c r="Z101" i="15" a="1"/>
  <c r="AN101" i="15" a="1"/>
  <c r="BL57" i="15" a="1"/>
  <c r="BL45" i="15" a="1"/>
  <c r="BL53" i="15" a="1"/>
  <c r="BI54" i="8" a="1"/>
  <c r="BL95" i="15" a="1"/>
  <c r="BI68" i="8" a="1"/>
  <c r="BL51" i="15" a="1"/>
  <c r="U101" i="15" a="1"/>
  <c r="BL85" i="15" a="1"/>
  <c r="BI53" i="8" a="1"/>
  <c r="AV101" i="15" a="1"/>
  <c r="BL83" i="15" a="1"/>
  <c r="K101" i="15" a="1"/>
  <c r="BL66" i="15" a="1"/>
  <c r="AP101" i="15" a="1"/>
  <c r="E101" i="15" a="1"/>
  <c r="AQ101" i="15" a="1"/>
  <c r="BI82" i="8" a="1"/>
  <c r="BI59" i="8" a="1"/>
  <c r="BE101" i="15" a="1"/>
  <c r="BL79" i="15" a="1"/>
  <c r="BI103" i="8" a="1"/>
  <c r="BI104" i="8" a="1"/>
  <c r="BL65" i="15" a="1"/>
  <c r="BL98" i="15" a="1"/>
  <c r="BI101" i="8" a="1"/>
  <c r="Y101" i="15" a="1"/>
  <c r="AH101" i="15" a="1"/>
  <c r="BG101" i="15" a="1"/>
  <c r="BL44" i="15" a="1"/>
  <c r="BI85" i="8" a="1"/>
  <c r="AU101" i="15" a="1"/>
  <c r="BL55" i="15" a="1"/>
  <c r="BB101" i="15" a="1"/>
  <c r="BL80" i="15" a="1"/>
  <c r="T101" i="15" a="1"/>
  <c r="BI80" i="8" a="1"/>
  <c r="BI58" i="8" a="1"/>
  <c r="O101" i="15" a="1"/>
  <c r="BL39" i="15" a="1"/>
  <c r="AC101" i="15" a="1"/>
  <c r="BI100" i="8" a="1"/>
  <c r="BL74" i="15" a="1"/>
  <c r="BL77" i="15" a="1"/>
  <c r="BL60" i="15" a="1"/>
  <c r="BL54" i="15" a="1"/>
  <c r="BI78" i="8" a="1"/>
  <c r="BL93" i="15" a="1"/>
  <c r="BL52" i="15" a="1"/>
  <c r="N101" i="15" a="1"/>
  <c r="BL43" i="15" a="1"/>
  <c r="BI61" i="8" a="1"/>
  <c r="AS101" i="15" a="1"/>
  <c r="BL63" i="15" a="1"/>
  <c r="M101" i="15" a="1"/>
  <c r="H101" i="15" a="1"/>
  <c r="BL97" i="15" a="1"/>
  <c r="AT101" i="15" a="1"/>
  <c r="BI74" i="8" a="1"/>
  <c r="AX101" i="15" a="1"/>
  <c r="BF101" i="15" a="1"/>
  <c r="AA101" i="15" a="1"/>
  <c r="R101" i="15" a="1"/>
  <c r="BI77" i="8" a="1"/>
  <c r="BI70" i="8" a="1"/>
  <c r="AW101" i="15" a="1"/>
  <c r="BL81" i="15" a="1"/>
  <c r="AR101" i="15" a="1"/>
  <c r="BL59" i="15" a="1"/>
  <c r="BL90" i="15" a="1"/>
  <c r="BI84" i="8" a="1"/>
  <c r="I101" i="15" a="1"/>
  <c r="BL73" i="15" a="1"/>
  <c r="BI52" i="8" a="1"/>
  <c r="BL48" i="15" a="1"/>
  <c r="BI64" i="8" a="1"/>
  <c r="AM101" i="15" a="1"/>
  <c r="BL61" i="15" a="1"/>
  <c r="BL78" i="15" a="1"/>
  <c r="BL92" i="15" a="1"/>
  <c r="BL69" i="15" a="1"/>
  <c r="BL46" i="15" a="1"/>
  <c r="BL89" i="15" a="1"/>
  <c r="G101" i="15" a="1"/>
  <c r="BC101" i="15" a="1"/>
  <c r="BI67" i="8" a="1"/>
  <c r="BI102" i="8" a="1"/>
  <c r="F101" i="15" a="1"/>
  <c r="BL94" i="15" a="1"/>
  <c r="BI62" i="8" a="1"/>
  <c r="AK101" i="15" a="1"/>
  <c r="AZ101" i="15" a="1"/>
  <c r="BL47" i="15" a="1"/>
  <c r="BL101" i="15" a="1"/>
  <c r="BI79" i="8" a="1"/>
  <c r="AI101" i="15" a="1"/>
  <c r="P101" i="15" a="1"/>
  <c r="BI83" i="8" a="1"/>
  <c r="J101" i="15" a="1"/>
  <c r="BI76" i="8" a="1"/>
  <c r="BL76" i="15" a="1"/>
  <c r="AO101" i="15" a="1"/>
  <c r="BL68" i="15" a="1"/>
  <c r="BA101" i="15" a="1"/>
  <c r="BL84" i="15" a="1"/>
  <c r="BI65" i="8" a="1"/>
  <c r="BL87" i="15" a="1"/>
  <c r="BL64" i="15" a="1"/>
  <c r="C101" i="15" a="1"/>
  <c r="BK101" i="15" a="1"/>
  <c r="AJ101" i="15" a="1"/>
  <c r="BL58" i="15" a="1"/>
  <c r="BL82" i="15" a="1"/>
  <c r="AE101" i="15" a="1"/>
  <c r="BI60" i="8" a="1"/>
  <c r="AL101" i="15" a="1"/>
  <c r="L101" i="15" a="1"/>
  <c r="D101" i="15" a="1"/>
  <c r="BL70" i="15" a="1"/>
  <c r="BL88" i="15" a="1"/>
  <c r="BI55" i="8" a="1"/>
  <c r="BM99" i="15" a="1"/>
  <c r="BL50" i="15" a="1"/>
  <c r="BL72" i="15" a="1"/>
  <c r="AD101" i="15" a="1"/>
  <c r="BI86" i="8" a="1"/>
  <c r="AF101" i="15" a="1"/>
  <c r="BI101" i="15" a="1"/>
  <c r="BL96" i="15" a="1"/>
  <c r="BL49" i="15" a="1"/>
  <c r="BD101" i="15" a="1"/>
  <c r="BI56" i="8" a="1"/>
  <c r="S101" i="15" a="1"/>
  <c r="C101" i="15" l="1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W101" i="15"/>
  <c r="AX101" i="15"/>
  <c r="AY101" i="15"/>
  <c r="AZ101" i="15"/>
  <c r="BA101" i="15"/>
  <c r="BB101" i="15"/>
  <c r="BC101" i="15"/>
  <c r="BD101" i="15"/>
  <c r="BE101" i="15"/>
  <c r="BF101" i="15"/>
  <c r="BG101" i="15"/>
  <c r="BH101" i="15"/>
  <c r="BI101" i="15"/>
  <c r="BJ101" i="15"/>
  <c r="BK101" i="15"/>
  <c r="BL101" i="15"/>
  <c r="B102" i="15"/>
  <c r="B224" i="15"/>
  <c r="BM101" i="15"/>
  <c r="BM100" i="15"/>
  <c r="BM99" i="15"/>
  <c r="BI52" i="8"/>
  <c r="BI55" i="8"/>
  <c r="BI56" i="8"/>
  <c r="BI54" i="8"/>
  <c r="BI53" i="8"/>
  <c r="BI79" i="8"/>
  <c r="BI76" i="8"/>
  <c r="BI80" i="8"/>
  <c r="BI77" i="8"/>
  <c r="BI78" i="8"/>
  <c r="BL43" i="15"/>
  <c r="BL106" i="15" s="1"/>
  <c r="BL58" i="15"/>
  <c r="BL121" i="15" s="1"/>
  <c r="BL54" i="15"/>
  <c r="BL117" i="15" s="1"/>
  <c r="BL47" i="15"/>
  <c r="BL110" i="15" s="1"/>
  <c r="BL57" i="15"/>
  <c r="BL120" i="15" s="1"/>
  <c r="BL67" i="15"/>
  <c r="BL130" i="15" s="1"/>
  <c r="BL63" i="15"/>
  <c r="BL126" i="15" s="1"/>
  <c r="BL70" i="15"/>
  <c r="BL133" i="15" s="1"/>
  <c r="BL71" i="15"/>
  <c r="BL134" i="15" s="1"/>
  <c r="BL79" i="15"/>
  <c r="BL142" i="15" s="1"/>
  <c r="BL82" i="15"/>
  <c r="BL145" i="15" s="1"/>
  <c r="BL93" i="15"/>
  <c r="BL156" i="15" s="1"/>
  <c r="BL89" i="15"/>
  <c r="BL152" i="15" s="1"/>
  <c r="BL95" i="15"/>
  <c r="BL158" i="15" s="1"/>
  <c r="BL45" i="15"/>
  <c r="BL108" i="15" s="1"/>
  <c r="BL50" i="15"/>
  <c r="BL113" i="15" s="1"/>
  <c r="BL55" i="15"/>
  <c r="BL118" i="15" s="1"/>
  <c r="BL48" i="15"/>
  <c r="BL111" i="15" s="1"/>
  <c r="BL61" i="15"/>
  <c r="BL124" i="15" s="1"/>
  <c r="BL69" i="15"/>
  <c r="BL132" i="15" s="1"/>
  <c r="BL64" i="15"/>
  <c r="BL127" i="15" s="1"/>
  <c r="BL74" i="15"/>
  <c r="BL137" i="15" s="1"/>
  <c r="BL72" i="15"/>
  <c r="BL135" i="15" s="1"/>
  <c r="BL80" i="15"/>
  <c r="BL143" i="15" s="1"/>
  <c r="BL83" i="15"/>
  <c r="BL146" i="15" s="1"/>
  <c r="BL86" i="15"/>
  <c r="BL149" i="15" s="1"/>
  <c r="BL92" i="15"/>
  <c r="BL155" i="15" s="1"/>
  <c r="BL96" i="15"/>
  <c r="BL159" i="15" s="1"/>
  <c r="BL44" i="15"/>
  <c r="BL107" i="15" s="1"/>
  <c r="BL52" i="15"/>
  <c r="BL115" i="15" s="1"/>
  <c r="BL56" i="15"/>
  <c r="BL119" i="15" s="1"/>
  <c r="BL49" i="15"/>
  <c r="BL112" i="15" s="1"/>
  <c r="BL65" i="15"/>
  <c r="BL128" i="15" s="1"/>
  <c r="BL73" i="15"/>
  <c r="BL136" i="15" s="1"/>
  <c r="BL66" i="15"/>
  <c r="BL129" i="15" s="1"/>
  <c r="BL75" i="15"/>
  <c r="BL138" i="15" s="1"/>
  <c r="BL76" i="15"/>
  <c r="BL139" i="15" s="1"/>
  <c r="BL81" i="15"/>
  <c r="BL144" i="15" s="1"/>
  <c r="BL84" i="15"/>
  <c r="BL147" i="15" s="1"/>
  <c r="BL87" i="15"/>
  <c r="BL150" i="15" s="1"/>
  <c r="BL90" i="15"/>
  <c r="BL153" i="15" s="1"/>
  <c r="BL97" i="15"/>
  <c r="BL160" i="15" s="1"/>
  <c r="BL46" i="15"/>
  <c r="BL109" i="15" s="1"/>
  <c r="BL53" i="15"/>
  <c r="BL116" i="15" s="1"/>
  <c r="BL60" i="15"/>
  <c r="BL123" i="15" s="1"/>
  <c r="BL51" i="15"/>
  <c r="BL114" i="15" s="1"/>
  <c r="BL62" i="15"/>
  <c r="BL125" i="15" s="1"/>
  <c r="BL59" i="15"/>
  <c r="BL122" i="15" s="1"/>
  <c r="BL68" i="15"/>
  <c r="BL131" i="15" s="1"/>
  <c r="BL77" i="15"/>
  <c r="BL140" i="15" s="1"/>
  <c r="BL78" i="15"/>
  <c r="BL141" i="15" s="1"/>
  <c r="BL85" i="15"/>
  <c r="BL148" i="15" s="1"/>
  <c r="BL91" i="15"/>
  <c r="BL154" i="15" s="1"/>
  <c r="BL88" i="15"/>
  <c r="BL151" i="15" s="1"/>
  <c r="BL94" i="15"/>
  <c r="BL157" i="15" s="1"/>
  <c r="BL98" i="15"/>
  <c r="BL161" i="15" s="1"/>
  <c r="BL39" i="15"/>
  <c r="BL105" i="15" s="1"/>
  <c r="BN38" i="15"/>
  <c r="BH98" i="8"/>
  <c r="BI104" i="8"/>
  <c r="BI86" i="8"/>
  <c r="BI74" i="8"/>
  <c r="BI68" i="8"/>
  <c r="BI62" i="8"/>
  <c r="BH92" i="8"/>
  <c r="BH90" i="8"/>
  <c r="BH89" i="8"/>
  <c r="BH91" i="8"/>
  <c r="BI60" i="8"/>
  <c r="BI59" i="8"/>
  <c r="BI61" i="8"/>
  <c r="BI67" i="8"/>
  <c r="BI65" i="8"/>
  <c r="BI66" i="8"/>
  <c r="BI73" i="8"/>
  <c r="BI71" i="8"/>
  <c r="BI72" i="8"/>
  <c r="BI83" i="8"/>
  <c r="BI84" i="8"/>
  <c r="BI85" i="8"/>
  <c r="BH97" i="8"/>
  <c r="BI102" i="8"/>
  <c r="BI58" i="8"/>
  <c r="BI64" i="8"/>
  <c r="BI82" i="8"/>
  <c r="BI70" i="8"/>
  <c r="BI103" i="8"/>
  <c r="BI101" i="8"/>
  <c r="BI100" i="8"/>
  <c r="BH94" i="8"/>
  <c r="BH88" i="8"/>
  <c r="BH96" i="8"/>
  <c r="BJ50" i="8"/>
  <c r="BH95" i="8"/>
  <c r="BM86" i="15" a="1"/>
  <c r="BM68" i="15" a="1"/>
  <c r="AD102" i="15" a="1"/>
  <c r="BJ84" i="8" a="1"/>
  <c r="C102" i="15" a="1"/>
  <c r="BJ59" i="8" a="1"/>
  <c r="BJ66" i="8" a="1"/>
  <c r="BM71" i="15" a="1"/>
  <c r="P102" i="15" a="1"/>
  <c r="BJ61" i="8" a="1"/>
  <c r="BJ64" i="8" a="1"/>
  <c r="BJ102" i="8" a="1"/>
  <c r="AA102" i="15" a="1"/>
  <c r="AR102" i="15" a="1"/>
  <c r="BL102" i="15" a="1"/>
  <c r="BM45" i="15" a="1"/>
  <c r="BM53" i="15" a="1"/>
  <c r="BF102" i="15" a="1"/>
  <c r="BM94" i="15" a="1"/>
  <c r="K102" i="15" a="1"/>
  <c r="BM56" i="15" a="1"/>
  <c r="J102" i="15" a="1"/>
  <c r="AZ102" i="15" a="1"/>
  <c r="Y102" i="15" a="1"/>
  <c r="BM44" i="15" a="1"/>
  <c r="BM93" i="15" a="1"/>
  <c r="BJ60" i="8" a="1"/>
  <c r="BM43" i="15" a="1"/>
  <c r="BA102" i="15" a="1"/>
  <c r="BM57" i="15" a="1"/>
  <c r="AB102" i="15" a="1"/>
  <c r="BM64" i="15" a="1"/>
  <c r="AW102" i="15" a="1"/>
  <c r="BM39" i="15" a="1"/>
  <c r="AL102" i="15" a="1"/>
  <c r="BM91" i="15" a="1"/>
  <c r="BG102" i="15" a="1"/>
  <c r="BM61" i="15" a="1"/>
  <c r="BJ54" i="8" a="1"/>
  <c r="BJ62" i="8" a="1"/>
  <c r="AG102" i="15" a="1"/>
  <c r="D102" i="15" a="1"/>
  <c r="BJ55" i="8" a="1"/>
  <c r="BM70" i="15" a="1"/>
  <c r="AE102" i="15" a="1"/>
  <c r="BM78" i="15" a="1"/>
  <c r="AN102" i="15" a="1"/>
  <c r="BJ76" i="8" a="1"/>
  <c r="BM66" i="15" a="1"/>
  <c r="BM84" i="15" a="1"/>
  <c r="BJ77" i="8" a="1"/>
  <c r="BM62" i="15" a="1"/>
  <c r="BM90" i="15" a="1"/>
  <c r="S102" i="15" a="1"/>
  <c r="BJ83" i="8" a="1"/>
  <c r="BJ58" i="8" a="1"/>
  <c r="M102" i="15" a="1"/>
  <c r="BM82" i="15" a="1"/>
  <c r="L102" i="15" a="1"/>
  <c r="BM58" i="15" a="1"/>
  <c r="BM63" i="15" a="1"/>
  <c r="U102" i="15" a="1"/>
  <c r="BM49" i="15" a="1"/>
  <c r="AF102" i="15" a="1"/>
  <c r="R102" i="15" a="1"/>
  <c r="BJ74" i="8" a="1"/>
  <c r="BJ102" i="15" a="1"/>
  <c r="BM69" i="15" a="1"/>
  <c r="Q102" i="15" a="1"/>
  <c r="AX102" i="15" a="1"/>
  <c r="BM79" i="15" a="1"/>
  <c r="BM72" i="15" a="1"/>
  <c r="BM54" i="15" a="1"/>
  <c r="AU102" i="15" a="1"/>
  <c r="BM51" i="15" a="1"/>
  <c r="BJ100" i="8" a="1"/>
  <c r="BN101" i="15" a="1"/>
  <c r="BJ103" i="8" a="1"/>
  <c r="BD102" i="15" a="1"/>
  <c r="I102" i="15" a="1"/>
  <c r="BM95" i="15" a="1"/>
  <c r="E102" i="15" a="1"/>
  <c r="BJ101" i="8" a="1"/>
  <c r="AV102" i="15" a="1"/>
  <c r="BM80" i="15" a="1"/>
  <c r="AT102" i="15" a="1"/>
  <c r="BJ80" i="8" a="1"/>
  <c r="BM67" i="15" a="1"/>
  <c r="BJ86" i="8" a="1"/>
  <c r="V102" i="15" a="1"/>
  <c r="AC102" i="15" a="1"/>
  <c r="BB102" i="15" a="1"/>
  <c r="BM50" i="15" a="1"/>
  <c r="BJ79" i="8" a="1"/>
  <c r="BM46" i="15" a="1"/>
  <c r="BM52" i="15" a="1"/>
  <c r="AK102" i="15" a="1"/>
  <c r="BM55" i="15" a="1"/>
  <c r="AO102" i="15" a="1"/>
  <c r="H102" i="15" a="1"/>
  <c r="BH102" i="15" a="1"/>
  <c r="G102" i="15" a="1"/>
  <c r="BM74" i="15" a="1"/>
  <c r="BM89" i="15" a="1"/>
  <c r="F102" i="15" a="1"/>
  <c r="T102" i="15" a="1"/>
  <c r="AI102" i="15" a="1"/>
  <c r="BM83" i="15" a="1"/>
  <c r="BM88" i="15" a="1"/>
  <c r="O102" i="15" a="1"/>
  <c r="BM85" i="15" a="1"/>
  <c r="BM76" i="15" a="1"/>
  <c r="BJ70" i="8" a="1"/>
  <c r="BI102" i="15" a="1"/>
  <c r="BJ73" i="8" a="1"/>
  <c r="X102" i="15" a="1"/>
  <c r="BM60" i="15" a="1"/>
  <c r="Z102" i="15" a="1"/>
  <c r="BM87" i="15" a="1"/>
  <c r="BM65" i="15" a="1"/>
  <c r="BM98" i="15" a="1"/>
  <c r="BM73" i="15" a="1"/>
  <c r="BM97" i="15" a="1"/>
  <c r="AM102" i="15" a="1"/>
  <c r="AJ102" i="15" a="1"/>
  <c r="BJ53" i="8" a="1"/>
  <c r="BJ82" i="8" a="1"/>
  <c r="BM75" i="15" a="1"/>
  <c r="BM47" i="15" a="1"/>
  <c r="BM102" i="15" a="1"/>
  <c r="BM96" i="15" a="1"/>
  <c r="AS102" i="15" a="1"/>
  <c r="BM77" i="15" a="1"/>
  <c r="BM92" i="15" a="1"/>
  <c r="BJ71" i="8" a="1"/>
  <c r="AY102" i="15" a="1"/>
  <c r="BM48" i="15" a="1"/>
  <c r="W102" i="15" a="1"/>
  <c r="BJ68" i="8" a="1"/>
  <c r="BJ52" i="8" a="1"/>
  <c r="AP102" i="15" a="1"/>
  <c r="AQ102" i="15" a="1"/>
  <c r="BJ65" i="8" a="1"/>
  <c r="AH102" i="15" a="1"/>
  <c r="BE102" i="15" a="1"/>
  <c r="BM81" i="15" a="1"/>
  <c r="BK102" i="15" a="1"/>
  <c r="BJ56" i="8" a="1"/>
  <c r="BJ67" i="8" a="1"/>
  <c r="N102" i="15" a="1"/>
  <c r="BM59" i="15" a="1"/>
  <c r="BJ72" i="8" a="1"/>
  <c r="BJ78" i="8" a="1"/>
  <c r="BJ104" i="8" a="1"/>
  <c r="BC102" i="15" a="1"/>
  <c r="BJ85" i="8" a="1"/>
  <c r="S102" i="15" l="1"/>
  <c r="AY102" i="15"/>
  <c r="U102" i="15"/>
  <c r="AC102" i="15"/>
  <c r="K102" i="15"/>
  <c r="AW102" i="15"/>
  <c r="BJ102" i="15"/>
  <c r="Z102" i="15"/>
  <c r="AP102" i="15"/>
  <c r="P102" i="15"/>
  <c r="AG102" i="15"/>
  <c r="AR102" i="15"/>
  <c r="AU102" i="15"/>
  <c r="AN102" i="15"/>
  <c r="AF102" i="15"/>
  <c r="J102" i="15"/>
  <c r="AH102" i="15"/>
  <c r="Q102" i="15"/>
  <c r="BD102" i="15"/>
  <c r="C102" i="15"/>
  <c r="C162" i="15" s="1"/>
  <c r="AI102" i="15"/>
  <c r="V102" i="15"/>
  <c r="BI102" i="15"/>
  <c r="AE102" i="15"/>
  <c r="AD102" i="15"/>
  <c r="AV102" i="15"/>
  <c r="AO102" i="15"/>
  <c r="AA102" i="15"/>
  <c r="W102" i="15"/>
  <c r="AM102" i="15"/>
  <c r="X102" i="15"/>
  <c r="AK102" i="15"/>
  <c r="AL102" i="15"/>
  <c r="BE102" i="15"/>
  <c r="H102" i="15"/>
  <c r="I102" i="15"/>
  <c r="N102" i="15"/>
  <c r="BG102" i="15"/>
  <c r="AQ102" i="15"/>
  <c r="Y102" i="15"/>
  <c r="BH102" i="15"/>
  <c r="BF102" i="15"/>
  <c r="AB102" i="15"/>
  <c r="AS102" i="15"/>
  <c r="M102" i="15"/>
  <c r="G102" i="15"/>
  <c r="E102" i="15"/>
  <c r="BA102" i="15"/>
  <c r="O102" i="15"/>
  <c r="BB102" i="15"/>
  <c r="AX102" i="15"/>
  <c r="BC102" i="15"/>
  <c r="AT102" i="15"/>
  <c r="AZ102" i="15"/>
  <c r="D102" i="15"/>
  <c r="D162" i="15" s="1"/>
  <c r="L102" i="15"/>
  <c r="AJ102" i="15"/>
  <c r="F102" i="15"/>
  <c r="T102" i="15"/>
  <c r="R102" i="15"/>
  <c r="BK102" i="15"/>
  <c r="BL102" i="15"/>
  <c r="B225" i="15"/>
  <c r="B162" i="15"/>
  <c r="BN101" i="15"/>
  <c r="BJ52" i="8"/>
  <c r="BJ53" i="8"/>
  <c r="BJ55" i="8"/>
  <c r="BJ56" i="8"/>
  <c r="BJ54" i="8"/>
  <c r="BJ79" i="8"/>
  <c r="BJ78" i="8"/>
  <c r="BJ76" i="8"/>
  <c r="BJ80" i="8"/>
  <c r="BJ77" i="8"/>
  <c r="BM43" i="15"/>
  <c r="BM106" i="15" s="1"/>
  <c r="BM48" i="15"/>
  <c r="BM111" i="15" s="1"/>
  <c r="BM60" i="15"/>
  <c r="BM123" i="15" s="1"/>
  <c r="BM53" i="15"/>
  <c r="BM116" i="15" s="1"/>
  <c r="BM59" i="15"/>
  <c r="BM122" i="15" s="1"/>
  <c r="BM61" i="15"/>
  <c r="BM124" i="15" s="1"/>
  <c r="BM66" i="15"/>
  <c r="BM129" i="15" s="1"/>
  <c r="BM70" i="15"/>
  <c r="BM133" i="15" s="1"/>
  <c r="BM75" i="15"/>
  <c r="BM138" i="15" s="1"/>
  <c r="BM83" i="15"/>
  <c r="BM146" i="15" s="1"/>
  <c r="BM80" i="15"/>
  <c r="BM143" i="15" s="1"/>
  <c r="BM90" i="15"/>
  <c r="BM153" i="15" s="1"/>
  <c r="BM94" i="15"/>
  <c r="BM157" i="15" s="1"/>
  <c r="BM97" i="15"/>
  <c r="BM160" i="15" s="1"/>
  <c r="BM102" i="15"/>
  <c r="BM45" i="15"/>
  <c r="BM108" i="15" s="1"/>
  <c r="BM50" i="15"/>
  <c r="BM113" i="15" s="1"/>
  <c r="BM47" i="15"/>
  <c r="BM110" i="15" s="1"/>
  <c r="BM54" i="15"/>
  <c r="BM117" i="15" s="1"/>
  <c r="BM63" i="15"/>
  <c r="BM126" i="15" s="1"/>
  <c r="BM65" i="15"/>
  <c r="BM128" i="15" s="1"/>
  <c r="BM67" i="15"/>
  <c r="BM130" i="15" s="1"/>
  <c r="BM71" i="15"/>
  <c r="BM134" i="15" s="1"/>
  <c r="BM77" i="15"/>
  <c r="BM140" i="15" s="1"/>
  <c r="BM84" i="15"/>
  <c r="BM147" i="15" s="1"/>
  <c r="BM81" i="15"/>
  <c r="BM144" i="15" s="1"/>
  <c r="BM91" i="15"/>
  <c r="BM154" i="15" s="1"/>
  <c r="BM87" i="15"/>
  <c r="BM150" i="15" s="1"/>
  <c r="BM95" i="15"/>
  <c r="BM158" i="15" s="1"/>
  <c r="BM44" i="15"/>
  <c r="BM107" i="15" s="1"/>
  <c r="BM51" i="15"/>
  <c r="BM114" i="15" s="1"/>
  <c r="BM49" i="15"/>
  <c r="BM112" i="15" s="1"/>
  <c r="BM55" i="15"/>
  <c r="BM118" i="15" s="1"/>
  <c r="BM64" i="15"/>
  <c r="BM127" i="15" s="1"/>
  <c r="BM62" i="15"/>
  <c r="BM125" i="15" s="1"/>
  <c r="BM68" i="15"/>
  <c r="BM131" i="15" s="1"/>
  <c r="BM73" i="15"/>
  <c r="BM136" i="15" s="1"/>
  <c r="BM78" i="15"/>
  <c r="BM141" i="15" s="1"/>
  <c r="BM85" i="15"/>
  <c r="BM148" i="15" s="1"/>
  <c r="BM82" i="15"/>
  <c r="BM145" i="15" s="1"/>
  <c r="BM93" i="15"/>
  <c r="BM156" i="15" s="1"/>
  <c r="BM89" i="15"/>
  <c r="BM152" i="15" s="1"/>
  <c r="BM96" i="15"/>
  <c r="BM159" i="15" s="1"/>
  <c r="BM46" i="15"/>
  <c r="BM109" i="15" s="1"/>
  <c r="BM58" i="15"/>
  <c r="BM121" i="15" s="1"/>
  <c r="BM52" i="15"/>
  <c r="BM115" i="15" s="1"/>
  <c r="BM56" i="15"/>
  <c r="BM119" i="15" s="1"/>
  <c r="BM57" i="15"/>
  <c r="BM120" i="15" s="1"/>
  <c r="BM72" i="15"/>
  <c r="BM135" i="15" s="1"/>
  <c r="BM69" i="15"/>
  <c r="BM132" i="15" s="1"/>
  <c r="BM74" i="15"/>
  <c r="BM137" i="15" s="1"/>
  <c r="BM76" i="15"/>
  <c r="BM139" i="15" s="1"/>
  <c r="BM79" i="15"/>
  <c r="BM142" i="15" s="1"/>
  <c r="BM86" i="15"/>
  <c r="BM149" i="15" s="1"/>
  <c r="BM88" i="15"/>
  <c r="BM151" i="15" s="1"/>
  <c r="BM92" i="15"/>
  <c r="BM155" i="15" s="1"/>
  <c r="BM98" i="15"/>
  <c r="BM161" i="15" s="1"/>
  <c r="BM39" i="15"/>
  <c r="BM105" i="15" s="1"/>
  <c r="BO38" i="15"/>
  <c r="BI98" i="8"/>
  <c r="BI92" i="8"/>
  <c r="BJ104" i="8"/>
  <c r="BJ86" i="8"/>
  <c r="BJ74" i="8"/>
  <c r="BJ68" i="8"/>
  <c r="BJ62" i="8"/>
  <c r="BI89" i="8"/>
  <c r="BI90" i="8"/>
  <c r="BJ60" i="8"/>
  <c r="BJ61" i="8"/>
  <c r="BJ59" i="8"/>
  <c r="BJ67" i="8"/>
  <c r="BJ66" i="8"/>
  <c r="BJ65" i="8"/>
  <c r="BJ71" i="8"/>
  <c r="BJ72" i="8"/>
  <c r="BJ73" i="8"/>
  <c r="BJ85" i="8"/>
  <c r="BJ84" i="8"/>
  <c r="BJ83" i="8"/>
  <c r="BI91" i="8"/>
  <c r="BI95" i="8"/>
  <c r="BJ102" i="8"/>
  <c r="BJ58" i="8"/>
  <c r="BJ64" i="8"/>
  <c r="BJ82" i="8"/>
  <c r="BJ70" i="8"/>
  <c r="BJ103" i="8"/>
  <c r="BJ101" i="8"/>
  <c r="BJ100" i="8"/>
  <c r="BI94" i="8"/>
  <c r="BI88" i="8"/>
  <c r="BK50" i="8"/>
  <c r="BI96" i="8"/>
  <c r="BI97" i="8"/>
  <c r="BK67" i="8" a="1"/>
  <c r="BN70" i="15" a="1"/>
  <c r="BN45" i="15" a="1"/>
  <c r="BK76" i="8" a="1"/>
  <c r="BN71" i="15" a="1"/>
  <c r="BN95" i="15" a="1"/>
  <c r="BK73" i="8" a="1"/>
  <c r="BK101" i="8" a="1"/>
  <c r="BN84" i="15" a="1"/>
  <c r="BK68" i="8" a="1"/>
  <c r="BN86" i="15" a="1"/>
  <c r="BN91" i="15" a="1"/>
  <c r="BK62" i="8" a="1"/>
  <c r="BK82" i="8" a="1"/>
  <c r="BO101" i="15" a="1"/>
  <c r="BK52" i="8" a="1"/>
  <c r="BN85" i="15" a="1"/>
  <c r="BN88" i="15" a="1"/>
  <c r="BN77" i="15" a="1"/>
  <c r="BN53" i="15" a="1"/>
  <c r="BK80" i="8" a="1"/>
  <c r="BN81" i="15" a="1"/>
  <c r="BK103" i="8" a="1"/>
  <c r="BN46" i="15" a="1"/>
  <c r="BK77" i="8" a="1"/>
  <c r="BK59" i="8" a="1"/>
  <c r="BN67" i="15" a="1"/>
  <c r="BK56" i="8" a="1"/>
  <c r="BK70" i="8" a="1"/>
  <c r="BN62" i="15" a="1"/>
  <c r="BK54" i="8" a="1"/>
  <c r="BK84" i="8" a="1"/>
  <c r="BN69" i="15" a="1"/>
  <c r="BN66" i="15" a="1"/>
  <c r="BN82" i="15" a="1"/>
  <c r="BN47" i="15" a="1"/>
  <c r="BN63" i="15" a="1"/>
  <c r="BK85" i="8" a="1"/>
  <c r="BK53" i="8" a="1"/>
  <c r="BN75" i="15" a="1"/>
  <c r="BK61" i="8" a="1"/>
  <c r="BN90" i="15" a="1"/>
  <c r="BN49" i="15" a="1"/>
  <c r="BN74" i="15" a="1"/>
  <c r="BN52" i="15" a="1"/>
  <c r="BN72" i="15" a="1"/>
  <c r="BK86" i="8" a="1"/>
  <c r="BK65" i="8" a="1"/>
  <c r="BN61" i="15" a="1"/>
  <c r="BN65" i="15" a="1"/>
  <c r="BN87" i="15" a="1"/>
  <c r="BN80" i="15" a="1"/>
  <c r="BN50" i="15" a="1"/>
  <c r="BK64" i="8" a="1"/>
  <c r="BN68" i="15" a="1"/>
  <c r="BN39" i="15" a="1"/>
  <c r="BN93" i="15" a="1"/>
  <c r="BN76" i="15" a="1"/>
  <c r="BK102" i="8" a="1"/>
  <c r="BK55" i="8" a="1"/>
  <c r="BK72" i="8" a="1"/>
  <c r="BN94" i="15" a="1"/>
  <c r="BN51" i="15" a="1"/>
  <c r="BK104" i="8" a="1"/>
  <c r="BN60" i="15" a="1"/>
  <c r="BN43" i="15" a="1"/>
  <c r="BK78" i="8" a="1"/>
  <c r="BN102" i="15" a="1"/>
  <c r="BN78" i="15" a="1"/>
  <c r="BN92" i="15" a="1"/>
  <c r="BK74" i="8" a="1"/>
  <c r="BN59" i="15" a="1"/>
  <c r="BN96" i="15" a="1"/>
  <c r="BN64" i="15" a="1"/>
  <c r="BN79" i="15" a="1"/>
  <c r="BK60" i="8" a="1"/>
  <c r="BN73" i="15" a="1"/>
  <c r="BN89" i="15" a="1"/>
  <c r="BK83" i="8" a="1"/>
  <c r="BK66" i="8" a="1"/>
  <c r="BK100" i="8" a="1"/>
  <c r="BK71" i="8" a="1"/>
  <c r="BN44" i="15" a="1"/>
  <c r="BN55" i="15" a="1"/>
  <c r="BN54" i="15" a="1"/>
  <c r="BN98" i="15" a="1"/>
  <c r="BN100" i="15" a="1"/>
  <c r="BK79" i="8" a="1"/>
  <c r="BN48" i="15" a="1"/>
  <c r="BN99" i="15" a="1"/>
  <c r="BN58" i="15" a="1"/>
  <c r="BN56" i="15" a="1"/>
  <c r="BK58" i="8" a="1"/>
  <c r="BN97" i="15" a="1"/>
  <c r="BN57" i="15" a="1"/>
  <c r="BN83" i="15" a="1"/>
  <c r="BN99" i="15" l="1"/>
  <c r="BN100" i="15"/>
  <c r="T162" i="15"/>
  <c r="BK162" i="15"/>
  <c r="AJ162" i="15"/>
  <c r="AT162" i="15"/>
  <c r="O162" i="15"/>
  <c r="M162" i="15"/>
  <c r="BH162" i="15"/>
  <c r="N162" i="15"/>
  <c r="AL162" i="15"/>
  <c r="BM162" i="15"/>
  <c r="BL162" i="15"/>
  <c r="F162" i="15"/>
  <c r="AZ162" i="15"/>
  <c r="BB162" i="15"/>
  <c r="G162" i="15"/>
  <c r="BF162" i="15"/>
  <c r="BG162" i="15"/>
  <c r="BE162" i="15"/>
  <c r="AM162" i="15"/>
  <c r="AV162" i="15"/>
  <c r="W162" i="15"/>
  <c r="R162" i="15"/>
  <c r="L162" i="15"/>
  <c r="BC162" i="15"/>
  <c r="BA162" i="15"/>
  <c r="AS162" i="15"/>
  <c r="Y162" i="15"/>
  <c r="I162" i="15"/>
  <c r="AK162" i="15"/>
  <c r="AA162" i="15"/>
  <c r="AE162" i="15"/>
  <c r="J162" i="15"/>
  <c r="AR162" i="15"/>
  <c r="Z162" i="15"/>
  <c r="AC162" i="15"/>
  <c r="AX162" i="15"/>
  <c r="E162" i="15"/>
  <c r="AB162" i="15"/>
  <c r="AQ162" i="15"/>
  <c r="H162" i="15"/>
  <c r="X162" i="15"/>
  <c r="AO162" i="15"/>
  <c r="BI162" i="15"/>
  <c r="BD162" i="15"/>
  <c r="AF162" i="15"/>
  <c r="AG162" i="15"/>
  <c r="BJ162" i="15"/>
  <c r="U162" i="15"/>
  <c r="V162" i="15"/>
  <c r="Q162" i="15"/>
  <c r="AN162" i="15"/>
  <c r="P162" i="15"/>
  <c r="AW162" i="15"/>
  <c r="AY162" i="15"/>
  <c r="AD162" i="15"/>
  <c r="AI162" i="15"/>
  <c r="AH162" i="15"/>
  <c r="AU162" i="15"/>
  <c r="AP162" i="15"/>
  <c r="K162" i="15"/>
  <c r="S162" i="15"/>
  <c r="BO101" i="15"/>
  <c r="BK56" i="8"/>
  <c r="BK54" i="8"/>
  <c r="BK53" i="8"/>
  <c r="BK52" i="8"/>
  <c r="BK55" i="8"/>
  <c r="BK77" i="8"/>
  <c r="BK78" i="8"/>
  <c r="BK80" i="8"/>
  <c r="BK76" i="8"/>
  <c r="BK79" i="8"/>
  <c r="BN44" i="15"/>
  <c r="BN107" i="15" s="1"/>
  <c r="BN53" i="15"/>
  <c r="BN116" i="15" s="1"/>
  <c r="BN58" i="15"/>
  <c r="BN121" i="15" s="1"/>
  <c r="BN64" i="15"/>
  <c r="BN127" i="15" s="1"/>
  <c r="BN73" i="15"/>
  <c r="BN136" i="15" s="1"/>
  <c r="BN83" i="15"/>
  <c r="BN146" i="15" s="1"/>
  <c r="BN90" i="15"/>
  <c r="BN153" i="15" s="1"/>
  <c r="BN48" i="15"/>
  <c r="BN111" i="15" s="1"/>
  <c r="BN50" i="15"/>
  <c r="BN113" i="15" s="1"/>
  <c r="BN68" i="15"/>
  <c r="BN131" i="15" s="1"/>
  <c r="BN76" i="15"/>
  <c r="BN139" i="15" s="1"/>
  <c r="BN80" i="15"/>
  <c r="BN143" i="15" s="1"/>
  <c r="BN86" i="15"/>
  <c r="BN149" i="15" s="1"/>
  <c r="BN96" i="15"/>
  <c r="BN159" i="15" s="1"/>
  <c r="BN43" i="15"/>
  <c r="BN106" i="15" s="1"/>
  <c r="BN49" i="15"/>
  <c r="BN112" i="15" s="1"/>
  <c r="BN55" i="15"/>
  <c r="BN118" i="15" s="1"/>
  <c r="BN52" i="15"/>
  <c r="BN115" i="15" s="1"/>
  <c r="BN74" i="15"/>
  <c r="BN137" i="15" s="1"/>
  <c r="BN70" i="15"/>
  <c r="BN133" i="15" s="1"/>
  <c r="BN65" i="15"/>
  <c r="BN128" i="15" s="1"/>
  <c r="BN72" i="15"/>
  <c r="BN135" i="15" s="1"/>
  <c r="BN77" i="15"/>
  <c r="BN140" i="15" s="1"/>
  <c r="BN81" i="15"/>
  <c r="BN144" i="15" s="1"/>
  <c r="BN85" i="15"/>
  <c r="BN148" i="15" s="1"/>
  <c r="BN87" i="15"/>
  <c r="BN150" i="15" s="1"/>
  <c r="BN91" i="15"/>
  <c r="BN154" i="15" s="1"/>
  <c r="BN98" i="15"/>
  <c r="BN161" i="15" s="1"/>
  <c r="BN47" i="15"/>
  <c r="BN110" i="15" s="1"/>
  <c r="BN57" i="15"/>
  <c r="BN120" i="15" s="1"/>
  <c r="BN66" i="15"/>
  <c r="BN129" i="15" s="1"/>
  <c r="BN69" i="15"/>
  <c r="BN132" i="15" s="1"/>
  <c r="BN79" i="15"/>
  <c r="BN142" i="15" s="1"/>
  <c r="BN92" i="15"/>
  <c r="BN155" i="15" s="1"/>
  <c r="BN95" i="15"/>
  <c r="BN158" i="15" s="1"/>
  <c r="BN46" i="15"/>
  <c r="BN109" i="15" s="1"/>
  <c r="BN54" i="15"/>
  <c r="BN117" i="15" s="1"/>
  <c r="BN62" i="15"/>
  <c r="BN125" i="15" s="1"/>
  <c r="BN61" i="15"/>
  <c r="BN124" i="15" s="1"/>
  <c r="BN75" i="15"/>
  <c r="BN138" i="15" s="1"/>
  <c r="BN84" i="15"/>
  <c r="BN147" i="15" s="1"/>
  <c r="BN93" i="15"/>
  <c r="BN156" i="15" s="1"/>
  <c r="BN45" i="15"/>
  <c r="BN108" i="15" s="1"/>
  <c r="BN51" i="15"/>
  <c r="BN114" i="15" s="1"/>
  <c r="BN56" i="15"/>
  <c r="BN119" i="15" s="1"/>
  <c r="BN59" i="15"/>
  <c r="BN122" i="15" s="1"/>
  <c r="BN63" i="15"/>
  <c r="BN126" i="15" s="1"/>
  <c r="BN60" i="15"/>
  <c r="BN123" i="15" s="1"/>
  <c r="BN67" i="15"/>
  <c r="BN130" i="15" s="1"/>
  <c r="BN71" i="15"/>
  <c r="BN134" i="15" s="1"/>
  <c r="BN78" i="15"/>
  <c r="BN141" i="15" s="1"/>
  <c r="BN82" i="15"/>
  <c r="BN145" i="15" s="1"/>
  <c r="BN88" i="15"/>
  <c r="BN151" i="15" s="1"/>
  <c r="BN89" i="15"/>
  <c r="BN152" i="15" s="1"/>
  <c r="BN94" i="15"/>
  <c r="BN157" i="15" s="1"/>
  <c r="BN97" i="15"/>
  <c r="BN160" i="15" s="1"/>
  <c r="BN102" i="15"/>
  <c r="BN162" i="15" s="1"/>
  <c r="BN39" i="15"/>
  <c r="BN105" i="15" s="1"/>
  <c r="BP38" i="15"/>
  <c r="BJ92" i="8"/>
  <c r="BJ98" i="8"/>
  <c r="BK104" i="8"/>
  <c r="BK86" i="8"/>
  <c r="BK74" i="8"/>
  <c r="BK68" i="8"/>
  <c r="BK62" i="8"/>
  <c r="BJ91" i="8"/>
  <c r="BJ90" i="8"/>
  <c r="BJ89" i="8"/>
  <c r="BK60" i="8"/>
  <c r="BK59" i="8"/>
  <c r="BK61" i="8"/>
  <c r="BK65" i="8"/>
  <c r="BK66" i="8"/>
  <c r="BK67" i="8"/>
  <c r="BK72" i="8"/>
  <c r="BK71" i="8"/>
  <c r="BK73" i="8"/>
  <c r="BK85" i="8"/>
  <c r="BK83" i="8"/>
  <c r="BK84" i="8"/>
  <c r="BJ96" i="8"/>
  <c r="BK102" i="8"/>
  <c r="BK58" i="8"/>
  <c r="BK64" i="8"/>
  <c r="BK82" i="8"/>
  <c r="BK70" i="8"/>
  <c r="BK103" i="8"/>
  <c r="BK101" i="8"/>
  <c r="BK100" i="8"/>
  <c r="BL50" i="8"/>
  <c r="BJ95" i="8"/>
  <c r="BJ94" i="8"/>
  <c r="BJ88" i="8"/>
  <c r="BJ97" i="8"/>
  <c r="BL62" i="8" a="1"/>
  <c r="BL66" i="8" a="1"/>
  <c r="BL104" i="8" a="1"/>
  <c r="BL68" i="8" a="1"/>
  <c r="BL61" i="8" a="1"/>
  <c r="BL103" i="8" a="1"/>
  <c r="BO63" i="15" a="1"/>
  <c r="BO82" i="15" a="1"/>
  <c r="BL101" i="8" a="1"/>
  <c r="BO97" i="15" a="1"/>
  <c r="BO78" i="15" a="1"/>
  <c r="BO100" i="15" a="1"/>
  <c r="BO85" i="15" a="1"/>
  <c r="BL74" i="8" a="1"/>
  <c r="BO51" i="15" a="1"/>
  <c r="BO92" i="15" a="1"/>
  <c r="BO53" i="15" a="1"/>
  <c r="BO73" i="15" a="1"/>
  <c r="BO77" i="15" a="1"/>
  <c r="BL65" i="8" a="1"/>
  <c r="BO95" i="15" a="1"/>
  <c r="BO65" i="15" a="1"/>
  <c r="BO57" i="15" a="1"/>
  <c r="BL83" i="8" a="1"/>
  <c r="BO60" i="15" a="1"/>
  <c r="BL84" i="8" a="1"/>
  <c r="BO46" i="15" a="1"/>
  <c r="BO56" i="15" a="1"/>
  <c r="BO59" i="15" a="1"/>
  <c r="BL64" i="8" a="1"/>
  <c r="BL85" i="8" a="1"/>
  <c r="BO86" i="15" a="1"/>
  <c r="BO71" i="15" a="1"/>
  <c r="BO70" i="15" a="1"/>
  <c r="BO43" i="15" a="1"/>
  <c r="BO58" i="15" a="1"/>
  <c r="BO48" i="15" a="1"/>
  <c r="BO89" i="15" a="1"/>
  <c r="BO39" i="15" a="1"/>
  <c r="BL102" i="8" a="1"/>
  <c r="BO74" i="15" a="1"/>
  <c r="BL86" i="8" a="1"/>
  <c r="BO87" i="15" a="1"/>
  <c r="BL55" i="8" a="1"/>
  <c r="BL54" i="8" a="1"/>
  <c r="BO62" i="15" a="1"/>
  <c r="BL60" i="8" a="1"/>
  <c r="BL72" i="8" a="1"/>
  <c r="BL52" i="8" a="1"/>
  <c r="BO76" i="15" a="1"/>
  <c r="BO55" i="15" a="1"/>
  <c r="BO67" i="15" a="1"/>
  <c r="BO52" i="15" a="1"/>
  <c r="BO44" i="15" a="1"/>
  <c r="BO90" i="15" a="1"/>
  <c r="BL76" i="8" a="1"/>
  <c r="BO81" i="15" a="1"/>
  <c r="BO96" i="15" a="1"/>
  <c r="BO93" i="15" a="1"/>
  <c r="BO45" i="15" a="1"/>
  <c r="BO72" i="15" a="1"/>
  <c r="BO66" i="15" a="1"/>
  <c r="BL100" i="8" a="1"/>
  <c r="BO99" i="15" a="1"/>
  <c r="BO49" i="15" a="1"/>
  <c r="BO61" i="15" a="1"/>
  <c r="BL53" i="8" a="1"/>
  <c r="BO102" i="15" a="1"/>
  <c r="BL82" i="8" a="1"/>
  <c r="BO47" i="15" a="1"/>
  <c r="BL67" i="8" a="1"/>
  <c r="BP99" i="15" a="1"/>
  <c r="BO80" i="15" a="1"/>
  <c r="BL78" i="8" a="1"/>
  <c r="BP100" i="15" a="1"/>
  <c r="BL56" i="8" a="1"/>
  <c r="BO75" i="15" a="1"/>
  <c r="BO64" i="15" a="1"/>
  <c r="BL79" i="8" a="1"/>
  <c r="BL73" i="8" a="1"/>
  <c r="BL71" i="8" a="1"/>
  <c r="BL77" i="8" a="1"/>
  <c r="BO91" i="15" a="1"/>
  <c r="BO94" i="15" a="1"/>
  <c r="BO79" i="15" a="1"/>
  <c r="BO88" i="15" a="1"/>
  <c r="BL70" i="8" a="1"/>
  <c r="BL59" i="8" a="1"/>
  <c r="BO50" i="15" a="1"/>
  <c r="BL58" i="8" a="1"/>
  <c r="BO84" i="15" a="1"/>
  <c r="BO54" i="15" a="1"/>
  <c r="BP101" i="15" a="1"/>
  <c r="BO83" i="15" a="1"/>
  <c r="BO69" i="15" a="1"/>
  <c r="BO68" i="15" a="1"/>
  <c r="BO98" i="15" a="1"/>
  <c r="BL80" i="8" a="1"/>
  <c r="BO99" i="15" l="1"/>
  <c r="BO100" i="15"/>
  <c r="BP101" i="15"/>
  <c r="BP100" i="15"/>
  <c r="BP99" i="15"/>
  <c r="BL53" i="8"/>
  <c r="BL56" i="8"/>
  <c r="BL54" i="8"/>
  <c r="BL52" i="8"/>
  <c r="BL55" i="8"/>
  <c r="BL77" i="8"/>
  <c r="BL79" i="8"/>
  <c r="BL78" i="8"/>
  <c r="BL76" i="8"/>
  <c r="BL80" i="8"/>
  <c r="BO44" i="15"/>
  <c r="BO107" i="15" s="1"/>
  <c r="BO47" i="15"/>
  <c r="BO110" i="15" s="1"/>
  <c r="BO48" i="15"/>
  <c r="BO111" i="15" s="1"/>
  <c r="BO54" i="15"/>
  <c r="BO117" i="15" s="1"/>
  <c r="BO60" i="15"/>
  <c r="BO123" i="15" s="1"/>
  <c r="BO58" i="15"/>
  <c r="BO121" i="15" s="1"/>
  <c r="BO66" i="15"/>
  <c r="BO129" i="15" s="1"/>
  <c r="BO70" i="15"/>
  <c r="BO133" i="15" s="1"/>
  <c r="BO72" i="15"/>
  <c r="BO135" i="15" s="1"/>
  <c r="BO84" i="15"/>
  <c r="BO147" i="15" s="1"/>
  <c r="BO81" i="15"/>
  <c r="BO144" i="15" s="1"/>
  <c r="BO91" i="15"/>
  <c r="BO154" i="15" s="1"/>
  <c r="BO87" i="15"/>
  <c r="BO150" i="15" s="1"/>
  <c r="BO98" i="15"/>
  <c r="BO161" i="15" s="1"/>
  <c r="BO102" i="15"/>
  <c r="BO162" i="15" s="1"/>
  <c r="BO46" i="15"/>
  <c r="BO109" i="15" s="1"/>
  <c r="BO49" i="15"/>
  <c r="BO112" i="15" s="1"/>
  <c r="BO50" i="15"/>
  <c r="BO113" i="15" s="1"/>
  <c r="BO55" i="15"/>
  <c r="BO118" i="15" s="1"/>
  <c r="BO64" i="15"/>
  <c r="BO127" i="15" s="1"/>
  <c r="BO62" i="15"/>
  <c r="BO125" i="15" s="1"/>
  <c r="BO67" i="15"/>
  <c r="BO130" i="15" s="1"/>
  <c r="BO71" i="15"/>
  <c r="BO134" i="15" s="1"/>
  <c r="BO75" i="15"/>
  <c r="BO138" i="15" s="1"/>
  <c r="BO86" i="15"/>
  <c r="BO149" i="15" s="1"/>
  <c r="BO82" i="15"/>
  <c r="BO145" i="15" s="1"/>
  <c r="BO88" i="15"/>
  <c r="BO151" i="15" s="1"/>
  <c r="BO90" i="15"/>
  <c r="BO153" i="15" s="1"/>
  <c r="BO95" i="15"/>
  <c r="BO158" i="15" s="1"/>
  <c r="BO43" i="15"/>
  <c r="BO106" i="15" s="1"/>
  <c r="BO52" i="15"/>
  <c r="BO115" i="15" s="1"/>
  <c r="BO51" i="15"/>
  <c r="BO114" i="15" s="1"/>
  <c r="BO56" i="15"/>
  <c r="BO119" i="15" s="1"/>
  <c r="BO61" i="15"/>
  <c r="BO124" i="15" s="1"/>
  <c r="BO73" i="15"/>
  <c r="BO136" i="15" s="1"/>
  <c r="BO68" i="15"/>
  <c r="BO131" i="15" s="1"/>
  <c r="BO74" i="15"/>
  <c r="BO137" i="15" s="1"/>
  <c r="BO77" i="15"/>
  <c r="BO140" i="15" s="1"/>
  <c r="BO79" i="15"/>
  <c r="BO142" i="15" s="1"/>
  <c r="BO83" i="15"/>
  <c r="BO146" i="15" s="1"/>
  <c r="BO92" i="15"/>
  <c r="BO155" i="15" s="1"/>
  <c r="BO93" i="15"/>
  <c r="BO156" i="15" s="1"/>
  <c r="BO96" i="15"/>
  <c r="BO159" i="15" s="1"/>
  <c r="BO45" i="15"/>
  <c r="BO108" i="15" s="1"/>
  <c r="BO57" i="15"/>
  <c r="BO120" i="15" s="1"/>
  <c r="BO53" i="15"/>
  <c r="BO116" i="15" s="1"/>
  <c r="BO59" i="15"/>
  <c r="BO122" i="15" s="1"/>
  <c r="BO65" i="15"/>
  <c r="BO128" i="15" s="1"/>
  <c r="BO63" i="15"/>
  <c r="BO126" i="15" s="1"/>
  <c r="BO69" i="15"/>
  <c r="BO132" i="15" s="1"/>
  <c r="BO76" i="15"/>
  <c r="BO139" i="15" s="1"/>
  <c r="BO78" i="15"/>
  <c r="BO141" i="15" s="1"/>
  <c r="BO80" i="15"/>
  <c r="BO143" i="15" s="1"/>
  <c r="BO85" i="15"/>
  <c r="BO148" i="15" s="1"/>
  <c r="BO89" i="15"/>
  <c r="BO152" i="15" s="1"/>
  <c r="BO94" i="15"/>
  <c r="BO157" i="15" s="1"/>
  <c r="BO97" i="15"/>
  <c r="BO160" i="15" s="1"/>
  <c r="BO39" i="15"/>
  <c r="BO105" i="15" s="1"/>
  <c r="BQ38" i="15"/>
  <c r="BK98" i="8"/>
  <c r="BL104" i="8"/>
  <c r="BL86" i="8"/>
  <c r="BL74" i="8"/>
  <c r="BL68" i="8"/>
  <c r="BL62" i="8"/>
  <c r="BK92" i="8"/>
  <c r="BK91" i="8"/>
  <c r="BK89" i="8"/>
  <c r="BL60" i="8"/>
  <c r="BL61" i="8"/>
  <c r="BL59" i="8"/>
  <c r="BL66" i="8"/>
  <c r="BL65" i="8"/>
  <c r="BL67" i="8"/>
  <c r="BL73" i="8"/>
  <c r="BL72" i="8"/>
  <c r="BL71" i="8"/>
  <c r="BL85" i="8"/>
  <c r="BL84" i="8"/>
  <c r="BL83" i="8"/>
  <c r="BK90" i="8"/>
  <c r="BK97" i="8"/>
  <c r="BK96" i="8"/>
  <c r="BL102" i="8"/>
  <c r="BL58" i="8"/>
  <c r="BL64" i="8"/>
  <c r="BL82" i="8"/>
  <c r="BL70" i="8"/>
  <c r="BL103" i="8"/>
  <c r="BL101" i="8"/>
  <c r="BL100" i="8"/>
  <c r="BK95" i="8"/>
  <c r="BK88" i="8"/>
  <c r="BK94" i="8"/>
  <c r="BM50" i="8"/>
  <c r="BP58" i="15" a="1"/>
  <c r="BP77" i="15" a="1"/>
  <c r="BM82" i="8" a="1"/>
  <c r="BM66" i="8" a="1"/>
  <c r="BM83" i="8" a="1"/>
  <c r="BP69" i="15" a="1"/>
  <c r="BM77" i="8" a="1"/>
  <c r="BM103" i="8" a="1"/>
  <c r="BM73" i="8" a="1"/>
  <c r="BM101" i="8" a="1"/>
  <c r="BP76" i="15" a="1"/>
  <c r="BM60" i="8" a="1"/>
  <c r="BM85" i="8" a="1"/>
  <c r="BM62" i="8" a="1"/>
  <c r="BP89" i="15" a="1"/>
  <c r="BP61" i="15" a="1"/>
  <c r="BP43" i="15" a="1"/>
  <c r="BP94" i="15" a="1"/>
  <c r="BQ100" i="15" a="1"/>
  <c r="BM58" i="8" a="1"/>
  <c r="BM67" i="8" a="1"/>
  <c r="BP60" i="15" a="1"/>
  <c r="BP39" i="15" a="1"/>
  <c r="BP78" i="15" a="1"/>
  <c r="BP97" i="15" a="1"/>
  <c r="BP52" i="15" a="1"/>
  <c r="BQ101" i="15" a="1"/>
  <c r="BP91" i="15" a="1"/>
  <c r="BP73" i="15" a="1"/>
  <c r="BP82" i="15" a="1"/>
  <c r="BM56" i="8" a="1"/>
  <c r="BP80" i="15" a="1"/>
  <c r="BM78" i="8" a="1"/>
  <c r="BP79" i="15" a="1"/>
  <c r="BP63" i="15" a="1"/>
  <c r="BM102" i="8" a="1"/>
  <c r="BP81" i="15" a="1"/>
  <c r="BM55" i="8" a="1"/>
  <c r="BP48" i="15" a="1"/>
  <c r="BM70" i="8" a="1"/>
  <c r="BP85" i="15" a="1"/>
  <c r="BM61" i="8" a="1"/>
  <c r="BP87" i="15" a="1"/>
  <c r="BP71" i="15" a="1"/>
  <c r="BM79" i="8" a="1"/>
  <c r="BQ99" i="15" a="1"/>
  <c r="BP67" i="15" a="1"/>
  <c r="BP50" i="15" a="1"/>
  <c r="BP64" i="15" a="1"/>
  <c r="BP75" i="15" a="1"/>
  <c r="BP54" i="15" a="1"/>
  <c r="BP95" i="15" a="1"/>
  <c r="BM65" i="8" a="1"/>
  <c r="BP55" i="15" a="1"/>
  <c r="BP102" i="15" a="1"/>
  <c r="BP47" i="15" a="1"/>
  <c r="BP62" i="15" a="1"/>
  <c r="BP83" i="15" a="1"/>
  <c r="BM76" i="8" a="1"/>
  <c r="BP74" i="15" a="1"/>
  <c r="BM52" i="8" a="1"/>
  <c r="BM86" i="8" a="1"/>
  <c r="BP66" i="15" a="1"/>
  <c r="BM104" i="8" a="1"/>
  <c r="BP51" i="15" a="1"/>
  <c r="BP57" i="15" a="1"/>
  <c r="BP84" i="15" a="1"/>
  <c r="BM80" i="8" a="1"/>
  <c r="BM59" i="8" a="1"/>
  <c r="BM100" i="8" a="1"/>
  <c r="BM53" i="8" a="1"/>
  <c r="BM72" i="8" a="1"/>
  <c r="BP96" i="15" a="1"/>
  <c r="BP44" i="15" a="1"/>
  <c r="BM64" i="8" a="1"/>
  <c r="BP92" i="15" a="1"/>
  <c r="BP45" i="15" a="1"/>
  <c r="BP90" i="15" a="1"/>
  <c r="BP88" i="15" a="1"/>
  <c r="BP70" i="15" a="1"/>
  <c r="BP49" i="15" a="1"/>
  <c r="BP86" i="15" a="1"/>
  <c r="BM84" i="8" a="1"/>
  <c r="BP59" i="15" a="1"/>
  <c r="BM74" i="8" a="1"/>
  <c r="BM68" i="8" a="1"/>
  <c r="BP46" i="15" a="1"/>
  <c r="BM54" i="8" a="1"/>
  <c r="BP93" i="15" a="1"/>
  <c r="BM71" i="8" a="1"/>
  <c r="BP56" i="15" a="1"/>
  <c r="BP68" i="15" a="1"/>
  <c r="BP98" i="15" a="1"/>
  <c r="BP53" i="15" a="1"/>
  <c r="BP72" i="15" a="1"/>
  <c r="BP65" i="15" a="1"/>
  <c r="BQ101" i="15" l="1"/>
  <c r="BQ100" i="15"/>
  <c r="BQ99" i="15"/>
  <c r="BM53" i="8"/>
  <c r="BM56" i="8"/>
  <c r="BM54" i="8"/>
  <c r="BM52" i="8"/>
  <c r="BM55" i="8"/>
  <c r="BM77" i="8"/>
  <c r="BM78" i="8"/>
  <c r="BM80" i="8"/>
  <c r="BM79" i="8"/>
  <c r="BM76" i="8"/>
  <c r="BP43" i="15"/>
  <c r="BP106" i="15" s="1"/>
  <c r="BP60" i="15"/>
  <c r="BP123" i="15" s="1"/>
  <c r="BP54" i="15"/>
  <c r="BP117" i="15" s="1"/>
  <c r="BP48" i="15"/>
  <c r="BP111" i="15" s="1"/>
  <c r="BP59" i="15"/>
  <c r="BP122" i="15" s="1"/>
  <c r="BP69" i="15"/>
  <c r="BP132" i="15" s="1"/>
  <c r="BP62" i="15"/>
  <c r="BP125" i="15" s="1"/>
  <c r="BP72" i="15"/>
  <c r="BP135" i="15" s="1"/>
  <c r="BP71" i="15"/>
  <c r="BP134" i="15" s="1"/>
  <c r="BP79" i="15"/>
  <c r="BP142" i="15" s="1"/>
  <c r="BP85" i="15"/>
  <c r="BP148" i="15" s="1"/>
  <c r="BP93" i="15"/>
  <c r="BP156" i="15" s="1"/>
  <c r="BP91" i="15"/>
  <c r="BP154" i="15" s="1"/>
  <c r="BP95" i="15"/>
  <c r="BP158" i="15" s="1"/>
  <c r="BP45" i="15"/>
  <c r="BP108" i="15" s="1"/>
  <c r="BP50" i="15"/>
  <c r="BP113" i="15" s="1"/>
  <c r="BP55" i="15"/>
  <c r="BP118" i="15" s="1"/>
  <c r="BP49" i="15"/>
  <c r="BP112" i="15" s="1"/>
  <c r="BP63" i="15"/>
  <c r="BP126" i="15" s="1"/>
  <c r="BP57" i="15"/>
  <c r="BP120" i="15" s="1"/>
  <c r="BP66" i="15"/>
  <c r="BP129" i="15" s="1"/>
  <c r="BP75" i="15"/>
  <c r="BP138" i="15" s="1"/>
  <c r="BP74" i="15"/>
  <c r="BP137" i="15" s="1"/>
  <c r="BP80" i="15"/>
  <c r="BP143" i="15" s="1"/>
  <c r="BP84" i="15"/>
  <c r="BP147" i="15" s="1"/>
  <c r="BP86" i="15"/>
  <c r="BP149" i="15" s="1"/>
  <c r="BP92" i="15"/>
  <c r="BP155" i="15" s="1"/>
  <c r="BP96" i="15"/>
  <c r="BP159" i="15" s="1"/>
  <c r="BP44" i="15"/>
  <c r="BP107" i="15" s="1"/>
  <c r="BP52" i="15"/>
  <c r="BP115" i="15" s="1"/>
  <c r="BP56" i="15"/>
  <c r="BP119" i="15" s="1"/>
  <c r="BP51" i="15"/>
  <c r="BP114" i="15" s="1"/>
  <c r="BP64" i="15"/>
  <c r="BP127" i="15" s="1"/>
  <c r="BP61" i="15"/>
  <c r="BP124" i="15" s="1"/>
  <c r="BP68" i="15"/>
  <c r="BP131" i="15" s="1"/>
  <c r="BP77" i="15"/>
  <c r="BP140" i="15" s="1"/>
  <c r="BP76" i="15"/>
  <c r="BP139" i="15" s="1"/>
  <c r="BP81" i="15"/>
  <c r="BP144" i="15" s="1"/>
  <c r="BP82" i="15"/>
  <c r="BP145" i="15" s="1"/>
  <c r="BP87" i="15"/>
  <c r="BP150" i="15" s="1"/>
  <c r="BP88" i="15"/>
  <c r="BP151" i="15" s="1"/>
  <c r="BP97" i="15"/>
  <c r="BP160" i="15" s="1"/>
  <c r="BP46" i="15"/>
  <c r="BP109" i="15" s="1"/>
  <c r="BP53" i="15"/>
  <c r="BP116" i="15" s="1"/>
  <c r="BP47" i="15"/>
  <c r="BP110" i="15" s="1"/>
  <c r="BP58" i="15"/>
  <c r="BP121" i="15" s="1"/>
  <c r="BP67" i="15"/>
  <c r="BP130" i="15" s="1"/>
  <c r="BP65" i="15"/>
  <c r="BP128" i="15" s="1"/>
  <c r="BP70" i="15"/>
  <c r="BP133" i="15" s="1"/>
  <c r="BP73" i="15"/>
  <c r="BP136" i="15" s="1"/>
  <c r="BP78" i="15"/>
  <c r="BP141" i="15" s="1"/>
  <c r="BP83" i="15"/>
  <c r="BP146" i="15" s="1"/>
  <c r="BP89" i="15"/>
  <c r="BP152" i="15" s="1"/>
  <c r="BP90" i="15"/>
  <c r="BP153" i="15" s="1"/>
  <c r="BP94" i="15"/>
  <c r="BP157" i="15" s="1"/>
  <c r="BP98" i="15"/>
  <c r="BP161" i="15" s="1"/>
  <c r="BP102" i="15"/>
  <c r="BP162" i="15" s="1"/>
  <c r="BP39" i="15"/>
  <c r="BP105" i="15" s="1"/>
  <c r="BR38" i="15"/>
  <c r="BL98" i="8"/>
  <c r="BM104" i="8"/>
  <c r="BM86" i="8"/>
  <c r="BM74" i="8"/>
  <c r="BM68" i="8"/>
  <c r="BM62" i="8"/>
  <c r="BL92" i="8"/>
  <c r="BL89" i="8"/>
  <c r="BL91" i="8"/>
  <c r="BM60" i="8"/>
  <c r="BM59" i="8"/>
  <c r="BM61" i="8"/>
  <c r="BM66" i="8"/>
  <c r="BM65" i="8"/>
  <c r="BM67" i="8"/>
  <c r="BM72" i="8"/>
  <c r="BM73" i="8"/>
  <c r="BM71" i="8"/>
  <c r="BM85" i="8"/>
  <c r="BM83" i="8"/>
  <c r="BM84" i="8"/>
  <c r="BL90" i="8"/>
  <c r="BL96" i="8"/>
  <c r="BM102" i="8"/>
  <c r="BM58" i="8"/>
  <c r="BM64" i="8"/>
  <c r="BM82" i="8"/>
  <c r="BM70" i="8"/>
  <c r="BM103" i="8"/>
  <c r="BM101" i="8"/>
  <c r="BM100" i="8"/>
  <c r="BL97" i="8"/>
  <c r="BN50" i="8"/>
  <c r="BL94" i="8"/>
  <c r="BL88" i="8"/>
  <c r="BL95" i="8"/>
  <c r="BQ82" i="15" a="1"/>
  <c r="BQ85" i="15" a="1"/>
  <c r="BN73" i="8" a="1"/>
  <c r="BQ39" i="15" a="1"/>
  <c r="BQ78" i="15" a="1"/>
  <c r="BQ87" i="15" a="1"/>
  <c r="BQ89" i="15" a="1"/>
  <c r="BN84" i="8" a="1"/>
  <c r="BN68" i="8" a="1"/>
  <c r="BQ73" i="15" a="1"/>
  <c r="BQ50" i="15" a="1"/>
  <c r="BQ71" i="15" a="1"/>
  <c r="BQ102" i="15" a="1"/>
  <c r="BN62" i="8" a="1"/>
  <c r="BQ75" i="15" a="1"/>
  <c r="BN76" i="8" a="1"/>
  <c r="BN70" i="8" a="1"/>
  <c r="BQ70" i="15" a="1"/>
  <c r="BQ57" i="15" a="1"/>
  <c r="BQ61" i="15" a="1"/>
  <c r="BQ55" i="15" a="1"/>
  <c r="BQ94" i="15" a="1"/>
  <c r="BQ74" i="15" a="1"/>
  <c r="BN79" i="8" a="1"/>
  <c r="BQ54" i="15" a="1"/>
  <c r="BQ95" i="15" a="1"/>
  <c r="BQ62" i="15" a="1"/>
  <c r="BQ77" i="15" a="1"/>
  <c r="BQ67" i="15" a="1"/>
  <c r="BQ49" i="15" a="1"/>
  <c r="BQ53" i="15" a="1"/>
  <c r="BN103" i="8" a="1"/>
  <c r="BQ80" i="15" a="1"/>
  <c r="BQ66" i="15" a="1"/>
  <c r="BN77" i="8" a="1"/>
  <c r="BN67" i="8" a="1"/>
  <c r="BQ93" i="15" a="1"/>
  <c r="BN78" i="8" a="1"/>
  <c r="BR99" i="15" a="1"/>
  <c r="BN100" i="8" a="1"/>
  <c r="BN102" i="8" a="1"/>
  <c r="BQ86" i="15" a="1"/>
  <c r="BN61" i="8" a="1"/>
  <c r="BQ81" i="15" a="1"/>
  <c r="BN83" i="8" a="1"/>
  <c r="BN82" i="8" a="1"/>
  <c r="BQ68" i="15" a="1"/>
  <c r="BR101" i="15" a="1"/>
  <c r="BQ83" i="15" a="1"/>
  <c r="BN59" i="8" a="1"/>
  <c r="BN65" i="8" a="1"/>
  <c r="BN58" i="8" a="1"/>
  <c r="BN56" i="8" a="1"/>
  <c r="BQ48" i="15" a="1"/>
  <c r="BN86" i="8" a="1"/>
  <c r="BQ98" i="15" a="1"/>
  <c r="BQ60" i="15" a="1"/>
  <c r="BN104" i="8" a="1"/>
  <c r="BQ84" i="15" a="1"/>
  <c r="BQ90" i="15" a="1"/>
  <c r="BQ88" i="15" a="1"/>
  <c r="BQ92" i="15" a="1"/>
  <c r="BN66" i="8" a="1"/>
  <c r="BQ47" i="15" a="1"/>
  <c r="BQ91" i="15" a="1"/>
  <c r="BQ69" i="15" a="1"/>
  <c r="BQ52" i="15" a="1"/>
  <c r="BQ43" i="15" a="1"/>
  <c r="BQ44" i="15" a="1"/>
  <c r="BQ72" i="15" a="1"/>
  <c r="BQ46" i="15" a="1"/>
  <c r="BN64" i="8" a="1"/>
  <c r="BN74" i="8" a="1"/>
  <c r="BQ58" i="15" a="1"/>
  <c r="BQ51" i="15" a="1"/>
  <c r="BQ79" i="15" a="1"/>
  <c r="BN55" i="8" a="1"/>
  <c r="BQ59" i="15" a="1"/>
  <c r="BN80" i="8" a="1"/>
  <c r="BQ45" i="15" a="1"/>
  <c r="BQ97" i="15" a="1"/>
  <c r="BN85" i="8" a="1"/>
  <c r="BQ76" i="15" a="1"/>
  <c r="BQ64" i="15" a="1"/>
  <c r="BQ65" i="15" a="1"/>
  <c r="BN71" i="8" a="1"/>
  <c r="BN72" i="8" a="1"/>
  <c r="BN53" i="8" a="1"/>
  <c r="BQ96" i="15" a="1"/>
  <c r="BQ63" i="15" a="1"/>
  <c r="BN54" i="8" a="1"/>
  <c r="BN60" i="8" a="1"/>
  <c r="BN101" i="8" a="1"/>
  <c r="BQ56" i="15" a="1"/>
  <c r="BN52" i="8" a="1"/>
  <c r="BR101" i="15" l="1"/>
  <c r="BR99" i="15"/>
  <c r="BN54" i="8"/>
  <c r="BN53" i="8"/>
  <c r="BN55" i="8"/>
  <c r="BN56" i="8"/>
  <c r="BN52" i="8"/>
  <c r="BN76" i="8"/>
  <c r="BN77" i="8"/>
  <c r="BN78" i="8"/>
  <c r="BN79" i="8"/>
  <c r="BN80" i="8"/>
  <c r="BQ58" i="15"/>
  <c r="BQ121" i="15" s="1"/>
  <c r="BQ68" i="15"/>
  <c r="BQ131" i="15" s="1"/>
  <c r="BQ46" i="15"/>
  <c r="BQ109" i="15" s="1"/>
  <c r="BQ60" i="15"/>
  <c r="BQ123" i="15" s="1"/>
  <c r="BQ64" i="15"/>
  <c r="BQ127" i="15" s="1"/>
  <c r="BQ72" i="15"/>
  <c r="BQ135" i="15" s="1"/>
  <c r="BQ84" i="15"/>
  <c r="BQ147" i="15" s="1"/>
  <c r="BQ92" i="15"/>
  <c r="BQ155" i="15" s="1"/>
  <c r="BQ43" i="15"/>
  <c r="BQ106" i="15" s="1"/>
  <c r="BQ47" i="15"/>
  <c r="BQ110" i="15" s="1"/>
  <c r="BQ51" i="15"/>
  <c r="BQ114" i="15" s="1"/>
  <c r="BQ53" i="15"/>
  <c r="BQ116" i="15" s="1"/>
  <c r="BQ57" i="15"/>
  <c r="BQ120" i="15" s="1"/>
  <c r="BQ74" i="15"/>
  <c r="BQ137" i="15" s="1"/>
  <c r="BQ66" i="15"/>
  <c r="BQ129" i="15" s="1"/>
  <c r="BQ70" i="15"/>
  <c r="BQ133" i="15" s="1"/>
  <c r="BQ75" i="15"/>
  <c r="BQ138" i="15" s="1"/>
  <c r="BQ82" i="15"/>
  <c r="BQ145" i="15" s="1"/>
  <c r="BQ80" i="15"/>
  <c r="BQ143" i="15" s="1"/>
  <c r="BQ88" i="15"/>
  <c r="BQ151" i="15" s="1"/>
  <c r="BQ90" i="15"/>
  <c r="BQ153" i="15" s="1"/>
  <c r="BQ97" i="15"/>
  <c r="BQ160" i="15" s="1"/>
  <c r="BQ44" i="15"/>
  <c r="BQ107" i="15" s="1"/>
  <c r="BQ65" i="15"/>
  <c r="BQ128" i="15" s="1"/>
  <c r="BQ73" i="15"/>
  <c r="BQ136" i="15" s="1"/>
  <c r="BQ50" i="15"/>
  <c r="BQ113" i="15" s="1"/>
  <c r="BQ56" i="15"/>
  <c r="BQ119" i="15" s="1"/>
  <c r="BQ69" i="15"/>
  <c r="BQ132" i="15" s="1"/>
  <c r="BQ76" i="15"/>
  <c r="BQ139" i="15" s="1"/>
  <c r="BQ93" i="15"/>
  <c r="BQ156" i="15" s="1"/>
  <c r="BQ98" i="15"/>
  <c r="BQ161" i="15" s="1"/>
  <c r="BQ45" i="15"/>
  <c r="BQ108" i="15" s="1"/>
  <c r="BQ48" i="15"/>
  <c r="BQ111" i="15" s="1"/>
  <c r="BQ52" i="15"/>
  <c r="BQ115" i="15" s="1"/>
  <c r="BQ54" i="15"/>
  <c r="BQ117" i="15" s="1"/>
  <c r="BQ61" i="15"/>
  <c r="BQ124" i="15" s="1"/>
  <c r="BQ59" i="15"/>
  <c r="BQ122" i="15" s="1"/>
  <c r="BQ67" i="15"/>
  <c r="BQ130" i="15" s="1"/>
  <c r="BQ71" i="15"/>
  <c r="BQ134" i="15" s="1"/>
  <c r="BQ77" i="15"/>
  <c r="BQ140" i="15" s="1"/>
  <c r="BQ85" i="15"/>
  <c r="BQ148" i="15" s="1"/>
  <c r="BQ81" i="15"/>
  <c r="BQ144" i="15" s="1"/>
  <c r="BQ94" i="15"/>
  <c r="BQ157" i="15" s="1"/>
  <c r="BQ87" i="15"/>
  <c r="BQ150" i="15" s="1"/>
  <c r="BQ95" i="15"/>
  <c r="BQ158" i="15" s="1"/>
  <c r="BQ102" i="15"/>
  <c r="BQ162" i="15" s="1"/>
  <c r="BQ55" i="15"/>
  <c r="BQ118" i="15" s="1"/>
  <c r="BQ78" i="15"/>
  <c r="BQ141" i="15" s="1"/>
  <c r="BQ86" i="15"/>
  <c r="BQ149" i="15" s="1"/>
  <c r="BQ83" i="15"/>
  <c r="BQ146" i="15" s="1"/>
  <c r="BQ89" i="15"/>
  <c r="BQ152" i="15" s="1"/>
  <c r="BQ91" i="15"/>
  <c r="BQ154" i="15" s="1"/>
  <c r="BQ96" i="15"/>
  <c r="BQ159" i="15" s="1"/>
  <c r="BQ49" i="15"/>
  <c r="BQ112" i="15" s="1"/>
  <c r="BQ63" i="15"/>
  <c r="BQ126" i="15" s="1"/>
  <c r="BQ62" i="15"/>
  <c r="BQ125" i="15" s="1"/>
  <c r="BQ79" i="15"/>
  <c r="BQ142" i="15" s="1"/>
  <c r="BQ39" i="15"/>
  <c r="BQ105" i="15" s="1"/>
  <c r="BS38" i="15"/>
  <c r="BM98" i="8"/>
  <c r="BN104" i="8"/>
  <c r="BN86" i="8"/>
  <c r="BN74" i="8"/>
  <c r="BN68" i="8"/>
  <c r="BN62" i="8"/>
  <c r="BM92" i="8"/>
  <c r="BM90" i="8"/>
  <c r="BM89" i="8"/>
  <c r="BN61" i="8"/>
  <c r="BN59" i="8"/>
  <c r="BN60" i="8"/>
  <c r="BN66" i="8"/>
  <c r="BN67" i="8"/>
  <c r="BN65" i="8"/>
  <c r="BN72" i="8"/>
  <c r="BN73" i="8"/>
  <c r="BN71" i="8"/>
  <c r="BN84" i="8"/>
  <c r="BN83" i="8"/>
  <c r="BN85" i="8"/>
  <c r="BM91" i="8"/>
  <c r="BM95" i="8"/>
  <c r="BN102" i="8"/>
  <c r="BN58" i="8"/>
  <c r="BN64" i="8"/>
  <c r="BN82" i="8"/>
  <c r="BN70" i="8"/>
  <c r="BN103" i="8"/>
  <c r="BN101" i="8"/>
  <c r="BN100" i="8"/>
  <c r="BM88" i="8"/>
  <c r="BM94" i="8"/>
  <c r="BO50" i="8"/>
  <c r="BM96" i="8"/>
  <c r="BM97" i="8"/>
  <c r="BR84" i="15" a="1"/>
  <c r="BO67" i="8" a="1"/>
  <c r="BR66" i="15" a="1"/>
  <c r="BO64" i="8" a="1"/>
  <c r="BO76" i="8" a="1"/>
  <c r="BR78" i="15" a="1"/>
  <c r="BS101" i="15" a="1"/>
  <c r="BR60" i="15" a="1"/>
  <c r="BO68" i="8" a="1"/>
  <c r="BR82" i="15" a="1"/>
  <c r="BR51" i="15" a="1"/>
  <c r="BO60" i="8" a="1"/>
  <c r="BR56" i="15" a="1"/>
  <c r="BO85" i="8" a="1"/>
  <c r="BO56" i="8" a="1"/>
  <c r="BR80" i="15" a="1"/>
  <c r="BR48" i="15" a="1"/>
  <c r="BO55" i="8" a="1"/>
  <c r="BR65" i="15" a="1"/>
  <c r="BR76" i="15" a="1"/>
  <c r="BR59" i="15" a="1"/>
  <c r="BO53" i="8" a="1"/>
  <c r="BR77" i="15" a="1"/>
  <c r="BO77" i="8" a="1"/>
  <c r="BR68" i="15" a="1"/>
  <c r="BO65" i="8" a="1"/>
  <c r="BO86" i="8" a="1"/>
  <c r="BO71" i="8" a="1"/>
  <c r="BR95" i="15" a="1"/>
  <c r="BR52" i="15" a="1"/>
  <c r="BO78" i="8" a="1"/>
  <c r="BR88" i="15" a="1"/>
  <c r="BR98" i="15" a="1"/>
  <c r="BR89" i="15" a="1"/>
  <c r="BR79" i="15" a="1"/>
  <c r="BR100" i="15" a="1"/>
  <c r="BR57" i="15" a="1"/>
  <c r="BS100" i="15" a="1"/>
  <c r="BR85" i="15" a="1"/>
  <c r="BR58" i="15" a="1"/>
  <c r="BR97" i="15" a="1"/>
  <c r="BO82" i="8" a="1"/>
  <c r="BO72" i="8" a="1"/>
  <c r="BR70" i="15" a="1"/>
  <c r="BO74" i="8" a="1"/>
  <c r="BO61" i="8" a="1"/>
  <c r="BO52" i="8" a="1"/>
  <c r="BO101" i="8" a="1"/>
  <c r="BO80" i="8" a="1"/>
  <c r="BR45" i="15" a="1"/>
  <c r="BR46" i="15" a="1"/>
  <c r="BR55" i="15" a="1"/>
  <c r="BR92" i="15" a="1"/>
  <c r="BR72" i="15" a="1"/>
  <c r="BR54" i="15" a="1"/>
  <c r="BO100" i="8" a="1"/>
  <c r="BR75" i="15" a="1"/>
  <c r="BR94" i="15" a="1"/>
  <c r="BR83" i="15" a="1"/>
  <c r="BR90" i="15" a="1"/>
  <c r="BO84" i="8" a="1"/>
  <c r="BR86" i="15" a="1"/>
  <c r="BR47" i="15" a="1"/>
  <c r="BO102" i="8" a="1"/>
  <c r="BR91" i="15" a="1"/>
  <c r="BO59" i="8" a="1"/>
  <c r="BO58" i="8" a="1"/>
  <c r="BR61" i="15" a="1"/>
  <c r="BR73" i="15" a="1"/>
  <c r="BR67" i="15" a="1"/>
  <c r="BR50" i="15" a="1"/>
  <c r="BR53" i="15" a="1"/>
  <c r="BR93" i="15" a="1"/>
  <c r="BO70" i="8" a="1"/>
  <c r="BR69" i="15" a="1"/>
  <c r="BR81" i="15" a="1"/>
  <c r="BO66" i="8" a="1"/>
  <c r="BR96" i="15" a="1"/>
  <c r="BO73" i="8" a="1"/>
  <c r="BO54" i="8" a="1"/>
  <c r="BR63" i="15" a="1"/>
  <c r="BR64" i="15" a="1"/>
  <c r="BR39" i="15" a="1"/>
  <c r="BR87" i="15" a="1"/>
  <c r="BR71" i="15" a="1"/>
  <c r="BR102" i="15" a="1"/>
  <c r="BO103" i="8" a="1"/>
  <c r="BR44" i="15" a="1"/>
  <c r="BR62" i="15" a="1"/>
  <c r="BR49" i="15" a="1"/>
  <c r="BO104" i="8" a="1"/>
  <c r="BO79" i="8" a="1"/>
  <c r="BR43" i="15" a="1"/>
  <c r="BO83" i="8" a="1"/>
  <c r="BO62" i="8" a="1"/>
  <c r="BR74" i="15" a="1"/>
  <c r="BR100" i="15" l="1"/>
  <c r="BS101" i="15"/>
  <c r="BS100" i="15"/>
  <c r="BO56" i="8"/>
  <c r="BO54" i="8"/>
  <c r="BO52" i="8"/>
  <c r="BO55" i="8"/>
  <c r="BO53" i="8"/>
  <c r="BO79" i="8"/>
  <c r="BO76" i="8"/>
  <c r="BO80" i="8"/>
  <c r="BO77" i="8"/>
  <c r="BO78" i="8"/>
  <c r="BR46" i="15"/>
  <c r="BR109" i="15" s="1"/>
  <c r="BR43" i="15"/>
  <c r="BR106" i="15" s="1"/>
  <c r="BR50" i="15"/>
  <c r="BR113" i="15" s="1"/>
  <c r="BR44" i="15"/>
  <c r="BR107" i="15" s="1"/>
  <c r="BR57" i="15"/>
  <c r="BR120" i="15" s="1"/>
  <c r="BR55" i="15"/>
  <c r="BR118" i="15" s="1"/>
  <c r="BR48" i="15"/>
  <c r="BR111" i="15" s="1"/>
  <c r="BR60" i="15"/>
  <c r="BR123" i="15" s="1"/>
  <c r="BR66" i="15"/>
  <c r="BR129" i="15" s="1"/>
  <c r="BR58" i="15"/>
  <c r="BR121" i="15" s="1"/>
  <c r="BR69" i="15"/>
  <c r="BR132" i="15" s="1"/>
  <c r="BR71" i="15"/>
  <c r="BR134" i="15" s="1"/>
  <c r="BR79" i="15"/>
  <c r="BR142" i="15" s="1"/>
  <c r="BR82" i="15"/>
  <c r="BR145" i="15" s="1"/>
  <c r="BR92" i="15"/>
  <c r="BR155" i="15" s="1"/>
  <c r="BR88" i="15"/>
  <c r="BR151" i="15" s="1"/>
  <c r="BR95" i="15"/>
  <c r="BR158" i="15" s="1"/>
  <c r="BR51" i="15"/>
  <c r="BR114" i="15" s="1"/>
  <c r="BR56" i="15"/>
  <c r="BR119" i="15" s="1"/>
  <c r="BR49" i="15"/>
  <c r="BR112" i="15" s="1"/>
  <c r="BR64" i="15"/>
  <c r="BR127" i="15" s="1"/>
  <c r="BR68" i="15"/>
  <c r="BR131" i="15" s="1"/>
  <c r="BR62" i="15"/>
  <c r="BR125" i="15" s="1"/>
  <c r="BR73" i="15"/>
  <c r="BR136" i="15" s="1"/>
  <c r="BR75" i="15"/>
  <c r="BR138" i="15" s="1"/>
  <c r="BR80" i="15"/>
  <c r="BR143" i="15" s="1"/>
  <c r="BR85" i="15"/>
  <c r="BR148" i="15" s="1"/>
  <c r="BR86" i="15"/>
  <c r="BR149" i="15" s="1"/>
  <c r="BR93" i="15"/>
  <c r="BR156" i="15" s="1"/>
  <c r="BR96" i="15"/>
  <c r="BR159" i="15" s="1"/>
  <c r="BR59" i="15"/>
  <c r="BR122" i="15" s="1"/>
  <c r="BR70" i="15"/>
  <c r="BR133" i="15" s="1"/>
  <c r="BR63" i="15"/>
  <c r="BR126" i="15" s="1"/>
  <c r="BR76" i="15"/>
  <c r="BR139" i="15" s="1"/>
  <c r="BR77" i="15"/>
  <c r="BR140" i="15" s="1"/>
  <c r="BR81" i="15"/>
  <c r="BR144" i="15" s="1"/>
  <c r="BR83" i="15"/>
  <c r="BR146" i="15" s="1"/>
  <c r="BR87" i="15"/>
  <c r="BR150" i="15" s="1"/>
  <c r="BR89" i="15"/>
  <c r="BR152" i="15" s="1"/>
  <c r="BR98" i="15"/>
  <c r="BR161" i="15" s="1"/>
  <c r="BR53" i="15"/>
  <c r="BR116" i="15" s="1"/>
  <c r="BR61" i="15"/>
  <c r="BR124" i="15" s="1"/>
  <c r="BR45" i="15"/>
  <c r="BR108" i="15" s="1"/>
  <c r="BR54" i="15"/>
  <c r="BR117" i="15" s="1"/>
  <c r="BR47" i="15"/>
  <c r="BR110" i="15" s="1"/>
  <c r="BR52" i="15"/>
  <c r="BR115" i="15" s="1"/>
  <c r="BR65" i="15"/>
  <c r="BR128" i="15" s="1"/>
  <c r="BR72" i="15"/>
  <c r="BR135" i="15" s="1"/>
  <c r="BR67" i="15"/>
  <c r="BR130" i="15" s="1"/>
  <c r="BR74" i="15"/>
  <c r="BR137" i="15" s="1"/>
  <c r="BR78" i="15"/>
  <c r="BR141" i="15" s="1"/>
  <c r="BR84" i="15"/>
  <c r="BR147" i="15" s="1"/>
  <c r="BR90" i="15"/>
  <c r="BR153" i="15" s="1"/>
  <c r="BR91" i="15"/>
  <c r="BR154" i="15" s="1"/>
  <c r="BR94" i="15"/>
  <c r="BR157" i="15" s="1"/>
  <c r="BR97" i="15"/>
  <c r="BR160" i="15" s="1"/>
  <c r="BR102" i="15"/>
  <c r="BR162" i="15" s="1"/>
  <c r="BR39" i="15"/>
  <c r="BR105" i="15" s="1"/>
  <c r="BT38" i="15"/>
  <c r="BN92" i="8"/>
  <c r="BN98" i="8"/>
  <c r="BO104" i="8"/>
  <c r="BO86" i="8"/>
  <c r="BO74" i="8"/>
  <c r="BO68" i="8"/>
  <c r="BO62" i="8"/>
  <c r="BN89" i="8"/>
  <c r="BO61" i="8"/>
  <c r="BO59" i="8"/>
  <c r="BO60" i="8"/>
  <c r="BO67" i="8"/>
  <c r="BO65" i="8"/>
  <c r="BO66" i="8"/>
  <c r="BO71" i="8"/>
  <c r="BO72" i="8"/>
  <c r="BO73" i="8"/>
  <c r="BO85" i="8"/>
  <c r="BO83" i="8"/>
  <c r="BO84" i="8"/>
  <c r="BN90" i="8"/>
  <c r="BN91" i="8"/>
  <c r="BN95" i="8"/>
  <c r="BO102" i="8"/>
  <c r="BO58" i="8"/>
  <c r="BO64" i="8"/>
  <c r="BO82" i="8"/>
  <c r="BO70" i="8"/>
  <c r="BO103" i="8"/>
  <c r="BO101" i="8"/>
  <c r="BO100" i="8"/>
  <c r="BN97" i="8"/>
  <c r="BN88" i="8"/>
  <c r="BN94" i="8"/>
  <c r="BP50" i="8"/>
  <c r="BN96" i="8"/>
  <c r="BP66" i="8" a="1"/>
  <c r="BS53" i="15" a="1"/>
  <c r="BS83" i="15" a="1"/>
  <c r="BS55" i="15" a="1"/>
  <c r="BS92" i="15" a="1"/>
  <c r="BS102" i="15" a="1"/>
  <c r="BP104" i="8" a="1"/>
  <c r="BS70" i="15" a="1"/>
  <c r="BS61" i="15" a="1"/>
  <c r="BS67" i="15" a="1"/>
  <c r="BP70" i="8" a="1"/>
  <c r="BS77" i="15" a="1"/>
  <c r="BS75" i="15" a="1"/>
  <c r="BS64" i="15" a="1"/>
  <c r="BS50" i="15" a="1"/>
  <c r="BP82" i="8" a="1"/>
  <c r="BP85" i="8" a="1"/>
  <c r="BP100" i="8" a="1"/>
  <c r="BS71" i="15" a="1"/>
  <c r="BS63" i="15" a="1"/>
  <c r="BP54" i="8" a="1"/>
  <c r="BS82" i="15" a="1"/>
  <c r="BP77" i="8" a="1"/>
  <c r="BP58" i="8" a="1"/>
  <c r="BP52" i="8" a="1"/>
  <c r="BP102" i="8" a="1"/>
  <c r="BS88" i="15" a="1"/>
  <c r="BS43" i="15" a="1"/>
  <c r="BS62" i="15" a="1"/>
  <c r="BS87" i="15" a="1"/>
  <c r="BS97" i="15" a="1"/>
  <c r="BS47" i="15" a="1"/>
  <c r="BS99" i="15" a="1"/>
  <c r="BP62" i="8" a="1"/>
  <c r="BS90" i="15" a="1"/>
  <c r="BS44" i="15" a="1"/>
  <c r="BS39" i="15" a="1"/>
  <c r="BP67" i="8" a="1"/>
  <c r="BS81" i="15" a="1"/>
  <c r="BP65" i="8" a="1"/>
  <c r="BP61" i="8" a="1"/>
  <c r="BP78" i="8" a="1"/>
  <c r="BS54" i="15" a="1"/>
  <c r="BS93" i="15" a="1"/>
  <c r="BS98" i="15" a="1"/>
  <c r="BP60" i="8" a="1"/>
  <c r="BS66" i="15" a="1"/>
  <c r="BS78" i="15" a="1"/>
  <c r="BP86" i="8" a="1"/>
  <c r="BP74" i="8" a="1"/>
  <c r="BS58" i="15" a="1"/>
  <c r="BS74" i="15" a="1"/>
  <c r="BS72" i="15" a="1"/>
  <c r="BS59" i="15" a="1"/>
  <c r="BS94" i="15" a="1"/>
  <c r="BS57" i="15" a="1"/>
  <c r="BS56" i="15" a="1"/>
  <c r="BP71" i="8" a="1"/>
  <c r="BS48" i="15" a="1"/>
  <c r="BS76" i="15" a="1"/>
  <c r="BS84" i="15" a="1"/>
  <c r="BS95" i="15" a="1"/>
  <c r="BS46" i="15" a="1"/>
  <c r="BS51" i="15" a="1"/>
  <c r="BP73" i="8" a="1"/>
  <c r="BP103" i="8" a="1"/>
  <c r="BS79" i="15" a="1"/>
  <c r="BP68" i="8" a="1"/>
  <c r="BS69" i="15" a="1"/>
  <c r="BP79" i="8" a="1"/>
  <c r="BS96" i="15" a="1"/>
  <c r="BP55" i="8" a="1"/>
  <c r="BP56" i="8" a="1"/>
  <c r="BP101" i="8" a="1"/>
  <c r="BS89" i="15" a="1"/>
  <c r="BS45" i="15" a="1"/>
  <c r="BS73" i="15" a="1"/>
  <c r="BP83" i="8" a="1"/>
  <c r="BS85" i="15" a="1"/>
  <c r="BP53" i="8" a="1"/>
  <c r="BP84" i="8" a="1"/>
  <c r="BP59" i="8" a="1"/>
  <c r="BS91" i="15" a="1"/>
  <c r="BS49" i="15" a="1"/>
  <c r="BS60" i="15" a="1"/>
  <c r="BP64" i="8" a="1"/>
  <c r="BS86" i="15" a="1"/>
  <c r="BS68" i="15" a="1"/>
  <c r="BP72" i="8" a="1"/>
  <c r="BS80" i="15" a="1"/>
  <c r="BP80" i="8" a="1"/>
  <c r="BS65" i="15" a="1"/>
  <c r="BS52" i="15" a="1"/>
  <c r="BP76" i="8" a="1"/>
  <c r="BT101" i="15" a="1"/>
  <c r="BS99" i="15" l="1"/>
  <c r="BT101" i="15"/>
  <c r="BP54" i="8"/>
  <c r="BP53" i="8"/>
  <c r="BP52" i="8"/>
  <c r="BP55" i="8"/>
  <c r="BP56" i="8"/>
  <c r="BP79" i="8"/>
  <c r="BP78" i="8"/>
  <c r="BP77" i="8"/>
  <c r="BP76" i="8"/>
  <c r="BP80" i="8"/>
  <c r="BS43" i="15"/>
  <c r="BS106" i="15" s="1"/>
  <c r="BS48" i="15"/>
  <c r="BS111" i="15" s="1"/>
  <c r="BS47" i="15"/>
  <c r="BS110" i="15" s="1"/>
  <c r="BS53" i="15"/>
  <c r="BS116" i="15" s="1"/>
  <c r="BS58" i="15"/>
  <c r="BS121" i="15" s="1"/>
  <c r="BS64" i="15"/>
  <c r="BS127" i="15" s="1"/>
  <c r="BS67" i="15"/>
  <c r="BS130" i="15" s="1"/>
  <c r="BS71" i="15"/>
  <c r="BS134" i="15" s="1"/>
  <c r="BS78" i="15"/>
  <c r="BS141" i="15" s="1"/>
  <c r="BS82" i="15"/>
  <c r="BS145" i="15" s="1"/>
  <c r="BS81" i="15"/>
  <c r="BS144" i="15" s="1"/>
  <c r="BS89" i="15"/>
  <c r="BS152" i="15" s="1"/>
  <c r="BS91" i="15"/>
  <c r="BS154" i="15" s="1"/>
  <c r="BS98" i="15"/>
  <c r="BS161" i="15" s="1"/>
  <c r="BS44" i="15"/>
  <c r="BS107" i="15" s="1"/>
  <c r="BS50" i="15"/>
  <c r="BS113" i="15" s="1"/>
  <c r="BS49" i="15"/>
  <c r="BS112" i="15" s="1"/>
  <c r="BS54" i="15"/>
  <c r="BS117" i="15" s="1"/>
  <c r="BS62" i="15"/>
  <c r="BS125" i="15" s="1"/>
  <c r="BS61" i="15"/>
  <c r="BS124" i="15" s="1"/>
  <c r="BS68" i="15"/>
  <c r="BS131" i="15" s="1"/>
  <c r="BS72" i="15"/>
  <c r="BS135" i="15" s="1"/>
  <c r="BS74" i="15"/>
  <c r="BS137" i="15" s="1"/>
  <c r="BS83" i="15"/>
  <c r="BS146" i="15" s="1"/>
  <c r="BS84" i="15"/>
  <c r="BS147" i="15" s="1"/>
  <c r="BS90" i="15"/>
  <c r="BS153" i="15" s="1"/>
  <c r="BS87" i="15"/>
  <c r="BS150" i="15" s="1"/>
  <c r="BS95" i="15"/>
  <c r="BS158" i="15" s="1"/>
  <c r="BS102" i="15"/>
  <c r="BS162" i="15" s="1"/>
  <c r="BS46" i="15"/>
  <c r="BS109" i="15" s="1"/>
  <c r="BS57" i="15"/>
  <c r="BS120" i="15" s="1"/>
  <c r="BS51" i="15"/>
  <c r="BS114" i="15" s="1"/>
  <c r="BS55" i="15"/>
  <c r="BS118" i="15" s="1"/>
  <c r="BS63" i="15"/>
  <c r="BS126" i="15" s="1"/>
  <c r="BS65" i="15"/>
  <c r="BS128" i="15" s="1"/>
  <c r="BS69" i="15"/>
  <c r="BS132" i="15" s="1"/>
  <c r="BS73" i="15"/>
  <c r="BS136" i="15" s="1"/>
  <c r="BS75" i="15"/>
  <c r="BS138" i="15" s="1"/>
  <c r="BS79" i="15"/>
  <c r="BS142" i="15" s="1"/>
  <c r="BS86" i="15"/>
  <c r="BS149" i="15" s="1"/>
  <c r="BS92" i="15"/>
  <c r="BS155" i="15" s="1"/>
  <c r="BS88" i="15"/>
  <c r="BS151" i="15" s="1"/>
  <c r="BS96" i="15"/>
  <c r="BS159" i="15" s="1"/>
  <c r="BS45" i="15"/>
  <c r="BS108" i="15" s="1"/>
  <c r="BS59" i="15"/>
  <c r="BS122" i="15" s="1"/>
  <c r="BS52" i="15"/>
  <c r="BS115" i="15" s="1"/>
  <c r="BS56" i="15"/>
  <c r="BS119" i="15" s="1"/>
  <c r="BS60" i="15"/>
  <c r="BS123" i="15" s="1"/>
  <c r="BS66" i="15"/>
  <c r="BS129" i="15" s="1"/>
  <c r="BS70" i="15"/>
  <c r="BS133" i="15" s="1"/>
  <c r="BS76" i="15"/>
  <c r="BS139" i="15" s="1"/>
  <c r="BS77" i="15"/>
  <c r="BS140" i="15" s="1"/>
  <c r="BS80" i="15"/>
  <c r="BS143" i="15" s="1"/>
  <c r="BS85" i="15"/>
  <c r="BS148" i="15" s="1"/>
  <c r="BS94" i="15"/>
  <c r="BS157" i="15" s="1"/>
  <c r="BS93" i="15"/>
  <c r="BS156" i="15" s="1"/>
  <c r="BS97" i="15"/>
  <c r="BS160" i="15" s="1"/>
  <c r="BS39" i="15"/>
  <c r="BS105" i="15" s="1"/>
  <c r="BU38" i="15"/>
  <c r="BO98" i="8"/>
  <c r="BO92" i="8"/>
  <c r="BP104" i="8"/>
  <c r="BP86" i="8"/>
  <c r="BP74" i="8"/>
  <c r="BP68" i="8"/>
  <c r="BP62" i="8"/>
  <c r="BO89" i="8"/>
  <c r="BO90" i="8"/>
  <c r="BP59" i="8"/>
  <c r="BP60" i="8"/>
  <c r="BP61" i="8"/>
  <c r="BP65" i="8"/>
  <c r="BP67" i="8"/>
  <c r="BP66" i="8"/>
  <c r="BP73" i="8"/>
  <c r="BP71" i="8"/>
  <c r="BP72" i="8"/>
  <c r="BP83" i="8"/>
  <c r="BP84" i="8"/>
  <c r="BP85" i="8"/>
  <c r="BO91" i="8"/>
  <c r="BO96" i="8"/>
  <c r="BP102" i="8"/>
  <c r="BP58" i="8"/>
  <c r="BP64" i="8"/>
  <c r="BP82" i="8"/>
  <c r="BP70" i="8"/>
  <c r="BP103" i="8"/>
  <c r="BP101" i="8"/>
  <c r="BP100" i="8"/>
  <c r="BQ50" i="8"/>
  <c r="BO95" i="8"/>
  <c r="BO88" i="8"/>
  <c r="BO94" i="8"/>
  <c r="BO97" i="8"/>
  <c r="BQ71" i="8" a="1"/>
  <c r="BQ82" i="8" a="1"/>
  <c r="BT44" i="15" a="1"/>
  <c r="BQ80" i="8" a="1"/>
  <c r="BT80" i="15" a="1"/>
  <c r="BT67" i="15" a="1"/>
  <c r="BQ65" i="8" a="1"/>
  <c r="BT78" i="15" a="1"/>
  <c r="BQ77" i="8" a="1"/>
  <c r="BQ74" i="8" a="1"/>
  <c r="BT95" i="15" a="1"/>
  <c r="BT100" i="15" a="1"/>
  <c r="BQ103" i="8" a="1"/>
  <c r="BQ76" i="8" a="1"/>
  <c r="BT68" i="15" a="1"/>
  <c r="BQ58" i="8" a="1"/>
  <c r="BQ54" i="8" a="1"/>
  <c r="BQ83" i="8" a="1"/>
  <c r="BT58" i="15" a="1"/>
  <c r="BQ70" i="8" a="1"/>
  <c r="BT88" i="15" a="1"/>
  <c r="BT97" i="15" a="1"/>
  <c r="BU101" i="15" a="1"/>
  <c r="BQ104" i="8" a="1"/>
  <c r="BQ66" i="8" a="1"/>
  <c r="BQ59" i="8" a="1"/>
  <c r="BT45" i="15" a="1"/>
  <c r="BT46" i="15" a="1"/>
  <c r="BT53" i="15" a="1"/>
  <c r="BT72" i="15" a="1"/>
  <c r="BU100" i="15" a="1"/>
  <c r="BT64" i="15" a="1"/>
  <c r="BT48" i="15" a="1"/>
  <c r="BT73" i="15" a="1"/>
  <c r="BT92" i="15" a="1"/>
  <c r="BT83" i="15" a="1"/>
  <c r="BT60" i="15" a="1"/>
  <c r="BT39" i="15" a="1"/>
  <c r="BT102" i="15" a="1"/>
  <c r="BQ72" i="8" a="1"/>
  <c r="BT75" i="15" a="1"/>
  <c r="BT70" i="15" a="1"/>
  <c r="BT65" i="15" a="1"/>
  <c r="BT61" i="15" a="1"/>
  <c r="BT96" i="15" a="1"/>
  <c r="BT62" i="15" a="1"/>
  <c r="BT51" i="15" a="1"/>
  <c r="BT69" i="15" a="1"/>
  <c r="BT98" i="15" a="1"/>
  <c r="BQ102" i="8" a="1"/>
  <c r="BT79" i="15" a="1"/>
  <c r="BQ67" i="8" a="1"/>
  <c r="BT56" i="15" a="1"/>
  <c r="BQ61" i="8" a="1"/>
  <c r="BT50" i="15" a="1"/>
  <c r="BT82" i="15" a="1"/>
  <c r="BQ73" i="8" a="1"/>
  <c r="BT59" i="15" a="1"/>
  <c r="BQ78" i="8" a="1"/>
  <c r="BQ84" i="8" a="1"/>
  <c r="BQ86" i="8" a="1"/>
  <c r="BT66" i="15" a="1"/>
  <c r="BQ62" i="8" a="1"/>
  <c r="BT89" i="15" a="1"/>
  <c r="BQ52" i="8" a="1"/>
  <c r="BT85" i="15" a="1"/>
  <c r="BT47" i="15" a="1"/>
  <c r="BT99" i="15" a="1"/>
  <c r="BT63" i="15" a="1"/>
  <c r="BT71" i="15" a="1"/>
  <c r="BT84" i="15" a="1"/>
  <c r="BQ53" i="8" a="1"/>
  <c r="BQ68" i="8" a="1"/>
  <c r="BT76" i="15" a="1"/>
  <c r="BQ64" i="8" a="1"/>
  <c r="BT86" i="15" a="1"/>
  <c r="BT91" i="15" a="1"/>
  <c r="BT54" i="15" a="1"/>
  <c r="BT43" i="15" a="1"/>
  <c r="BT94" i="15" a="1"/>
  <c r="BT52" i="15" a="1"/>
  <c r="BQ60" i="8" a="1"/>
  <c r="BQ100" i="8" a="1"/>
  <c r="BQ56" i="8" a="1"/>
  <c r="BQ85" i="8" a="1"/>
  <c r="BT77" i="15" a="1"/>
  <c r="BQ55" i="8" a="1"/>
  <c r="BT74" i="15" a="1"/>
  <c r="BQ101" i="8" a="1"/>
  <c r="BT55" i="15" a="1"/>
  <c r="BT49" i="15" a="1"/>
  <c r="BQ79" i="8" a="1"/>
  <c r="BT93" i="15" a="1"/>
  <c r="BT87" i="15" a="1"/>
  <c r="BT81" i="15" a="1"/>
  <c r="BT90" i="15" a="1"/>
  <c r="BU99" i="15" a="1"/>
  <c r="BT57" i="15" a="1"/>
  <c r="BT100" i="15" l="1"/>
  <c r="BT99" i="15"/>
  <c r="BU101" i="15"/>
  <c r="BU100" i="15"/>
  <c r="BU99" i="15"/>
  <c r="BQ52" i="8"/>
  <c r="BQ55" i="8"/>
  <c r="BQ56" i="8"/>
  <c r="BQ54" i="8"/>
  <c r="BQ53" i="8"/>
  <c r="BQ79" i="8"/>
  <c r="BQ76" i="8"/>
  <c r="BQ80" i="8"/>
  <c r="BQ77" i="8"/>
  <c r="BQ78" i="8"/>
  <c r="BT43" i="15"/>
  <c r="BT106" i="15" s="1"/>
  <c r="BT47" i="15"/>
  <c r="BT110" i="15" s="1"/>
  <c r="BT52" i="15"/>
  <c r="BT115" i="15" s="1"/>
  <c r="BT56" i="15"/>
  <c r="BT119" i="15" s="1"/>
  <c r="BT57" i="15"/>
  <c r="BT120" i="15" s="1"/>
  <c r="BT62" i="15"/>
  <c r="BT125" i="15" s="1"/>
  <c r="BT63" i="15"/>
  <c r="BT126" i="15" s="1"/>
  <c r="BT70" i="15"/>
  <c r="BT133" i="15" s="1"/>
  <c r="BT71" i="15"/>
  <c r="BT134" i="15" s="1"/>
  <c r="BT79" i="15"/>
  <c r="BT142" i="15" s="1"/>
  <c r="BT83" i="15"/>
  <c r="BT146" i="15" s="1"/>
  <c r="BT85" i="15"/>
  <c r="BT148" i="15" s="1"/>
  <c r="BT89" i="15"/>
  <c r="BT152" i="15" s="1"/>
  <c r="BT95" i="15"/>
  <c r="BT158" i="15" s="1"/>
  <c r="BT45" i="15"/>
  <c r="BT108" i="15" s="1"/>
  <c r="BT48" i="15"/>
  <c r="BT111" i="15" s="1"/>
  <c r="BT53" i="15"/>
  <c r="BT116" i="15" s="1"/>
  <c r="BT51" i="15"/>
  <c r="BT114" i="15" s="1"/>
  <c r="BT61" i="15"/>
  <c r="BT124" i="15" s="1"/>
  <c r="BT67" i="15"/>
  <c r="BT130" i="15" s="1"/>
  <c r="BT64" i="15"/>
  <c r="BT127" i="15" s="1"/>
  <c r="BT74" i="15"/>
  <c r="BT137" i="15" s="1"/>
  <c r="BT72" i="15"/>
  <c r="BT135" i="15" s="1"/>
  <c r="BT80" i="15"/>
  <c r="BT143" i="15" s="1"/>
  <c r="BT84" i="15"/>
  <c r="BT147" i="15" s="1"/>
  <c r="BT86" i="15"/>
  <c r="BT149" i="15" s="1"/>
  <c r="BT92" i="15"/>
  <c r="BT155" i="15" s="1"/>
  <c r="BT96" i="15"/>
  <c r="BT159" i="15" s="1"/>
  <c r="BT44" i="15"/>
  <c r="BT107" i="15" s="1"/>
  <c r="BT49" i="15"/>
  <c r="BT112" i="15" s="1"/>
  <c r="BT54" i="15"/>
  <c r="BT117" i="15" s="1"/>
  <c r="BT58" i="15"/>
  <c r="BT121" i="15" s="1"/>
  <c r="BT65" i="15"/>
  <c r="BT128" i="15" s="1"/>
  <c r="BT69" i="15"/>
  <c r="BT132" i="15" s="1"/>
  <c r="BT66" i="15"/>
  <c r="BT129" i="15" s="1"/>
  <c r="BT75" i="15"/>
  <c r="BT138" i="15" s="1"/>
  <c r="BT76" i="15"/>
  <c r="BT139" i="15" s="1"/>
  <c r="BT81" i="15"/>
  <c r="BT144" i="15" s="1"/>
  <c r="BT91" i="15"/>
  <c r="BT154" i="15" s="1"/>
  <c r="BT87" i="15"/>
  <c r="BT150" i="15" s="1"/>
  <c r="BT90" i="15"/>
  <c r="BT153" i="15" s="1"/>
  <c r="BT97" i="15"/>
  <c r="BT160" i="15" s="1"/>
  <c r="BT46" i="15"/>
  <c r="BT109" i="15" s="1"/>
  <c r="BT50" i="15"/>
  <c r="BT113" i="15" s="1"/>
  <c r="BT55" i="15"/>
  <c r="BT118" i="15" s="1"/>
  <c r="BT60" i="15"/>
  <c r="BT123" i="15" s="1"/>
  <c r="BT73" i="15"/>
  <c r="BT136" i="15" s="1"/>
  <c r="BT59" i="15"/>
  <c r="BT122" i="15" s="1"/>
  <c r="BT68" i="15"/>
  <c r="BT131" i="15" s="1"/>
  <c r="BT77" i="15"/>
  <c r="BT140" i="15" s="1"/>
  <c r="BT78" i="15"/>
  <c r="BT141" i="15" s="1"/>
  <c r="BT82" i="15"/>
  <c r="BT145" i="15" s="1"/>
  <c r="BT93" i="15"/>
  <c r="BT156" i="15" s="1"/>
  <c r="BT88" i="15"/>
  <c r="BT151" i="15" s="1"/>
  <c r="BT94" i="15"/>
  <c r="BT157" i="15" s="1"/>
  <c r="BT98" i="15"/>
  <c r="BT161" i="15" s="1"/>
  <c r="BT102" i="15"/>
  <c r="BT162" i="15" s="1"/>
  <c r="BT39" i="15"/>
  <c r="BT105" i="15" s="1"/>
  <c r="BV38" i="15"/>
  <c r="BP98" i="8"/>
  <c r="BP92" i="8"/>
  <c r="BQ104" i="8"/>
  <c r="BQ86" i="8"/>
  <c r="BQ74" i="8"/>
  <c r="BQ68" i="8"/>
  <c r="BQ62" i="8"/>
  <c r="BP91" i="8"/>
  <c r="BP90" i="8"/>
  <c r="BQ59" i="8"/>
  <c r="BQ61" i="8"/>
  <c r="BQ60" i="8"/>
  <c r="BQ65" i="8"/>
  <c r="BQ67" i="8"/>
  <c r="BQ66" i="8"/>
  <c r="BQ72" i="8"/>
  <c r="BQ71" i="8"/>
  <c r="BQ73" i="8"/>
  <c r="BQ84" i="8"/>
  <c r="BQ85" i="8"/>
  <c r="BQ83" i="8"/>
  <c r="BP89" i="8"/>
  <c r="BP95" i="8"/>
  <c r="BP97" i="8"/>
  <c r="BQ102" i="8"/>
  <c r="BQ58" i="8"/>
  <c r="BQ64" i="8"/>
  <c r="BQ82" i="8"/>
  <c r="BQ70" i="8"/>
  <c r="BQ103" i="8"/>
  <c r="BQ101" i="8"/>
  <c r="BQ100" i="8"/>
  <c r="BP88" i="8"/>
  <c r="BP94" i="8"/>
  <c r="BR50" i="8"/>
  <c r="BP96" i="8"/>
  <c r="BU65" i="15" a="1"/>
  <c r="BR60" i="8" a="1"/>
  <c r="BR55" i="8" a="1"/>
  <c r="BU62" i="15" a="1"/>
  <c r="BU77" i="15" a="1"/>
  <c r="BR83" i="8" a="1"/>
  <c r="BR52" i="8" a="1"/>
  <c r="BU83" i="15" a="1"/>
  <c r="BU69" i="15" a="1"/>
  <c r="BU102" i="15" a="1"/>
  <c r="BR78" i="8" a="1"/>
  <c r="BU94" i="15" a="1"/>
  <c r="BR102" i="8" a="1"/>
  <c r="BR66" i="8" a="1"/>
  <c r="BU63" i="15" a="1"/>
  <c r="BR65" i="8" a="1"/>
  <c r="BR86" i="8" a="1"/>
  <c r="BU50" i="15" a="1"/>
  <c r="BR70" i="8" a="1"/>
  <c r="BU59" i="15" a="1"/>
  <c r="BU47" i="15" a="1"/>
  <c r="BR54" i="8" a="1"/>
  <c r="BR79" i="8" a="1"/>
  <c r="BU85" i="15" a="1"/>
  <c r="BU43" i="15" a="1"/>
  <c r="BU73" i="15" a="1"/>
  <c r="BU87" i="15" a="1"/>
  <c r="BR84" i="8" a="1"/>
  <c r="BR104" i="8" a="1"/>
  <c r="BU89" i="15" a="1"/>
  <c r="BR53" i="8" a="1"/>
  <c r="BU86" i="15" a="1"/>
  <c r="BR62" i="8" a="1"/>
  <c r="BU98" i="15" a="1"/>
  <c r="BU84" i="15" a="1"/>
  <c r="BU67" i="15" a="1"/>
  <c r="BU49" i="15" a="1"/>
  <c r="BU45" i="15" a="1"/>
  <c r="BU66" i="15" a="1"/>
  <c r="BU64" i="15" a="1"/>
  <c r="BU74" i="15" a="1"/>
  <c r="BU52" i="15" a="1"/>
  <c r="BU46" i="15" a="1"/>
  <c r="BU57" i="15" a="1"/>
  <c r="BR59" i="8" a="1"/>
  <c r="BU88" i="15" a="1"/>
  <c r="BR80" i="8" a="1"/>
  <c r="BR76" i="8" a="1"/>
  <c r="BR85" i="8" a="1"/>
  <c r="BU81" i="15" a="1"/>
  <c r="BR72" i="8" a="1"/>
  <c r="BU54" i="15" a="1"/>
  <c r="BU80" i="15" a="1"/>
  <c r="BR77" i="8" a="1"/>
  <c r="BU78" i="15" a="1"/>
  <c r="BU71" i="15" a="1"/>
  <c r="BR73" i="8" a="1"/>
  <c r="BR68" i="8" a="1"/>
  <c r="BU39" i="15" a="1"/>
  <c r="BU97" i="15" a="1"/>
  <c r="BR101" i="8" a="1"/>
  <c r="BR67" i="8" a="1"/>
  <c r="BU53" i="15" a="1"/>
  <c r="BU79" i="15" a="1"/>
  <c r="BU58" i="15" a="1"/>
  <c r="BV101" i="15" a="1"/>
  <c r="BU76" i="15" a="1"/>
  <c r="BR61" i="8" a="1"/>
  <c r="BU61" i="15" a="1"/>
  <c r="BU92" i="15" a="1"/>
  <c r="BU82" i="15" a="1"/>
  <c r="BU48" i="15" a="1"/>
  <c r="BU60" i="15" a="1"/>
  <c r="BU68" i="15" a="1"/>
  <c r="BR74" i="8" a="1"/>
  <c r="BU51" i="15" a="1"/>
  <c r="BU56" i="15" a="1"/>
  <c r="BR100" i="8" a="1"/>
  <c r="BU96" i="15" a="1"/>
  <c r="BU44" i="15" a="1"/>
  <c r="BU75" i="15" a="1"/>
  <c r="BR64" i="8" a="1"/>
  <c r="BR56" i="8" a="1"/>
  <c r="BU70" i="15" a="1"/>
  <c r="BU95" i="15" a="1"/>
  <c r="BU91" i="15" a="1"/>
  <c r="BU90" i="15" a="1"/>
  <c r="BR71" i="8" a="1"/>
  <c r="BU55" i="15" a="1"/>
  <c r="BR58" i="8" a="1"/>
  <c r="BR103" i="8" a="1"/>
  <c r="BR82" i="8" a="1"/>
  <c r="BU93" i="15" a="1"/>
  <c r="BU72" i="15" a="1"/>
  <c r="BV101" i="15" l="1"/>
  <c r="BR54" i="8"/>
  <c r="BR52" i="8"/>
  <c r="BR56" i="8"/>
  <c r="BR53" i="8"/>
  <c r="BR55" i="8"/>
  <c r="BR78" i="8"/>
  <c r="BR80" i="8"/>
  <c r="BR77" i="8"/>
  <c r="BR79" i="8"/>
  <c r="BR76" i="8"/>
  <c r="BU44" i="15"/>
  <c r="BU107" i="15" s="1"/>
  <c r="BU43" i="15"/>
  <c r="BU106" i="15" s="1"/>
  <c r="BU47" i="15"/>
  <c r="BU110" i="15" s="1"/>
  <c r="BU60" i="15"/>
  <c r="BU123" i="15" s="1"/>
  <c r="BU54" i="15"/>
  <c r="BU117" i="15" s="1"/>
  <c r="BU59" i="15"/>
  <c r="BU122" i="15" s="1"/>
  <c r="BU61" i="15"/>
  <c r="BU124" i="15" s="1"/>
  <c r="BU66" i="15"/>
  <c r="BU129" i="15" s="1"/>
  <c r="BU70" i="15"/>
  <c r="BU133" i="15" s="1"/>
  <c r="BU75" i="15"/>
  <c r="BU138" i="15" s="1"/>
  <c r="BU83" i="15"/>
  <c r="BU146" i="15" s="1"/>
  <c r="BU80" i="15"/>
  <c r="BU143" i="15" s="1"/>
  <c r="BU90" i="15"/>
  <c r="BU153" i="15" s="1"/>
  <c r="BU94" i="15"/>
  <c r="BU157" i="15" s="1"/>
  <c r="BU97" i="15"/>
  <c r="BU160" i="15" s="1"/>
  <c r="BU102" i="15"/>
  <c r="BU162" i="15" s="1"/>
  <c r="BU45" i="15"/>
  <c r="BU108" i="15" s="1"/>
  <c r="BU49" i="15"/>
  <c r="BU112" i="15" s="1"/>
  <c r="BU48" i="15"/>
  <c r="BU111" i="15" s="1"/>
  <c r="BU55" i="15"/>
  <c r="BU118" i="15" s="1"/>
  <c r="BU63" i="15"/>
  <c r="BU126" i="15" s="1"/>
  <c r="BU65" i="15"/>
  <c r="BU128" i="15" s="1"/>
  <c r="BU67" i="15"/>
  <c r="BU130" i="15" s="1"/>
  <c r="BU71" i="15"/>
  <c r="BU134" i="15" s="1"/>
  <c r="BU77" i="15"/>
  <c r="BU140" i="15" s="1"/>
  <c r="BU85" i="15"/>
  <c r="BU148" i="15" s="1"/>
  <c r="BU81" i="15"/>
  <c r="BU144" i="15" s="1"/>
  <c r="BU91" i="15"/>
  <c r="BU154" i="15" s="1"/>
  <c r="BU87" i="15"/>
  <c r="BU150" i="15" s="1"/>
  <c r="BU95" i="15"/>
  <c r="BU158" i="15" s="1"/>
  <c r="BU51" i="15"/>
  <c r="BU114" i="15" s="1"/>
  <c r="BU56" i="15"/>
  <c r="BU119" i="15" s="1"/>
  <c r="BU64" i="15"/>
  <c r="BU127" i="15" s="1"/>
  <c r="BU72" i="15"/>
  <c r="BU135" i="15" s="1"/>
  <c r="BU68" i="15"/>
  <c r="BU131" i="15" s="1"/>
  <c r="BU73" i="15"/>
  <c r="BU136" i="15" s="1"/>
  <c r="BU78" i="15"/>
  <c r="BU141" i="15" s="1"/>
  <c r="BU84" i="15"/>
  <c r="BU147" i="15" s="1"/>
  <c r="BU82" i="15"/>
  <c r="BU145" i="15" s="1"/>
  <c r="BU93" i="15"/>
  <c r="BU156" i="15" s="1"/>
  <c r="BU89" i="15"/>
  <c r="BU152" i="15" s="1"/>
  <c r="BU96" i="15"/>
  <c r="BU159" i="15" s="1"/>
  <c r="BU50" i="15"/>
  <c r="BU113" i="15" s="1"/>
  <c r="BU46" i="15"/>
  <c r="BU109" i="15" s="1"/>
  <c r="BU52" i="15"/>
  <c r="BU115" i="15" s="1"/>
  <c r="BU53" i="15"/>
  <c r="BU116" i="15" s="1"/>
  <c r="BU58" i="15"/>
  <c r="BU121" i="15" s="1"/>
  <c r="BU57" i="15"/>
  <c r="BU120" i="15" s="1"/>
  <c r="BU62" i="15"/>
  <c r="BU125" i="15" s="1"/>
  <c r="BU69" i="15"/>
  <c r="BU132" i="15" s="1"/>
  <c r="BU74" i="15"/>
  <c r="BU137" i="15" s="1"/>
  <c r="BU76" i="15"/>
  <c r="BU139" i="15" s="1"/>
  <c r="BU79" i="15"/>
  <c r="BU142" i="15" s="1"/>
  <c r="BU86" i="15"/>
  <c r="BU149" i="15" s="1"/>
  <c r="BU88" i="15"/>
  <c r="BU151" i="15" s="1"/>
  <c r="BU92" i="15"/>
  <c r="BU155" i="15" s="1"/>
  <c r="BU98" i="15"/>
  <c r="BU161" i="15" s="1"/>
  <c r="BU39" i="15"/>
  <c r="BU105" i="15" s="1"/>
  <c r="BQ92" i="8"/>
  <c r="BQ98" i="8"/>
  <c r="BR104" i="8"/>
  <c r="BR86" i="8"/>
  <c r="BR74" i="8"/>
  <c r="BR68" i="8"/>
  <c r="BR62" i="8"/>
  <c r="BQ89" i="8"/>
  <c r="BQ91" i="8"/>
  <c r="BR60" i="8"/>
  <c r="BR61" i="8"/>
  <c r="BR59" i="8"/>
  <c r="BR65" i="8"/>
  <c r="BR66" i="8"/>
  <c r="BR67" i="8"/>
  <c r="BR73" i="8"/>
  <c r="BR71" i="8"/>
  <c r="BR72" i="8"/>
  <c r="BR83" i="8"/>
  <c r="BR85" i="8"/>
  <c r="BR84" i="8"/>
  <c r="BQ90" i="8"/>
  <c r="BQ97" i="8"/>
  <c r="BQ96" i="8"/>
  <c r="BR102" i="8"/>
  <c r="BR58" i="8"/>
  <c r="BR64" i="8"/>
  <c r="BR82" i="8"/>
  <c r="BR70" i="8"/>
  <c r="BR103" i="8"/>
  <c r="BR101" i="8"/>
  <c r="BR100" i="8"/>
  <c r="BQ88" i="8"/>
  <c r="BQ94" i="8"/>
  <c r="BS50" i="8"/>
  <c r="BQ95" i="8"/>
  <c r="BV75" i="15" a="1"/>
  <c r="BV62" i="15" a="1"/>
  <c r="BS62" i="8" a="1"/>
  <c r="BS77" i="8" a="1"/>
  <c r="BV55" i="15" a="1"/>
  <c r="BS52" i="8" a="1"/>
  <c r="BV100" i="15" a="1"/>
  <c r="BS67" i="8" a="1"/>
  <c r="BV60" i="15" a="1"/>
  <c r="BS71" i="8" a="1"/>
  <c r="BV44" i="15" a="1"/>
  <c r="BV69" i="15" a="1"/>
  <c r="BV57" i="15" a="1"/>
  <c r="BV47" i="15" a="1"/>
  <c r="BV92" i="15" a="1"/>
  <c r="BS72" i="8" a="1"/>
  <c r="BV71" i="15" a="1"/>
  <c r="BV74" i="15" a="1"/>
  <c r="BS66" i="8" a="1"/>
  <c r="BS54" i="8" a="1"/>
  <c r="BS59" i="8" a="1"/>
  <c r="BS102" i="8" a="1"/>
  <c r="BS84" i="8" a="1"/>
  <c r="BV84" i="15" a="1"/>
  <c r="BS78" i="8" a="1"/>
  <c r="BS85" i="8" a="1"/>
  <c r="BS101" i="8" a="1"/>
  <c r="BV54" i="15" a="1"/>
  <c r="BV91" i="15" a="1"/>
  <c r="BS64" i="8" a="1"/>
  <c r="BV61" i="15" a="1"/>
  <c r="BV45" i="15" a="1"/>
  <c r="BV86" i="15" a="1"/>
  <c r="BV83" i="15" a="1"/>
  <c r="BV87" i="15" a="1"/>
  <c r="BV95" i="15" a="1"/>
  <c r="BV67" i="15" a="1"/>
  <c r="BV85" i="15" a="1"/>
  <c r="BS70" i="8" a="1"/>
  <c r="BS86" i="8" a="1"/>
  <c r="BS100" i="8" a="1"/>
  <c r="BS76" i="8" a="1"/>
  <c r="BV65" i="15" a="1"/>
  <c r="BV43" i="15" a="1"/>
  <c r="BS61" i="8" a="1"/>
  <c r="BV77" i="15" a="1"/>
  <c r="BS80" i="8" a="1"/>
  <c r="BV98" i="15" a="1"/>
  <c r="BV53" i="15" a="1"/>
  <c r="BV49" i="15" a="1"/>
  <c r="BS65" i="8" a="1"/>
  <c r="BS56" i="8" a="1"/>
  <c r="BV73" i="15" a="1"/>
  <c r="BV66" i="15" a="1"/>
  <c r="BS73" i="8" a="1"/>
  <c r="BV51" i="15" a="1"/>
  <c r="BV99" i="15" a="1"/>
  <c r="BS60" i="8" a="1"/>
  <c r="BV59" i="15" a="1"/>
  <c r="BS82" i="8" a="1"/>
  <c r="BS55" i="8" a="1"/>
  <c r="BS74" i="8" a="1"/>
  <c r="BS104" i="8" a="1"/>
  <c r="BV88" i="15" a="1"/>
  <c r="BV63" i="15" a="1"/>
  <c r="BV102" i="15" a="1"/>
  <c r="BV80" i="15" a="1"/>
  <c r="BV93" i="15" a="1"/>
  <c r="BS103" i="8" a="1"/>
  <c r="BV79" i="15" a="1"/>
  <c r="BV48" i="15" a="1"/>
  <c r="BS79" i="8" a="1"/>
  <c r="BV56" i="15" a="1"/>
  <c r="BV81" i="15" a="1"/>
  <c r="BV64" i="15" a="1"/>
  <c r="BV39" i="15" a="1"/>
  <c r="BV58" i="15" a="1"/>
  <c r="BV78" i="15" a="1"/>
  <c r="BS68" i="8" a="1"/>
  <c r="BV76" i="15" a="1"/>
  <c r="BV70" i="15" a="1"/>
  <c r="BV97" i="15" a="1"/>
  <c r="BV72" i="15" a="1"/>
  <c r="BV94" i="15" a="1"/>
  <c r="BS53" i="8" a="1"/>
  <c r="BV68" i="15" a="1"/>
  <c r="BS58" i="8" a="1"/>
  <c r="BV52" i="15" a="1"/>
  <c r="BV50" i="15" a="1"/>
  <c r="BV96" i="15" a="1"/>
  <c r="BV90" i="15" a="1"/>
  <c r="BV82" i="15" a="1"/>
  <c r="BS83" i="8" a="1"/>
  <c r="BV46" i="15" a="1"/>
  <c r="BV89" i="15" a="1"/>
  <c r="BV39" i="15" l="1"/>
  <c r="BV105" i="15" s="1"/>
  <c r="BV99" i="15"/>
  <c r="BV100" i="15"/>
  <c r="BS54" i="8"/>
  <c r="BS53" i="8"/>
  <c r="BS52" i="8"/>
  <c r="BS55" i="8"/>
  <c r="BS56" i="8"/>
  <c r="BS80" i="8"/>
  <c r="BS77" i="8"/>
  <c r="BS78" i="8"/>
  <c r="BS76" i="8"/>
  <c r="BS79" i="8"/>
  <c r="BV53" i="15"/>
  <c r="BV116" i="15" s="1"/>
  <c r="BV52" i="15"/>
  <c r="BV115" i="15" s="1"/>
  <c r="BV67" i="15"/>
  <c r="BV130" i="15" s="1"/>
  <c r="BV81" i="15"/>
  <c r="BV144" i="15" s="1"/>
  <c r="BV87" i="15"/>
  <c r="BV150" i="15" s="1"/>
  <c r="BV45" i="15"/>
  <c r="BV108" i="15" s="1"/>
  <c r="BV57" i="15"/>
  <c r="BV120" i="15" s="1"/>
  <c r="BV64" i="15"/>
  <c r="BV127" i="15" s="1"/>
  <c r="BV82" i="15"/>
  <c r="BV145" i="15" s="1"/>
  <c r="BV44" i="15"/>
  <c r="BV107" i="15" s="1"/>
  <c r="BV59" i="15"/>
  <c r="BV122" i="15" s="1"/>
  <c r="BV55" i="15"/>
  <c r="BV118" i="15" s="1"/>
  <c r="BV49" i="15"/>
  <c r="BV112" i="15" s="1"/>
  <c r="BV58" i="15"/>
  <c r="BV121" i="15" s="1"/>
  <c r="BV68" i="15"/>
  <c r="BV131" i="15" s="1"/>
  <c r="BV61" i="15"/>
  <c r="BV124" i="15" s="1"/>
  <c r="BV74" i="15"/>
  <c r="BV137" i="15" s="1"/>
  <c r="BV73" i="15"/>
  <c r="BV136" i="15" s="1"/>
  <c r="BV79" i="15"/>
  <c r="BV142" i="15" s="1"/>
  <c r="BV83" i="15"/>
  <c r="BV146" i="15" s="1"/>
  <c r="BV85" i="15"/>
  <c r="BV148" i="15" s="1"/>
  <c r="BV90" i="15"/>
  <c r="BV153" i="15" s="1"/>
  <c r="BV95" i="15"/>
  <c r="BV158" i="15" s="1"/>
  <c r="BV43" i="15"/>
  <c r="BV106" i="15" s="1"/>
  <c r="BV63" i="15"/>
  <c r="BV126" i="15" s="1"/>
  <c r="BV72" i="15"/>
  <c r="BV135" i="15" s="1"/>
  <c r="BV88" i="15"/>
  <c r="BV151" i="15" s="1"/>
  <c r="BV91" i="15"/>
  <c r="BV154" i="15" s="1"/>
  <c r="BV54" i="15"/>
  <c r="BV117" i="15" s="1"/>
  <c r="BV66" i="15"/>
  <c r="BV129" i="15" s="1"/>
  <c r="BV69" i="15"/>
  <c r="BV132" i="15" s="1"/>
  <c r="BV78" i="15"/>
  <c r="BV141" i="15" s="1"/>
  <c r="BV46" i="15"/>
  <c r="BV109" i="15" s="1"/>
  <c r="BV51" i="15"/>
  <c r="BV114" i="15" s="1"/>
  <c r="BV56" i="15"/>
  <c r="BV119" i="15" s="1"/>
  <c r="BV50" i="15"/>
  <c r="BV113" i="15" s="1"/>
  <c r="BV62" i="15"/>
  <c r="BV125" i="15" s="1"/>
  <c r="BV70" i="15"/>
  <c r="BV133" i="15" s="1"/>
  <c r="BV65" i="15"/>
  <c r="BV128" i="15" s="1"/>
  <c r="BV76" i="15"/>
  <c r="BV139" i="15" s="1"/>
  <c r="BV75" i="15"/>
  <c r="BV138" i="15" s="1"/>
  <c r="BV80" i="15"/>
  <c r="BV143" i="15" s="1"/>
  <c r="BV84" i="15"/>
  <c r="BV147" i="15" s="1"/>
  <c r="BV86" i="15"/>
  <c r="BV149" i="15" s="1"/>
  <c r="BV93" i="15"/>
  <c r="BV156" i="15" s="1"/>
  <c r="BV96" i="15"/>
  <c r="BV159" i="15" s="1"/>
  <c r="BV47" i="15"/>
  <c r="BV110" i="15" s="1"/>
  <c r="BV60" i="15"/>
  <c r="BV123" i="15" s="1"/>
  <c r="BV77" i="15"/>
  <c r="BV140" i="15" s="1"/>
  <c r="BV98" i="15"/>
  <c r="BV161" i="15" s="1"/>
  <c r="BV48" i="15"/>
  <c r="BV111" i="15" s="1"/>
  <c r="BV71" i="15"/>
  <c r="BV134" i="15" s="1"/>
  <c r="BV92" i="15"/>
  <c r="BV155" i="15" s="1"/>
  <c r="BV89" i="15"/>
  <c r="BV152" i="15" s="1"/>
  <c r="BV94" i="15"/>
  <c r="BV157" i="15" s="1"/>
  <c r="BV97" i="15"/>
  <c r="BV160" i="15" s="1"/>
  <c r="BV102" i="15"/>
  <c r="BV162" i="15" s="1"/>
  <c r="BR98" i="8"/>
  <c r="BS104" i="8"/>
  <c r="BS86" i="8"/>
  <c r="BS74" i="8"/>
  <c r="BS68" i="8"/>
  <c r="BS62" i="8"/>
  <c r="BR92" i="8"/>
  <c r="BR90" i="8"/>
  <c r="BR89" i="8"/>
  <c r="BS61" i="8"/>
  <c r="BS60" i="8"/>
  <c r="BS59" i="8"/>
  <c r="BS66" i="8"/>
  <c r="BS65" i="8"/>
  <c r="BS67" i="8"/>
  <c r="BS71" i="8"/>
  <c r="BS72" i="8"/>
  <c r="BS73" i="8"/>
  <c r="BS83" i="8"/>
  <c r="BS85" i="8"/>
  <c r="BS84" i="8"/>
  <c r="BR91" i="8"/>
  <c r="BR97" i="8"/>
  <c r="BS102" i="8"/>
  <c r="BS58" i="8"/>
  <c r="BS64" i="8"/>
  <c r="BS82" i="8"/>
  <c r="BS70" i="8"/>
  <c r="BS103" i="8"/>
  <c r="BS101" i="8"/>
  <c r="BS100" i="8"/>
  <c r="BR96" i="8"/>
  <c r="BR94" i="8"/>
  <c r="BR88" i="8"/>
  <c r="BT50" i="8"/>
  <c r="BR95" i="8"/>
  <c r="BT71" i="8" a="1"/>
  <c r="BT74" i="8" a="1"/>
  <c r="BT55" i="8" a="1"/>
  <c r="BT103" i="8" a="1"/>
  <c r="BT53" i="8" a="1"/>
  <c r="BT64" i="8" a="1"/>
  <c r="BT70" i="8" a="1"/>
  <c r="BT65" i="8" a="1"/>
  <c r="BT101" i="8" a="1"/>
  <c r="BT59" i="8" a="1"/>
  <c r="BT102" i="8" a="1"/>
  <c r="BT78" i="8" a="1"/>
  <c r="BT56" i="8" a="1"/>
  <c r="BT54" i="8" a="1"/>
  <c r="BT84" i="8" a="1"/>
  <c r="BT76" i="8" a="1"/>
  <c r="BT79" i="8" a="1"/>
  <c r="BT82" i="8" a="1"/>
  <c r="BT58" i="8" a="1"/>
  <c r="BT52" i="8" a="1"/>
  <c r="BT80" i="8" a="1"/>
  <c r="BT100" i="8" a="1"/>
  <c r="BT72" i="8" a="1"/>
  <c r="BT86" i="8" a="1"/>
  <c r="BT67" i="8" a="1"/>
  <c r="BT60" i="8" a="1"/>
  <c r="BT61" i="8" a="1"/>
  <c r="BT85" i="8" a="1"/>
  <c r="BT62" i="8" a="1"/>
  <c r="BT73" i="8" a="1"/>
  <c r="BT66" i="8" a="1"/>
  <c r="BT104" i="8" a="1"/>
  <c r="BT83" i="8" a="1"/>
  <c r="BT68" i="8" a="1"/>
  <c r="BT77" i="8" a="1"/>
  <c r="BT55" i="8" l="1"/>
  <c r="BT56" i="8"/>
  <c r="BT54" i="8"/>
  <c r="BT52" i="8"/>
  <c r="BT53" i="8"/>
  <c r="BT77" i="8"/>
  <c r="BT76" i="8"/>
  <c r="BT80" i="8"/>
  <c r="BT79" i="8"/>
  <c r="BT78" i="8"/>
  <c r="BS98" i="8"/>
  <c r="BT104" i="8"/>
  <c r="BT86" i="8"/>
  <c r="BT74" i="8"/>
  <c r="BT68" i="8"/>
  <c r="BT62" i="8"/>
  <c r="BS92" i="8"/>
  <c r="BS89" i="8"/>
  <c r="BT61" i="8"/>
  <c r="BT60" i="8"/>
  <c r="BT59" i="8"/>
  <c r="BT65" i="8"/>
  <c r="BT66" i="8"/>
  <c r="BT67" i="8"/>
  <c r="BT71" i="8"/>
  <c r="BT72" i="8"/>
  <c r="BT73" i="8"/>
  <c r="BT84" i="8"/>
  <c r="BT83" i="8"/>
  <c r="BT85" i="8"/>
  <c r="BS90" i="8"/>
  <c r="BS91" i="8"/>
  <c r="BS97" i="8"/>
  <c r="BS96" i="8"/>
  <c r="BT102" i="8"/>
  <c r="BT58" i="8"/>
  <c r="BT64" i="8"/>
  <c r="BT82" i="8"/>
  <c r="BT70" i="8"/>
  <c r="BT103" i="8"/>
  <c r="BT101" i="8"/>
  <c r="BT100" i="8"/>
  <c r="BS94" i="8"/>
  <c r="BS88" i="8"/>
  <c r="BU50" i="8"/>
  <c r="BS95" i="8"/>
  <c r="BU79" i="8" a="1"/>
  <c r="BU86" i="8" a="1"/>
  <c r="BU61" i="8" a="1"/>
  <c r="BU80" i="8" a="1"/>
  <c r="BU67" i="8" a="1"/>
  <c r="BU84" i="8" a="1"/>
  <c r="BU71" i="8" a="1"/>
  <c r="BU100" i="8" a="1"/>
  <c r="BU66" i="8" a="1"/>
  <c r="BU58" i="8" a="1"/>
  <c r="BU73" i="8" a="1"/>
  <c r="BU64" i="8" a="1"/>
  <c r="BU52" i="8" a="1"/>
  <c r="BU56" i="8" a="1"/>
  <c r="BU102" i="8" a="1"/>
  <c r="BU82" i="8" a="1"/>
  <c r="BU103" i="8" a="1"/>
  <c r="BU78" i="8" a="1"/>
  <c r="BU55" i="8" a="1"/>
  <c r="BU77" i="8" a="1"/>
  <c r="BU76" i="8" a="1"/>
  <c r="BU53" i="8" a="1"/>
  <c r="BU60" i="8" a="1"/>
  <c r="BU85" i="8" a="1"/>
  <c r="BU59" i="8" a="1"/>
  <c r="BU54" i="8" a="1"/>
  <c r="BU104" i="8" a="1"/>
  <c r="BU62" i="8" a="1"/>
  <c r="BU74" i="8" a="1"/>
  <c r="BU70" i="8" a="1"/>
  <c r="BU72" i="8" a="1"/>
  <c r="BU65" i="8" a="1"/>
  <c r="BU83" i="8" a="1"/>
  <c r="BU101" i="8" a="1"/>
  <c r="BU68" i="8" a="1"/>
  <c r="BU54" i="8" l="1"/>
  <c r="BU53" i="8"/>
  <c r="BU52" i="8"/>
  <c r="BU55" i="8"/>
  <c r="BU56" i="8"/>
  <c r="BU77" i="8"/>
  <c r="BU78" i="8"/>
  <c r="BU79" i="8"/>
  <c r="BU76" i="8"/>
  <c r="BU80" i="8"/>
  <c r="BT92" i="8"/>
  <c r="BT98" i="8"/>
  <c r="BU104" i="8"/>
  <c r="BU86" i="8"/>
  <c r="BU74" i="8"/>
  <c r="BU68" i="8"/>
  <c r="BU62" i="8"/>
  <c r="BT89" i="8"/>
  <c r="BU61" i="8"/>
  <c r="BU59" i="8"/>
  <c r="BU60" i="8"/>
  <c r="BU65" i="8"/>
  <c r="BU67" i="8"/>
  <c r="BU66" i="8"/>
  <c r="BU73" i="8"/>
  <c r="BU71" i="8"/>
  <c r="BU72" i="8"/>
  <c r="BU85" i="8"/>
  <c r="BU84" i="8"/>
  <c r="BU83" i="8"/>
  <c r="BT91" i="8"/>
  <c r="BT90" i="8"/>
  <c r="BT97" i="8"/>
  <c r="BT95" i="8"/>
  <c r="BU102" i="8"/>
  <c r="BU58" i="8"/>
  <c r="BU64" i="8"/>
  <c r="BU82" i="8"/>
  <c r="BU70" i="8"/>
  <c r="BU103" i="8"/>
  <c r="BU101" i="8"/>
  <c r="BU100" i="8"/>
  <c r="BT88" i="8"/>
  <c r="BT94" i="8"/>
  <c r="BV50" i="8"/>
  <c r="BT96" i="8"/>
  <c r="BV74" i="8" a="1"/>
  <c r="BV67" i="8" a="1"/>
  <c r="BV78" i="8" a="1"/>
  <c r="BV71" i="8" a="1"/>
  <c r="BV53" i="8" a="1"/>
  <c r="BV60" i="8" a="1"/>
  <c r="BV70" i="8" a="1"/>
  <c r="BV58" i="8" a="1"/>
  <c r="BV59" i="8" a="1"/>
  <c r="BV73" i="8" a="1"/>
  <c r="BV54" i="8" a="1"/>
  <c r="BV68" i="8" a="1"/>
  <c r="BV104" i="8" a="1"/>
  <c r="BV101" i="8" a="1"/>
  <c r="BV85" i="8" a="1"/>
  <c r="BV52" i="8" a="1"/>
  <c r="BV102" i="8" a="1"/>
  <c r="BV72" i="8" a="1"/>
  <c r="BV83" i="8" a="1"/>
  <c r="BV103" i="8" a="1"/>
  <c r="BV55" i="8" a="1"/>
  <c r="BV56" i="8" a="1"/>
  <c r="BV65" i="8" a="1"/>
  <c r="BV80" i="8" a="1"/>
  <c r="BV84" i="8" a="1"/>
  <c r="BV62" i="8" a="1"/>
  <c r="BV64" i="8" a="1"/>
  <c r="BV79" i="8" a="1"/>
  <c r="BV82" i="8" a="1"/>
  <c r="BV76" i="8" a="1"/>
  <c r="BV100" i="8" a="1"/>
  <c r="BV66" i="8" a="1"/>
  <c r="BV77" i="8" a="1"/>
  <c r="BV61" i="8" a="1"/>
  <c r="BV86" i="8" a="1"/>
  <c r="BV56" i="8" l="1"/>
  <c r="BV53" i="8"/>
  <c r="BV55" i="8"/>
  <c r="BV54" i="8"/>
  <c r="BV52" i="8"/>
  <c r="BV77" i="8"/>
  <c r="BV76" i="8"/>
  <c r="BV80" i="8"/>
  <c r="BV79" i="8"/>
  <c r="BV78" i="8"/>
  <c r="BU92" i="8"/>
  <c r="BU98" i="8"/>
  <c r="BV104" i="8"/>
  <c r="BV86" i="8"/>
  <c r="BV74" i="8"/>
  <c r="BV68" i="8"/>
  <c r="BV62" i="8"/>
  <c r="BU89" i="8"/>
  <c r="BU90" i="8"/>
  <c r="BV61" i="8"/>
  <c r="BV59" i="8"/>
  <c r="BV60" i="8"/>
  <c r="BV66" i="8"/>
  <c r="BV65" i="8"/>
  <c r="BV67" i="8"/>
  <c r="BV71" i="8"/>
  <c r="BV73" i="8"/>
  <c r="BV72" i="8"/>
  <c r="BV84" i="8"/>
  <c r="BV83" i="8"/>
  <c r="BV85" i="8"/>
  <c r="BU91" i="8"/>
  <c r="BU96" i="8"/>
  <c r="BV102" i="8"/>
  <c r="BV58" i="8"/>
  <c r="BV64" i="8"/>
  <c r="BV82" i="8"/>
  <c r="BV70" i="8"/>
  <c r="BV103" i="8"/>
  <c r="BV101" i="8"/>
  <c r="BV100" i="8"/>
  <c r="BU95" i="8"/>
  <c r="BU88" i="8"/>
  <c r="BU94" i="8"/>
  <c r="BU97" i="8"/>
  <c r="BV98" i="8" l="1"/>
  <c r="BV92" i="8"/>
  <c r="BV90" i="8"/>
  <c r="BV89" i="8"/>
  <c r="BV91" i="8"/>
  <c r="BV97" i="8"/>
  <c r="BV95" i="8"/>
  <c r="BV94" i="8"/>
  <c r="BV88" i="8"/>
  <c r="BV96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<sst xmlns="http://schemas.openxmlformats.org/spreadsheetml/2006/main" count="783" uniqueCount="197">
  <si>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</si>
  <si>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</si>
  <si>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</si>
  <si>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</si>
  <si>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</si>
  <si>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</si>
  <si>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</si>
  <si>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</si>
  <si>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</si>
  <si>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</si>
  <si>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</si>
  <si>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</si>
  <si>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</si>
  <si>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</si>
  <si>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</si>
  <si>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</si>
  <si>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</si>
  <si>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</si>
  <si>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</si>
  <si>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</si>
  <si>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</si>
  <si>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</si>
  <si>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</si>
  <si>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</si>
  <si>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</si>
  <si>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</si>
  <si>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</si>
  <si>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</si>
  <si>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</si>
  <si>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</si>
  <si>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</si>
  <si>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</si>
  <si>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</si>
  <si>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</si>
  <si>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</si>
  <si>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</si>
  <si>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</si>
  <si>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</si>
  <si>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</si>
  <si>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</si>
  <si>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</si>
  <si>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</si>
  <si>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</si>
  <si>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</si>
  <si>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</si>
  <si>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</si>
  <si>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</si>
  <si>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</si>
  <si>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</si>
  <si>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</si>
  <si>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</si>
  <si>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</si>
  <si>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</si>
  <si>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</si>
  <si>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</si>
  <si>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</si>
  <si>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</si>
  <si>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</si>
  <si>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</si>
  <si>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</si>
  <si>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</si>
  <si>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</si>
  <si>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</si>
  <si>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</si>
  <si>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</si>
  <si>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</si>
  <si>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</si>
  <si>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</si>
  <si>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</si>
  <si>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</si>
  <si>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</si>
  <si>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</si>
  <si>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</si>
  <si>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</si>
  <si>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</si>
  <si>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</si>
  <si>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</si>
  <si>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</si>
  <si>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</si>
  <si>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</si>
  <si>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</si>
  <si>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</si>
  <si>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</si>
  <si>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</si>
  <si>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</si>
  <si>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</si>
  <si>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</si>
  <si>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</si>
  <si>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</si>
  <si>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</si>
  <si>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</si>
  <si>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</si>
  <si>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</si>
  <si>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</si>
  <si>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</si>
  <si>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</si>
  <si>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</si>
  <si>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</si>
  <si>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</si>
  <si>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</si>
  <si>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</si>
  <si>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</si>
  <si>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</si>
  <si>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</si>
  <si>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</si>
  <si>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</si>
  <si>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</si>
  <si>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</si>
  <si>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</si>
  <si>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</si>
  <si>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</si>
  <si>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</si>
  <si>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</si>
  <si>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</si>
  <si>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</si>
  <si>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</si>
  <si>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</si>
  <si>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</si>
  <si>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</si>
  <si>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</si>
  <si>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</si>
  <si>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</si>
  <si>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</si>
  <si>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</si>
  <si>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</si>
  <si>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</si>
  <si>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</si>
  <si>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</si>
  <si>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</si>
  <si>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</si>
  <si>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</si>
  <si>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</si>
  <si>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</si>
  <si>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</si>
  <si>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</si>
  <si>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</si>
  <si>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</si>
  <si>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</si>
  <si>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</si>
  <si>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</si>
  <si>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</si>
  <si>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</si>
  <si>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</si>
  <si>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Presently ill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</si>
  <si>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</si>
  <si>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</si>
  <si>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</si>
  <si>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</si>
  <si>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</si>
  <si>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</si>
  <si>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</si>
  <si>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</si>
  <si>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</si>
  <si>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</si>
  <si>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</si>
  <si>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</si>
  <si>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</si>
  <si>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</si>
  <si>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</si>
  <si>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</si>
  <si>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</si>
  <si>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</si>
  <si>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</si>
  <si>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</si>
  <si>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</si>
  <si>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</si>
  <si>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</si>
  <si>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% Positive</t>
  </si>
  <si>
    <t>Tests done</t>
  </si>
  <si>
    <t>Tests per
100,000 inh</t>
  </si>
  <si>
    <t>Hospitalization</t>
  </si>
  <si>
    <t>Hospital per conf. case</t>
  </si>
  <si>
    <t>The top 4 entries are charted below.</t>
  </si>
  <si>
    <t>US</t>
  </si>
  <si>
    <t>Sweden</t>
  </si>
  <si>
    <t>Spain</t>
  </si>
  <si>
    <t>Russia</t>
  </si>
  <si>
    <t>Korea, South</t>
  </si>
  <si>
    <t>Italy</t>
  </si>
  <si>
    <t>India</t>
  </si>
  <si>
    <t>Germany</t>
  </si>
  <si>
    <t>France</t>
  </si>
  <si>
    <t>China</t>
  </si>
  <si>
    <t>Canada</t>
  </si>
  <si>
    <t>Belgium</t>
  </si>
  <si>
    <t>Austria</t>
  </si>
  <si>
    <t>United Kingdom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</si>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</sst>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5" fontId="0" fillId="0" borderId="3" xfId="0" applyNumberFormat="1" applyBorder="1"/>
    <xf numFmtId="3" fontId="1" fillId="0" borderId="0" xfId="0" applyNumberFormat="1" applyFont="1" applyBorder="1"/>
    <xf numFmtId="165" fontId="0" fillId="0" borderId="0" xfId="0" applyNumberFormat="1" applyBorder="1"/>
    <xf numFmtId="3" fontId="0" fillId="0" borderId="0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Dashboard'!$C$59</c:f>
          <c:strCache>
            <c:ptCount val="1"/>
            <c:pt idx="0">
              <c:v>Italy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Dashboard'!$E$83:$BV$83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  <c:pt idx="64">
                  <c:v>8215</c:v>
                </c:pt>
                <c:pt idx="65">
                  <c:v>9134</c:v>
                </c:pt>
                <c:pt idx="66">
                  <c:v>10023</c:v>
                </c:pt>
                <c:pt idx="67">
                  <c:v>10779</c:v>
                </c:pt>
                <c:pt idx="68">
                  <c:v>11591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Dashboard'!$D$89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Dashboard'!$E$89:$BV$89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17</c:v>
                </c:pt>
                <c:pt idx="31">
                  <c:v>59</c:v>
                </c:pt>
                <c:pt idx="32">
                  <c:v>152</c:v>
                </c:pt>
                <c:pt idx="33">
                  <c:v>222</c:v>
                </c:pt>
                <c:pt idx="34">
                  <c:v>312</c:v>
                </c:pt>
                <c:pt idx="35">
                  <c:v>441</c:v>
                </c:pt>
                <c:pt idx="36">
                  <c:v>638</c:v>
                </c:pt>
                <c:pt idx="37">
                  <c:v>867</c:v>
                </c:pt>
                <c:pt idx="38">
                  <c:v>1099</c:v>
                </c:pt>
                <c:pt idx="39">
                  <c:v>1660</c:v>
                </c:pt>
                <c:pt idx="40">
                  <c:v>1984</c:v>
                </c:pt>
                <c:pt idx="41">
                  <c:v>2423</c:v>
                </c:pt>
                <c:pt idx="42">
                  <c:v>2982</c:v>
                </c:pt>
                <c:pt idx="43">
                  <c:v>3710</c:v>
                </c:pt>
                <c:pt idx="44">
                  <c:v>4439</c:v>
                </c:pt>
                <c:pt idx="45">
                  <c:v>5650</c:v>
                </c:pt>
                <c:pt idx="46">
                  <c:v>7009</c:v>
                </c:pt>
                <c:pt idx="47">
                  <c:v>8709</c:v>
                </c:pt>
                <c:pt idx="48">
                  <c:v>9518</c:v>
                </c:pt>
                <c:pt idx="49">
                  <c:v>11635</c:v>
                </c:pt>
                <c:pt idx="50">
                  <c:v>11635</c:v>
                </c:pt>
                <c:pt idx="51">
                  <c:v>16394</c:v>
                </c:pt>
                <c:pt idx="52">
                  <c:v>19716</c:v>
                </c:pt>
                <c:pt idx="53">
                  <c:v>22938</c:v>
                </c:pt>
                <c:pt idx="54">
                  <c:v>25822</c:v>
                </c:pt>
                <c:pt idx="55">
                  <c:v>29003</c:v>
                </c:pt>
                <c:pt idx="56">
                  <c:v>32624</c:v>
                </c:pt>
                <c:pt idx="57">
                  <c:v>37177</c:v>
                </c:pt>
                <c:pt idx="58">
                  <c:v>42385</c:v>
                </c:pt>
                <c:pt idx="59">
                  <c:v>47695</c:v>
                </c:pt>
                <c:pt idx="60">
                  <c:v>51763</c:v>
                </c:pt>
                <c:pt idx="61">
                  <c:v>54755</c:v>
                </c:pt>
                <c:pt idx="62">
                  <c:v>59027</c:v>
                </c:pt>
                <c:pt idx="63">
                  <c:v>61924</c:v>
                </c:pt>
                <c:pt idx="64">
                  <c:v>68127</c:v>
                </c:pt>
                <c:pt idx="65">
                  <c:v>68838</c:v>
                </c:pt>
                <c:pt idx="66">
                  <c:v>71315</c:v>
                </c:pt>
                <c:pt idx="67">
                  <c:v>72942</c:v>
                </c:pt>
                <c:pt idx="68">
                  <c:v>73759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Dashboard'!$E$65:$BV$65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Dashboard'!$D$95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Dashboard'!$E$95:$BV$95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111</c:v>
                </c:pt>
                <c:pt idx="57">
                  <c:v>453</c:v>
                </c:pt>
                <c:pt idx="58">
                  <c:v>604</c:v>
                </c:pt>
                <c:pt idx="59">
                  <c:v>1058</c:v>
                </c:pt>
                <c:pt idx="60">
                  <c:v>1899</c:v>
                </c:pt>
                <c:pt idx="61">
                  <c:v>3095</c:v>
                </c:pt>
                <c:pt idx="62">
                  <c:v>3329</c:v>
                </c:pt>
                <c:pt idx="63">
                  <c:v>4959</c:v>
                </c:pt>
                <c:pt idx="64">
                  <c:v>4247</c:v>
                </c:pt>
                <c:pt idx="65">
                  <c:v>8526</c:v>
                </c:pt>
                <c:pt idx="66">
                  <c:v>11134</c:v>
                </c:pt>
                <c:pt idx="67">
                  <c:v>13968</c:v>
                </c:pt>
                <c:pt idx="68">
                  <c:v>16389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Dashboard'!$C$60</c:f>
          <c:strCache>
            <c:ptCount val="1"/>
            <c:pt idx="0">
              <c:v>Spain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Dashboard'!$E$84:$BV$84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3</c:v>
                </c:pt>
                <c:pt idx="44">
                  <c:v>5</c:v>
                </c:pt>
                <c:pt idx="45">
                  <c:v>10</c:v>
                </c:pt>
                <c:pt idx="46">
                  <c:v>17</c:v>
                </c:pt>
                <c:pt idx="47">
                  <c:v>28</c:v>
                </c:pt>
                <c:pt idx="48">
                  <c:v>35</c:v>
                </c:pt>
                <c:pt idx="49">
                  <c:v>54</c:v>
                </c:pt>
                <c:pt idx="50">
                  <c:v>55</c:v>
                </c:pt>
                <c:pt idx="51">
                  <c:v>133</c:v>
                </c:pt>
                <c:pt idx="52">
                  <c:v>195</c:v>
                </c:pt>
                <c:pt idx="53">
                  <c:v>289</c:v>
                </c:pt>
                <c:pt idx="54">
                  <c:v>342</c:v>
                </c:pt>
                <c:pt idx="55">
                  <c:v>533</c:v>
                </c:pt>
                <c:pt idx="56">
                  <c:v>623</c:v>
                </c:pt>
                <c:pt idx="57">
                  <c:v>830</c:v>
                </c:pt>
                <c:pt idx="58">
                  <c:v>1043</c:v>
                </c:pt>
                <c:pt idx="59">
                  <c:v>1375</c:v>
                </c:pt>
                <c:pt idx="60">
                  <c:v>1772</c:v>
                </c:pt>
                <c:pt idx="61">
                  <c:v>2311</c:v>
                </c:pt>
                <c:pt idx="62">
                  <c:v>2808</c:v>
                </c:pt>
                <c:pt idx="63">
                  <c:v>3647</c:v>
                </c:pt>
                <c:pt idx="64">
                  <c:v>4365</c:v>
                </c:pt>
                <c:pt idx="65">
                  <c:v>5138</c:v>
                </c:pt>
                <c:pt idx="66">
                  <c:v>5982</c:v>
                </c:pt>
                <c:pt idx="67">
                  <c:v>6803</c:v>
                </c:pt>
                <c:pt idx="68">
                  <c:v>7716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Dashboard'!$D$90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Dashboard'!$E$90:$BV$90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4</c:v>
                </c:pt>
                <c:pt idx="35">
                  <c:v>11</c:v>
                </c:pt>
                <c:pt idx="36">
                  <c:v>13</c:v>
                </c:pt>
                <c:pt idx="37">
                  <c:v>30</c:v>
                </c:pt>
                <c:pt idx="38">
                  <c:v>43</c:v>
                </c:pt>
                <c:pt idx="39">
                  <c:v>82</c:v>
                </c:pt>
                <c:pt idx="40">
                  <c:v>118</c:v>
                </c:pt>
                <c:pt idx="41">
                  <c:v>163</c:v>
                </c:pt>
                <c:pt idx="42">
                  <c:v>220</c:v>
                </c:pt>
                <c:pt idx="43">
                  <c:v>256</c:v>
                </c:pt>
                <c:pt idx="44">
                  <c:v>395</c:v>
                </c:pt>
                <c:pt idx="45">
                  <c:v>490</c:v>
                </c:pt>
                <c:pt idx="46">
                  <c:v>656</c:v>
                </c:pt>
                <c:pt idx="47">
                  <c:v>1045</c:v>
                </c:pt>
                <c:pt idx="48">
                  <c:v>1660</c:v>
                </c:pt>
                <c:pt idx="49">
                  <c:v>2223</c:v>
                </c:pt>
                <c:pt idx="50">
                  <c:v>2222</c:v>
                </c:pt>
                <c:pt idx="51">
                  <c:v>5099</c:v>
                </c:pt>
                <c:pt idx="52">
                  <c:v>6196</c:v>
                </c:pt>
                <c:pt idx="53">
                  <c:v>7509</c:v>
                </c:pt>
                <c:pt idx="54">
                  <c:v>9600</c:v>
                </c:pt>
                <c:pt idx="55">
                  <c:v>11215</c:v>
                </c:pt>
                <c:pt idx="56">
                  <c:v>13287</c:v>
                </c:pt>
                <c:pt idx="57">
                  <c:v>17133</c:v>
                </c:pt>
                <c:pt idx="58">
                  <c:v>19367</c:v>
                </c:pt>
                <c:pt idx="59">
                  <c:v>23999</c:v>
                </c:pt>
                <c:pt idx="60">
                  <c:v>26996</c:v>
                </c:pt>
                <c:pt idx="61">
                  <c:v>32825</c:v>
                </c:pt>
                <c:pt idx="62">
                  <c:v>37077</c:v>
                </c:pt>
                <c:pt idx="63">
                  <c:v>45868</c:v>
                </c:pt>
                <c:pt idx="64">
                  <c:v>53421</c:v>
                </c:pt>
                <c:pt idx="65">
                  <c:v>60487</c:v>
                </c:pt>
                <c:pt idx="66">
                  <c:v>66844</c:v>
                </c:pt>
                <c:pt idx="67">
                  <c:v>72312</c:v>
                </c:pt>
                <c:pt idx="68">
                  <c:v>78014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Dashboard'!$E$66:$BV$66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Dashboard'!$D$96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Dashboard'!$E$96:$BV$96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94</c:v>
                </c:pt>
                <c:pt idx="66">
                  <c:v>409</c:v>
                </c:pt>
                <c:pt idx="67">
                  <c:v>995</c:v>
                </c:pt>
                <c:pt idx="68">
                  <c:v>2226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Dashboard'!$C$61</c:f>
          <c:strCache>
            <c:ptCount val="1"/>
            <c:pt idx="0">
              <c:v>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Dashboard'!$E$85:$BV$85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  <c:pt idx="64">
                  <c:v>1209</c:v>
                </c:pt>
                <c:pt idx="65">
                  <c:v>1581</c:v>
                </c:pt>
                <c:pt idx="66">
                  <c:v>2026</c:v>
                </c:pt>
                <c:pt idx="67">
                  <c:v>2467</c:v>
                </c:pt>
                <c:pt idx="68">
                  <c:v>2978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Dashboard'!$D$91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Dashboard'!$E$91:$BV$91</c:f>
              <c:numCache>
                <c:formatCode>#,##0</c:formatCode>
                <c:ptCount val="7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10</c:v>
                </c:pt>
                <c:pt idx="15">
                  <c:v>10</c:v>
                </c:pt>
                <c:pt idx="16">
                  <c:v>9</c:v>
                </c:pt>
                <c:pt idx="17">
                  <c:v>9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7</c:v>
                </c:pt>
                <c:pt idx="22">
                  <c:v>8</c:v>
                </c:pt>
                <c:pt idx="23">
                  <c:v>6</c:v>
                </c:pt>
                <c:pt idx="24">
                  <c:v>5</c:v>
                </c:pt>
                <c:pt idx="25">
                  <c:v>5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40</c:v>
                </c:pt>
                <c:pt idx="34">
                  <c:v>39</c:v>
                </c:pt>
                <c:pt idx="35">
                  <c:v>45</c:v>
                </c:pt>
                <c:pt idx="36">
                  <c:v>45</c:v>
                </c:pt>
                <c:pt idx="37">
                  <c:v>47</c:v>
                </c:pt>
                <c:pt idx="38">
                  <c:v>55</c:v>
                </c:pt>
                <c:pt idx="39">
                  <c:v>61</c:v>
                </c:pt>
                <c:pt idx="40">
                  <c:v>85</c:v>
                </c:pt>
                <c:pt idx="41">
                  <c:v>105</c:v>
                </c:pt>
                <c:pt idx="42">
                  <c:v>136</c:v>
                </c:pt>
                <c:pt idx="43">
                  <c:v>204</c:v>
                </c:pt>
                <c:pt idx="44">
                  <c:v>247</c:v>
                </c:pt>
                <c:pt idx="45">
                  <c:v>385</c:v>
                </c:pt>
                <c:pt idx="46">
                  <c:v>497</c:v>
                </c:pt>
                <c:pt idx="47">
                  <c:v>532</c:v>
                </c:pt>
                <c:pt idx="48">
                  <c:v>908</c:v>
                </c:pt>
                <c:pt idx="49">
                  <c:v>1224</c:v>
                </c:pt>
                <c:pt idx="50">
                  <c:v>1605</c:v>
                </c:pt>
                <c:pt idx="51">
                  <c:v>2119</c:v>
                </c:pt>
                <c:pt idx="52">
                  <c:v>2659</c:v>
                </c:pt>
                <c:pt idx="53">
                  <c:v>3425</c:v>
                </c:pt>
                <c:pt idx="54">
                  <c:v>4534</c:v>
                </c:pt>
                <c:pt idx="55">
                  <c:v>6303</c:v>
                </c:pt>
                <c:pt idx="56">
                  <c:v>7634</c:v>
                </c:pt>
                <c:pt idx="57">
                  <c:v>13460</c:v>
                </c:pt>
                <c:pt idx="58">
                  <c:v>18838</c:v>
                </c:pt>
                <c:pt idx="59">
                  <c:v>25087</c:v>
                </c:pt>
                <c:pt idx="60">
                  <c:v>32758</c:v>
                </c:pt>
                <c:pt idx="61">
                  <c:v>43264</c:v>
                </c:pt>
                <c:pt idx="62">
                  <c:v>52781</c:v>
                </c:pt>
                <c:pt idx="63">
                  <c:v>64497</c:v>
                </c:pt>
                <c:pt idx="64">
                  <c:v>82173</c:v>
                </c:pt>
                <c:pt idx="65">
                  <c:v>99478</c:v>
                </c:pt>
                <c:pt idx="66">
                  <c:v>118751</c:v>
                </c:pt>
                <c:pt idx="67">
                  <c:v>137387</c:v>
                </c:pt>
                <c:pt idx="68">
                  <c:v>157175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Dashboard'!$E$67:$BV$67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Dashboard'!$D$97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Dashboard'!$E$97:$BV$97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7</c:v>
                </c:pt>
                <c:pt idx="24">
                  <c:v>8</c:v>
                </c:pt>
                <c:pt idx="25">
                  <c:v>8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  <c:pt idx="40">
                  <c:v>7</c:v>
                </c:pt>
                <c:pt idx="41">
                  <c:v>6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29</c:v>
                </c:pt>
                <c:pt idx="48">
                  <c:v>23</c:v>
                </c:pt>
                <c:pt idx="49">
                  <c:v>21</c:v>
                </c:pt>
                <c:pt idx="50">
                  <c:v>18</c:v>
                </c:pt>
                <c:pt idx="51">
                  <c:v>13</c:v>
                </c:pt>
                <c:pt idx="52">
                  <c:v>14</c:v>
                </c:pt>
                <c:pt idx="53">
                  <c:v>11</c:v>
                </c:pt>
                <c:pt idx="54">
                  <c:v>13</c:v>
                </c:pt>
                <c:pt idx="55">
                  <c:v>10</c:v>
                </c:pt>
                <c:pt idx="56">
                  <c:v>31</c:v>
                </c:pt>
                <c:pt idx="57">
                  <c:v>17</c:v>
                </c:pt>
                <c:pt idx="58">
                  <c:v>18</c:v>
                </c:pt>
                <c:pt idx="59">
                  <c:v>95</c:v>
                </c:pt>
                <c:pt idx="60">
                  <c:v>101</c:v>
                </c:pt>
                <c:pt idx="61">
                  <c:v>26</c:v>
                </c:pt>
                <c:pt idx="62">
                  <c:v>253</c:v>
                </c:pt>
                <c:pt idx="63">
                  <c:v>339</c:v>
                </c:pt>
                <c:pt idx="64">
                  <c:v>454</c:v>
                </c:pt>
                <c:pt idx="65">
                  <c:v>598</c:v>
                </c:pt>
                <c:pt idx="66">
                  <c:v>701</c:v>
                </c:pt>
                <c:pt idx="67">
                  <c:v>1032</c:v>
                </c:pt>
                <c:pt idx="68">
                  <c:v>1654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Dashboard'!$C$62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Dashboard'!$E$86:$BV$86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  <c:pt idx="64">
                  <c:v>191</c:v>
                </c:pt>
                <c:pt idx="65">
                  <c:v>231</c:v>
                </c:pt>
                <c:pt idx="66">
                  <c:v>264</c:v>
                </c:pt>
                <c:pt idx="67">
                  <c:v>300</c:v>
                </c:pt>
                <c:pt idx="68">
                  <c:v>359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Dashboard'!$D$92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Dashboard'!$E$92:$BV$92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8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644</c:v>
                </c:pt>
                <c:pt idx="51">
                  <c:v>1128</c:v>
                </c:pt>
                <c:pt idx="52">
                  <c:v>1341</c:v>
                </c:pt>
                <c:pt idx="53">
                  <c:v>2173</c:v>
                </c:pt>
                <c:pt idx="54">
                  <c:v>2158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10245</c:v>
                </c:pt>
                <c:pt idx="64">
                  <c:v>11159</c:v>
                </c:pt>
                <c:pt idx="65">
                  <c:v>11789</c:v>
                </c:pt>
                <c:pt idx="66">
                  <c:v>12717</c:v>
                </c:pt>
                <c:pt idx="67">
                  <c:v>12629</c:v>
                </c:pt>
                <c:pt idx="68">
                  <c:v>13722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Dashboard'!$E$68:$BV$68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Dashboard'!$D$98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Dashboard'!$E$98:$BV$98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0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499</c:v>
                </c:pt>
                <c:pt idx="64">
                  <c:v>461</c:v>
                </c:pt>
                <c:pt idx="65">
                  <c:v>908</c:v>
                </c:pt>
                <c:pt idx="66">
                  <c:v>1095</c:v>
                </c:pt>
                <c:pt idx="67">
                  <c:v>1900</c:v>
                </c:pt>
                <c:pt idx="68">
                  <c:v>1841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Dashboard'!$E$40:$BV$40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Dashboard'!$E$41:$BV$41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Dashboard'!$E$42:$BV$42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Dashboard'!$E$43:$BV$43</c:f>
              <c:numCache>
                <c:formatCode>General</c:formatCode>
                <c:ptCount val="70"/>
                <c:pt idx="0">
                  <c:v>55</c:v>
                </c:pt>
                <c:pt idx="1">
                  <c:v>79</c:v>
                </c:pt>
                <c:pt idx="2">
                  <c:v>104</c:v>
                </c:pt>
                <c:pt idx="3">
                  <c:v>131</c:v>
                </c:pt>
                <c:pt idx="4">
                  <c:v>182</c:v>
                </c:pt>
                <c:pt idx="5">
                  <c:v>246</c:v>
                </c:pt>
                <c:pt idx="6">
                  <c:v>302</c:v>
                </c:pt>
                <c:pt idx="7">
                  <c:v>504</c:v>
                </c:pt>
                <c:pt idx="8">
                  <c:v>655</c:v>
                </c:pt>
                <c:pt idx="9">
                  <c:v>860</c:v>
                </c:pt>
                <c:pt idx="10">
                  <c:v>1018</c:v>
                </c:pt>
                <c:pt idx="11">
                  <c:v>1332</c:v>
                </c:pt>
                <c:pt idx="12">
                  <c:v>1646</c:v>
                </c:pt>
                <c:pt idx="13">
                  <c:v>2013</c:v>
                </c:pt>
                <c:pt idx="14">
                  <c:v>2388</c:v>
                </c:pt>
                <c:pt idx="15">
                  <c:v>2814</c:v>
                </c:pt>
                <c:pt idx="16">
                  <c:v>3582</c:v>
                </c:pt>
                <c:pt idx="17">
                  <c:v>4474</c:v>
                </c:pt>
                <c:pt idx="18">
                  <c:v>5283</c:v>
                </c:pt>
                <c:pt idx="19">
                  <c:v>5588</c:v>
                </c:pt>
                <c:pt idx="20">
                  <c:v>6909</c:v>
                </c:pt>
                <c:pt idx="21">
                  <c:v>7657</c:v>
                </c:pt>
                <c:pt idx="22">
                  <c:v>8271</c:v>
                </c:pt>
                <c:pt idx="23">
                  <c:v>8788</c:v>
                </c:pt>
                <c:pt idx="24">
                  <c:v>9618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5"/>
          <c:order val="4"/>
          <c:tx>
            <c:strRef>
              <c:f>'General Dashboard'!$C$44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Dashboard'!$E$44:$BV$44</c:f>
              <c:numCache>
                <c:formatCode>General</c:formatCode>
                <c:ptCount val="70"/>
                <c:pt idx="0">
                  <c:v>50</c:v>
                </c:pt>
                <c:pt idx="1">
                  <c:v>109</c:v>
                </c:pt>
                <c:pt idx="2">
                  <c:v>169</c:v>
                </c:pt>
                <c:pt idx="3">
                  <c:v>200</c:v>
                </c:pt>
                <c:pt idx="4">
                  <c:v>239</c:v>
                </c:pt>
                <c:pt idx="5">
                  <c:v>267</c:v>
                </c:pt>
                <c:pt idx="6">
                  <c:v>314</c:v>
                </c:pt>
                <c:pt idx="7">
                  <c:v>314</c:v>
                </c:pt>
                <c:pt idx="8">
                  <c:v>559</c:v>
                </c:pt>
                <c:pt idx="9">
                  <c:v>689</c:v>
                </c:pt>
                <c:pt idx="10">
                  <c:v>886</c:v>
                </c:pt>
                <c:pt idx="11">
                  <c:v>1058</c:v>
                </c:pt>
                <c:pt idx="12">
                  <c:v>1243</c:v>
                </c:pt>
                <c:pt idx="13">
                  <c:v>1486</c:v>
                </c:pt>
                <c:pt idx="14">
                  <c:v>1795</c:v>
                </c:pt>
                <c:pt idx="15">
                  <c:v>2257</c:v>
                </c:pt>
                <c:pt idx="16">
                  <c:v>2815</c:v>
                </c:pt>
                <c:pt idx="17">
                  <c:v>3401</c:v>
                </c:pt>
                <c:pt idx="18">
                  <c:v>3743</c:v>
                </c:pt>
                <c:pt idx="19">
                  <c:v>4269</c:v>
                </c:pt>
                <c:pt idx="20">
                  <c:v>4937</c:v>
                </c:pt>
                <c:pt idx="21">
                  <c:v>6235</c:v>
                </c:pt>
                <c:pt idx="22">
                  <c:v>7284</c:v>
                </c:pt>
                <c:pt idx="23">
                  <c:v>9134</c:v>
                </c:pt>
                <c:pt idx="24">
                  <c:v>10836</c:v>
                </c:pt>
                <c:pt idx="25">
                  <c:v>11899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07-4821-BE0A-7753962BA910}"/>
            </c:ext>
          </c:extLst>
        </c:ser>
        <c:ser>
          <c:idx val="6"/>
          <c:order val="5"/>
          <c:tx>
            <c:strRef>
              <c:f>'General Dashboard'!$C$45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Dashboard'!$E$45:$BV$45</c:f>
              <c:numCache>
                <c:formatCode>General</c:formatCode>
                <c:ptCount val="70"/>
                <c:pt idx="0">
                  <c:v>54</c:v>
                </c:pt>
                <c:pt idx="1">
                  <c:v>64</c:v>
                </c:pt>
                <c:pt idx="2">
                  <c:v>77</c:v>
                </c:pt>
                <c:pt idx="3">
                  <c:v>79</c:v>
                </c:pt>
                <c:pt idx="4">
                  <c:v>108</c:v>
                </c:pt>
                <c:pt idx="5">
                  <c:v>117</c:v>
                </c:pt>
                <c:pt idx="6">
                  <c:v>191</c:v>
                </c:pt>
                <c:pt idx="7">
                  <c:v>196</c:v>
                </c:pt>
                <c:pt idx="8">
                  <c:v>250</c:v>
                </c:pt>
                <c:pt idx="9">
                  <c:v>413</c:v>
                </c:pt>
                <c:pt idx="10">
                  <c:v>470</c:v>
                </c:pt>
                <c:pt idx="11">
                  <c:v>648</c:v>
                </c:pt>
                <c:pt idx="12">
                  <c:v>791</c:v>
                </c:pt>
                <c:pt idx="13">
                  <c:v>933</c:v>
                </c:pt>
                <c:pt idx="14">
                  <c:v>1267</c:v>
                </c:pt>
                <c:pt idx="15">
                  <c:v>1456</c:v>
                </c:pt>
                <c:pt idx="16">
                  <c:v>2075</c:v>
                </c:pt>
                <c:pt idx="17">
                  <c:v>2777</c:v>
                </c:pt>
                <c:pt idx="18">
                  <c:v>3238</c:v>
                </c:pt>
                <c:pt idx="19">
                  <c:v>4029</c:v>
                </c:pt>
                <c:pt idx="20">
                  <c:v>4669</c:v>
                </c:pt>
                <c:pt idx="21">
                  <c:v>5563</c:v>
                </c:pt>
                <c:pt idx="22">
                  <c:v>6267</c:v>
                </c:pt>
                <c:pt idx="23">
                  <c:v>7385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07-4821-BE0A-7753962BA910}"/>
            </c:ext>
          </c:extLst>
        </c:ser>
        <c:ser>
          <c:idx val="7"/>
          <c:order val="6"/>
          <c:tx>
            <c:strRef>
              <c:f>'General Dashboard'!$C$46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Dashboard'!$E$46:$BV$46</c:f>
              <c:numCache>
                <c:formatCode>General</c:formatCode>
                <c:ptCount val="70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07-4821-BE0A-7753962BA910}"/>
            </c:ext>
          </c:extLst>
        </c:ser>
        <c:ser>
          <c:idx val="8"/>
          <c:order val="7"/>
          <c:tx>
            <c:strRef>
              <c:f>'General Dashboard'!$C$47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Dashboard'!$E$47:$BV$47</c:f>
              <c:numCache>
                <c:formatCode>General</c:formatCode>
                <c:ptCount val="70"/>
                <c:pt idx="0">
                  <c:v>57</c:v>
                </c:pt>
                <c:pt idx="1">
                  <c:v>100</c:v>
                </c:pt>
                <c:pt idx="2">
                  <c:v>130</c:v>
                </c:pt>
                <c:pt idx="3">
                  <c:v>191</c:v>
                </c:pt>
                <c:pt idx="4">
                  <c:v>204</c:v>
                </c:pt>
                <c:pt idx="5">
                  <c:v>285</c:v>
                </c:pt>
                <c:pt idx="6">
                  <c:v>377</c:v>
                </c:pt>
                <c:pt idx="7">
                  <c:v>653</c:v>
                </c:pt>
                <c:pt idx="8">
                  <c:v>949</c:v>
                </c:pt>
                <c:pt idx="9">
                  <c:v>1126</c:v>
                </c:pt>
                <c:pt idx="10">
                  <c:v>1209</c:v>
                </c:pt>
                <c:pt idx="11">
                  <c:v>1784</c:v>
                </c:pt>
                <c:pt idx="12">
                  <c:v>2281</c:v>
                </c:pt>
                <c:pt idx="13">
                  <c:v>2281</c:v>
                </c:pt>
                <c:pt idx="14">
                  <c:v>3661</c:v>
                </c:pt>
                <c:pt idx="15">
                  <c:v>4469</c:v>
                </c:pt>
                <c:pt idx="16">
                  <c:v>4499</c:v>
                </c:pt>
                <c:pt idx="17">
                  <c:v>6633</c:v>
                </c:pt>
                <c:pt idx="18">
                  <c:v>7652</c:v>
                </c:pt>
                <c:pt idx="19">
                  <c:v>9043</c:v>
                </c:pt>
                <c:pt idx="20">
                  <c:v>10871</c:v>
                </c:pt>
                <c:pt idx="21">
                  <c:v>12612</c:v>
                </c:pt>
                <c:pt idx="22">
                  <c:v>14282</c:v>
                </c:pt>
                <c:pt idx="23">
                  <c:v>16018</c:v>
                </c:pt>
                <c:pt idx="24">
                  <c:v>19856</c:v>
                </c:pt>
                <c:pt idx="25">
                  <c:v>22304</c:v>
                </c:pt>
                <c:pt idx="26">
                  <c:v>25233</c:v>
                </c:pt>
                <c:pt idx="27">
                  <c:v>29155</c:v>
                </c:pt>
                <c:pt idx="28">
                  <c:v>32964</c:v>
                </c:pt>
                <c:pt idx="29">
                  <c:v>37575</c:v>
                </c:pt>
                <c:pt idx="30">
                  <c:v>40174</c:v>
                </c:pt>
                <c:pt idx="31">
                  <c:v>44550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07-4821-BE0A-7753962BA910}"/>
            </c:ext>
          </c:extLst>
        </c:ser>
        <c:ser>
          <c:idx val="9"/>
          <c:order val="8"/>
          <c:tx>
            <c:strRef>
              <c:f>'General Dashboard'!$C$48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Dashboard'!$E$48:$BV$48</c:f>
              <c:numCache>
                <c:formatCode>General</c:formatCode>
                <c:ptCount val="70"/>
                <c:pt idx="0">
                  <c:v>79</c:v>
                </c:pt>
                <c:pt idx="1">
                  <c:v>130</c:v>
                </c:pt>
                <c:pt idx="2">
                  <c:v>159</c:v>
                </c:pt>
                <c:pt idx="3">
                  <c:v>196</c:v>
                </c:pt>
                <c:pt idx="4">
                  <c:v>262</c:v>
                </c:pt>
                <c:pt idx="5">
                  <c:v>482</c:v>
                </c:pt>
                <c:pt idx="6">
                  <c:v>670</c:v>
                </c:pt>
                <c:pt idx="7">
                  <c:v>799</c:v>
                </c:pt>
                <c:pt idx="8">
                  <c:v>1040</c:v>
                </c:pt>
                <c:pt idx="9">
                  <c:v>1176</c:v>
                </c:pt>
                <c:pt idx="10">
                  <c:v>1457</c:v>
                </c:pt>
                <c:pt idx="11">
                  <c:v>1908</c:v>
                </c:pt>
                <c:pt idx="12">
                  <c:v>2078</c:v>
                </c:pt>
                <c:pt idx="13">
                  <c:v>3675</c:v>
                </c:pt>
                <c:pt idx="14">
                  <c:v>4585</c:v>
                </c:pt>
                <c:pt idx="15">
                  <c:v>5795</c:v>
                </c:pt>
                <c:pt idx="16">
                  <c:v>7272</c:v>
                </c:pt>
                <c:pt idx="17">
                  <c:v>9257</c:v>
                </c:pt>
                <c:pt idx="18">
                  <c:v>12327</c:v>
                </c:pt>
                <c:pt idx="19">
                  <c:v>15320</c:v>
                </c:pt>
                <c:pt idx="20">
                  <c:v>19848</c:v>
                </c:pt>
                <c:pt idx="21">
                  <c:v>22213</c:v>
                </c:pt>
                <c:pt idx="22">
                  <c:v>24873</c:v>
                </c:pt>
                <c:pt idx="23">
                  <c:v>29056</c:v>
                </c:pt>
                <c:pt idx="24">
                  <c:v>32986</c:v>
                </c:pt>
                <c:pt idx="25">
                  <c:v>37323</c:v>
                </c:pt>
                <c:pt idx="26">
                  <c:v>43938</c:v>
                </c:pt>
                <c:pt idx="27">
                  <c:v>50871</c:v>
                </c:pt>
                <c:pt idx="28">
                  <c:v>57695</c:v>
                </c:pt>
                <c:pt idx="29">
                  <c:v>62095</c:v>
                </c:pt>
                <c:pt idx="30">
                  <c:v>66885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07-4821-BE0A-7753962BA910}"/>
            </c:ext>
          </c:extLst>
        </c:ser>
        <c:ser>
          <c:idx val="10"/>
          <c:order val="9"/>
          <c:tx>
            <c:strRef>
              <c:f>'General Dashboard'!$C$49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Dashboard'!$E$49:$BV$49</c:f>
              <c:numCache>
                <c:formatCode>General</c:formatCode>
                <c:ptCount val="70"/>
                <c:pt idx="0">
                  <c:v>56</c:v>
                </c:pt>
                <c:pt idx="1">
                  <c:v>62</c:v>
                </c:pt>
                <c:pt idx="2">
                  <c:v>73</c:v>
                </c:pt>
                <c:pt idx="3">
                  <c:v>82</c:v>
                </c:pt>
                <c:pt idx="4">
                  <c:v>102</c:v>
                </c:pt>
                <c:pt idx="5">
                  <c:v>113</c:v>
                </c:pt>
                <c:pt idx="6">
                  <c:v>119</c:v>
                </c:pt>
                <c:pt idx="7">
                  <c:v>142</c:v>
                </c:pt>
                <c:pt idx="8">
                  <c:v>156</c:v>
                </c:pt>
                <c:pt idx="9">
                  <c:v>194</c:v>
                </c:pt>
                <c:pt idx="10">
                  <c:v>244</c:v>
                </c:pt>
                <c:pt idx="11">
                  <c:v>330</c:v>
                </c:pt>
                <c:pt idx="12">
                  <c:v>396</c:v>
                </c:pt>
                <c:pt idx="13">
                  <c:v>499</c:v>
                </c:pt>
                <c:pt idx="14">
                  <c:v>536</c:v>
                </c:pt>
                <c:pt idx="15">
                  <c:v>657</c:v>
                </c:pt>
                <c:pt idx="16">
                  <c:v>727</c:v>
                </c:pt>
                <c:pt idx="17">
                  <c:v>887</c:v>
                </c:pt>
                <c:pt idx="18">
                  <c:v>987</c:v>
                </c:pt>
                <c:pt idx="19">
                  <c:v>1024</c:v>
                </c:pt>
                <c:pt idx="20">
                  <c:v>1251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07-4821-BE0A-7753962BA910}"/>
            </c:ext>
          </c:extLst>
        </c:ser>
        <c:ser>
          <c:idx val="11"/>
          <c:order val="10"/>
          <c:tx>
            <c:strRef>
              <c:f>'General Dashboard'!$C$50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Dashboard'!$E$50:$BV$50</c:f>
              <c:numCache>
                <c:formatCode>General</c:formatCode>
                <c:ptCount val="70"/>
                <c:pt idx="0">
                  <c:v>62</c:v>
                </c:pt>
                <c:pt idx="1">
                  <c:v>155</c:v>
                </c:pt>
                <c:pt idx="2">
                  <c:v>229</c:v>
                </c:pt>
                <c:pt idx="3">
                  <c:v>322</c:v>
                </c:pt>
                <c:pt idx="4">
                  <c:v>453</c:v>
                </c:pt>
                <c:pt idx="5">
                  <c:v>655</c:v>
                </c:pt>
                <c:pt idx="6">
                  <c:v>888</c:v>
                </c:pt>
                <c:pt idx="7">
                  <c:v>1128</c:v>
                </c:pt>
                <c:pt idx="8">
                  <c:v>1694</c:v>
                </c:pt>
                <c:pt idx="9">
                  <c:v>2036</c:v>
                </c:pt>
                <c:pt idx="10">
                  <c:v>2502</c:v>
                </c:pt>
                <c:pt idx="11">
                  <c:v>3089</c:v>
                </c:pt>
                <c:pt idx="12">
                  <c:v>3858</c:v>
                </c:pt>
                <c:pt idx="13">
                  <c:v>4636</c:v>
                </c:pt>
                <c:pt idx="14">
                  <c:v>5883</c:v>
                </c:pt>
                <c:pt idx="15">
                  <c:v>7375</c:v>
                </c:pt>
                <c:pt idx="16">
                  <c:v>9172</c:v>
                </c:pt>
                <c:pt idx="17">
                  <c:v>10149</c:v>
                </c:pt>
                <c:pt idx="18">
                  <c:v>12462</c:v>
                </c:pt>
                <c:pt idx="19">
                  <c:v>12462</c:v>
                </c:pt>
                <c:pt idx="20">
                  <c:v>17660</c:v>
                </c:pt>
                <c:pt idx="21">
                  <c:v>21157</c:v>
                </c:pt>
                <c:pt idx="22">
                  <c:v>24747</c:v>
                </c:pt>
                <c:pt idx="23">
                  <c:v>27980</c:v>
                </c:pt>
                <c:pt idx="24">
                  <c:v>31506</c:v>
                </c:pt>
                <c:pt idx="25">
                  <c:v>35713</c:v>
                </c:pt>
                <c:pt idx="26">
                  <c:v>41035</c:v>
                </c:pt>
                <c:pt idx="27">
                  <c:v>47021</c:v>
                </c:pt>
                <c:pt idx="28">
                  <c:v>53578</c:v>
                </c:pt>
                <c:pt idx="29">
                  <c:v>59138</c:v>
                </c:pt>
                <c:pt idx="30">
                  <c:v>63927</c:v>
                </c:pt>
                <c:pt idx="31">
                  <c:v>69176</c:v>
                </c:pt>
                <c:pt idx="32">
                  <c:v>74386</c:v>
                </c:pt>
                <c:pt idx="33">
                  <c:v>80589</c:v>
                </c:pt>
                <c:pt idx="34">
                  <c:v>86498</c:v>
                </c:pt>
                <c:pt idx="35">
                  <c:v>92472</c:v>
                </c:pt>
                <c:pt idx="36">
                  <c:v>97689</c:v>
                </c:pt>
                <c:pt idx="37">
                  <c:v>101739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07-4821-BE0A-7753962BA910}"/>
            </c:ext>
          </c:extLst>
        </c:ser>
        <c:ser>
          <c:idx val="12"/>
          <c:order val="11"/>
          <c:tx>
            <c:strRef>
              <c:f>'General Dashboard'!$C$51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Dashboard'!$E$51:$BV$51</c:f>
              <c:numCache>
                <c:formatCode>General</c:formatCode>
                <c:ptCount val="70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  <c:pt idx="34">
                  <c:v>9137</c:v>
                </c:pt>
                <c:pt idx="35">
                  <c:v>9241</c:v>
                </c:pt>
                <c:pt idx="36">
                  <c:v>9332</c:v>
                </c:pt>
                <c:pt idx="37">
                  <c:v>9478</c:v>
                </c:pt>
                <c:pt idx="38">
                  <c:v>9583</c:v>
                </c:pt>
                <c:pt idx="39">
                  <c:v>9661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07-4821-BE0A-7753962BA910}"/>
            </c:ext>
          </c:extLst>
        </c:ser>
        <c:ser>
          <c:idx val="13"/>
          <c:order val="12"/>
          <c:tx>
            <c:strRef>
              <c:f>'General Dashboard'!$C$52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Dashboard'!$E$52:$BV$52</c:f>
              <c:numCache>
                <c:formatCode>General</c:formatCode>
                <c:ptCount val="70"/>
                <c:pt idx="0">
                  <c:v>59</c:v>
                </c:pt>
                <c:pt idx="1">
                  <c:v>63</c:v>
                </c:pt>
                <c:pt idx="2">
                  <c:v>90</c:v>
                </c:pt>
                <c:pt idx="3">
                  <c:v>114</c:v>
                </c:pt>
                <c:pt idx="4">
                  <c:v>147</c:v>
                </c:pt>
                <c:pt idx="5">
                  <c:v>199</c:v>
                </c:pt>
                <c:pt idx="6">
                  <c:v>253</c:v>
                </c:pt>
                <c:pt idx="7">
                  <c:v>306</c:v>
                </c:pt>
                <c:pt idx="8">
                  <c:v>367</c:v>
                </c:pt>
                <c:pt idx="9">
                  <c:v>438</c:v>
                </c:pt>
                <c:pt idx="10">
                  <c:v>495</c:v>
                </c:pt>
                <c:pt idx="11">
                  <c:v>658</c:v>
                </c:pt>
                <c:pt idx="12">
                  <c:v>840</c:v>
                </c:pt>
                <c:pt idx="13">
                  <c:v>1036</c:v>
                </c:pt>
                <c:pt idx="14">
                  <c:v>1264</c:v>
                </c:pt>
                <c:pt idx="15">
                  <c:v>1534</c:v>
                </c:pt>
                <c:pt idx="16">
                  <c:v>1836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07-4821-BE0A-7753962BA910}"/>
            </c:ext>
          </c:extLst>
        </c:ser>
        <c:ser>
          <c:idx val="14"/>
          <c:order val="13"/>
          <c:tx>
            <c:strRef>
              <c:f>'General Dashboard'!$C$53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Dashboard'!$E$53:$BV$53</c:f>
              <c:numCache>
                <c:formatCode>General</c:formatCode>
                <c:ptCount val="70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35136</c:v>
                </c:pt>
                <c:pt idx="23">
                  <c:v>39885</c:v>
                </c:pt>
                <c:pt idx="24">
                  <c:v>49515</c:v>
                </c:pt>
                <c:pt idx="25">
                  <c:v>57786</c:v>
                </c:pt>
                <c:pt idx="26">
                  <c:v>65719</c:v>
                </c:pt>
                <c:pt idx="27">
                  <c:v>73235</c:v>
                </c:pt>
                <c:pt idx="28">
                  <c:v>80110</c:v>
                </c:pt>
                <c:pt idx="29">
                  <c:v>87956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707-4821-BE0A-7753962BA910}"/>
            </c:ext>
          </c:extLst>
        </c:ser>
        <c:ser>
          <c:idx val="15"/>
          <c:order val="14"/>
          <c:tx>
            <c:strRef>
              <c:f>'General Dashboard'!$C$54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Dashboard'!$E$54:$BV$54</c:f>
              <c:numCache>
                <c:formatCode>General</c:formatCode>
                <c:ptCount val="70"/>
                <c:pt idx="0">
                  <c:v>94</c:v>
                </c:pt>
                <c:pt idx="1">
                  <c:v>101</c:v>
                </c:pt>
                <c:pt idx="2">
                  <c:v>161</c:v>
                </c:pt>
                <c:pt idx="3">
                  <c:v>203</c:v>
                </c:pt>
                <c:pt idx="4">
                  <c:v>248</c:v>
                </c:pt>
                <c:pt idx="5">
                  <c:v>355</c:v>
                </c:pt>
                <c:pt idx="6">
                  <c:v>500</c:v>
                </c:pt>
                <c:pt idx="7">
                  <c:v>599</c:v>
                </c:pt>
                <c:pt idx="8">
                  <c:v>814</c:v>
                </c:pt>
                <c:pt idx="9">
                  <c:v>961</c:v>
                </c:pt>
                <c:pt idx="10">
                  <c:v>1022</c:v>
                </c:pt>
                <c:pt idx="11">
                  <c:v>1103</c:v>
                </c:pt>
                <c:pt idx="12">
                  <c:v>1190</c:v>
                </c:pt>
                <c:pt idx="13">
                  <c:v>1279</c:v>
                </c:pt>
                <c:pt idx="14">
                  <c:v>1439</c:v>
                </c:pt>
                <c:pt idx="15">
                  <c:v>1639</c:v>
                </c:pt>
                <c:pt idx="16">
                  <c:v>1763</c:v>
                </c:pt>
                <c:pt idx="17">
                  <c:v>1934</c:v>
                </c:pt>
                <c:pt idx="18">
                  <c:v>2046</c:v>
                </c:pt>
                <c:pt idx="19">
                  <c:v>2286</c:v>
                </c:pt>
                <c:pt idx="20">
                  <c:v>2526</c:v>
                </c:pt>
                <c:pt idx="21">
                  <c:v>2840</c:v>
                </c:pt>
                <c:pt idx="22">
                  <c:v>3069</c:v>
                </c:pt>
                <c:pt idx="23">
                  <c:v>3447</c:v>
                </c:pt>
                <c:pt idx="24">
                  <c:v>3700</c:v>
                </c:pt>
                <c:pt idx="25">
                  <c:v>4028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707-4821-BE0A-7753962BA910}"/>
            </c:ext>
          </c:extLst>
        </c:ser>
        <c:ser>
          <c:idx val="16"/>
          <c:order val="15"/>
          <c:tx>
            <c:strRef>
              <c:f>'General Dashboard'!$C$55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Dashboard'!$E$55:$BV$55</c:f>
              <c:numCache>
                <c:formatCode>General</c:formatCode>
                <c:ptCount val="70"/>
                <c:pt idx="0">
                  <c:v>56</c:v>
                </c:pt>
                <c:pt idx="1">
                  <c:v>90</c:v>
                </c:pt>
                <c:pt idx="2">
                  <c:v>114</c:v>
                </c:pt>
                <c:pt idx="3">
                  <c:v>214</c:v>
                </c:pt>
                <c:pt idx="4">
                  <c:v>268</c:v>
                </c:pt>
                <c:pt idx="5">
                  <c:v>337</c:v>
                </c:pt>
                <c:pt idx="6">
                  <c:v>374</c:v>
                </c:pt>
                <c:pt idx="7">
                  <c:v>491</c:v>
                </c:pt>
                <c:pt idx="8">
                  <c:v>652</c:v>
                </c:pt>
                <c:pt idx="9">
                  <c:v>652</c:v>
                </c:pt>
                <c:pt idx="10">
                  <c:v>1139</c:v>
                </c:pt>
                <c:pt idx="11">
                  <c:v>1359</c:v>
                </c:pt>
                <c:pt idx="12">
                  <c:v>2200</c:v>
                </c:pt>
                <c:pt idx="13">
                  <c:v>2200</c:v>
                </c:pt>
                <c:pt idx="14">
                  <c:v>2700</c:v>
                </c:pt>
                <c:pt idx="15">
                  <c:v>3028</c:v>
                </c:pt>
                <c:pt idx="16">
                  <c:v>4075</c:v>
                </c:pt>
                <c:pt idx="17">
                  <c:v>5294</c:v>
                </c:pt>
                <c:pt idx="18">
                  <c:v>6575</c:v>
                </c:pt>
                <c:pt idx="19">
                  <c:v>7474</c:v>
                </c:pt>
                <c:pt idx="20">
                  <c:v>8795</c:v>
                </c:pt>
                <c:pt idx="21">
                  <c:v>9877</c:v>
                </c:pt>
                <c:pt idx="22">
                  <c:v>10897</c:v>
                </c:pt>
                <c:pt idx="23">
                  <c:v>11811</c:v>
                </c:pt>
                <c:pt idx="24">
                  <c:v>12928</c:v>
                </c:pt>
                <c:pt idx="25">
                  <c:v>14076</c:v>
                </c:pt>
                <c:pt idx="26">
                  <c:v>14829</c:v>
                </c:pt>
                <c:pt idx="27">
                  <c:v>15922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07-4821-BE0A-7753962BA910}"/>
            </c:ext>
          </c:extLst>
        </c:ser>
        <c:ser>
          <c:idx val="17"/>
          <c:order val="16"/>
          <c:tx>
            <c:strRef>
              <c:f>'General Dashboard'!$C$56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Dashboard'!$E$56:$BV$56</c:f>
              <c:numCache>
                <c:formatCode>General</c:formatCode>
                <c:ptCount val="70"/>
                <c:pt idx="0">
                  <c:v>51</c:v>
                </c:pt>
                <c:pt idx="1">
                  <c:v>51</c:v>
                </c:pt>
                <c:pt idx="2">
                  <c:v>57</c:v>
                </c:pt>
                <c:pt idx="3">
                  <c:v>58</c:v>
                </c:pt>
                <c:pt idx="4">
                  <c:v>60</c:v>
                </c:pt>
                <c:pt idx="5">
                  <c:v>68</c:v>
                </c:pt>
                <c:pt idx="6">
                  <c:v>74</c:v>
                </c:pt>
                <c:pt idx="7">
                  <c:v>98</c:v>
                </c:pt>
                <c:pt idx="8">
                  <c:v>118</c:v>
                </c:pt>
                <c:pt idx="9">
                  <c:v>149</c:v>
                </c:pt>
                <c:pt idx="10">
                  <c:v>217</c:v>
                </c:pt>
                <c:pt idx="11">
                  <c:v>262</c:v>
                </c:pt>
                <c:pt idx="12">
                  <c:v>402</c:v>
                </c:pt>
                <c:pt idx="13">
                  <c:v>518</c:v>
                </c:pt>
                <c:pt idx="14">
                  <c:v>583</c:v>
                </c:pt>
                <c:pt idx="15">
                  <c:v>959</c:v>
                </c:pt>
                <c:pt idx="16">
                  <c:v>1281</c:v>
                </c:pt>
                <c:pt idx="17">
                  <c:v>1663</c:v>
                </c:pt>
                <c:pt idx="18">
                  <c:v>2179</c:v>
                </c:pt>
                <c:pt idx="19">
                  <c:v>2727</c:v>
                </c:pt>
                <c:pt idx="20">
                  <c:v>3499</c:v>
                </c:pt>
                <c:pt idx="21">
                  <c:v>4632</c:v>
                </c:pt>
                <c:pt idx="22">
                  <c:v>6421</c:v>
                </c:pt>
                <c:pt idx="23">
                  <c:v>7783</c:v>
                </c:pt>
                <c:pt idx="24">
                  <c:v>13677</c:v>
                </c:pt>
                <c:pt idx="25">
                  <c:v>19100</c:v>
                </c:pt>
                <c:pt idx="26">
                  <c:v>25489</c:v>
                </c:pt>
                <c:pt idx="27">
                  <c:v>33276</c:v>
                </c:pt>
                <c:pt idx="28">
                  <c:v>43847</c:v>
                </c:pt>
                <c:pt idx="29">
                  <c:v>53740</c:v>
                </c:pt>
                <c:pt idx="30">
                  <c:v>65778</c:v>
                </c:pt>
                <c:pt idx="31">
                  <c:v>83836</c:v>
                </c:pt>
                <c:pt idx="32">
                  <c:v>101657</c:v>
                </c:pt>
                <c:pt idx="33">
                  <c:v>121478</c:v>
                </c:pt>
                <c:pt idx="34">
                  <c:v>140886</c:v>
                </c:pt>
                <c:pt idx="35">
                  <c:v>161807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07-4821-BE0A-7753962BA910}"/>
            </c:ext>
          </c:extLst>
        </c:ser>
        <c:ser>
          <c:idx val="18"/>
          <c:order val="17"/>
          <c:tx>
            <c:strRef>
              <c:f>'General Dashboard'!$C$57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Dashboard'!$E$57:$BV$57</c:f>
              <c:numCache>
                <c:formatCode>General</c:formatCode>
                <c:ptCount val="70"/>
                <c:pt idx="0">
                  <c:v>51</c:v>
                </c:pt>
                <c:pt idx="1">
                  <c:v>85</c:v>
                </c:pt>
                <c:pt idx="2">
                  <c:v>115</c:v>
                </c:pt>
                <c:pt idx="3">
                  <c:v>163</c:v>
                </c:pt>
                <c:pt idx="4">
                  <c:v>206</c:v>
                </c:pt>
                <c:pt idx="5">
                  <c:v>273</c:v>
                </c:pt>
                <c:pt idx="6">
                  <c:v>321</c:v>
                </c:pt>
                <c:pt idx="7">
                  <c:v>382</c:v>
                </c:pt>
                <c:pt idx="8">
                  <c:v>456</c:v>
                </c:pt>
                <c:pt idx="9">
                  <c:v>456</c:v>
                </c:pt>
                <c:pt idx="10">
                  <c:v>798</c:v>
                </c:pt>
                <c:pt idx="11">
                  <c:v>1140</c:v>
                </c:pt>
                <c:pt idx="12">
                  <c:v>1140</c:v>
                </c:pt>
                <c:pt idx="13">
                  <c:v>1543</c:v>
                </c:pt>
                <c:pt idx="14">
                  <c:v>1950</c:v>
                </c:pt>
                <c:pt idx="15">
                  <c:v>2626</c:v>
                </c:pt>
                <c:pt idx="16">
                  <c:v>2689</c:v>
                </c:pt>
                <c:pt idx="17">
                  <c:v>3983</c:v>
                </c:pt>
                <c:pt idx="18">
                  <c:v>5018</c:v>
                </c:pt>
                <c:pt idx="19">
                  <c:v>5683</c:v>
                </c:pt>
                <c:pt idx="20">
                  <c:v>6650</c:v>
                </c:pt>
                <c:pt idx="21">
                  <c:v>8077</c:v>
                </c:pt>
                <c:pt idx="22">
                  <c:v>9529</c:v>
                </c:pt>
                <c:pt idx="23">
                  <c:v>11658</c:v>
                </c:pt>
                <c:pt idx="24">
                  <c:v>14543</c:v>
                </c:pt>
                <c:pt idx="25">
                  <c:v>17089</c:v>
                </c:pt>
                <c:pt idx="26">
                  <c:v>19522</c:v>
                </c:pt>
                <c:pt idx="27">
                  <c:v>22141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707-4821-BE0A-7753962BA910}"/>
            </c:ext>
          </c:extLst>
        </c:ser>
        <c:ser>
          <c:idx val="19"/>
          <c:order val="18"/>
          <c:tx>
            <c:strRef>
              <c:f>'General Dashboard'!$C$58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Dashboard'!$E$58:$BV$58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707-4821-BE0A-7753962BA910}"/>
            </c:ext>
          </c:extLst>
        </c:ser>
        <c:ser>
          <c:idx val="20"/>
          <c:order val="19"/>
          <c:tx>
            <c:strRef>
              <c:f>'General Dashboard'!$C$59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Dashboard'!$E$59:$BV$59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707-4821-BE0A-7753962BA910}"/>
            </c:ext>
          </c:extLst>
        </c:ser>
        <c:ser>
          <c:idx val="21"/>
          <c:order val="20"/>
          <c:tx>
            <c:strRef>
              <c:f>'General Dashboard'!$C$60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Dashboard'!$E$60:$BV$60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707-4821-BE0A-7753962BA910}"/>
            </c:ext>
          </c:extLst>
        </c:ser>
        <c:ser>
          <c:idx val="22"/>
          <c:order val="21"/>
          <c:tx>
            <c:strRef>
              <c:f>'General Dashboard'!$C$61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Dashboard'!$E$61:$BV$61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707-4821-BE0A-7753962BA910}"/>
            </c:ext>
          </c:extLst>
        </c:ser>
        <c:ser>
          <c:idx val="23"/>
          <c:order val="22"/>
          <c:tx>
            <c:strRef>
              <c:f>'General Dashboard'!$C$62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Dashboard'!$E$62:$BV$62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07-4821-BE0A-7753962BA910}"/>
            </c:ext>
          </c:extLst>
        </c:ser>
        <c:ser>
          <c:idx val="24"/>
          <c:order val="23"/>
          <c:tx>
            <c:strRef>
              <c:f>'General Dashboard'!$C$63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Dashboard'!$E$63:$BV$63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707-4821-BE0A-7753962BA910}"/>
            </c:ext>
          </c:extLst>
        </c:ser>
        <c:ser>
          <c:idx val="25"/>
          <c:order val="24"/>
          <c:tx>
            <c:strRef>
              <c:f>'General Dashboard'!$C$64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Dashboard'!$E$64:$BV$64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707-4821-BE0A-7753962BA910}"/>
            </c:ext>
          </c:extLst>
        </c:ser>
        <c:ser>
          <c:idx val="26"/>
          <c:order val="25"/>
          <c:tx>
            <c:strRef>
              <c:f>'General Dashboard'!$C$65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Dashboard'!$E$65:$BV$65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707-4821-BE0A-7753962BA910}"/>
            </c:ext>
          </c:extLst>
        </c:ser>
        <c:ser>
          <c:idx val="27"/>
          <c:order val="26"/>
          <c:tx>
            <c:strRef>
              <c:f>'General Dashboard'!$C$66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Dashboard'!$E$66:$BV$66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707-4821-BE0A-7753962BA910}"/>
            </c:ext>
          </c:extLst>
        </c:ser>
        <c:ser>
          <c:idx val="28"/>
          <c:order val="27"/>
          <c:tx>
            <c:strRef>
              <c:f>'General Dashboard'!$C$67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Dashboard'!$E$67:$BV$67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707-4821-BE0A-7753962BA910}"/>
            </c:ext>
          </c:extLst>
        </c:ser>
        <c:ser>
          <c:idx val="29"/>
          <c:order val="28"/>
          <c:tx>
            <c:strRef>
              <c:f>'General Dashboard'!$C$68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Dashboard'!$E$68:$BV$68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707-4821-BE0A-7753962BA910}"/>
            </c:ext>
          </c:extLst>
        </c:ser>
        <c:ser>
          <c:idx val="30"/>
          <c:order val="29"/>
          <c:tx>
            <c:strRef>
              <c:f>'General Dashboard'!$C$69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Dashboard'!$E$69:$BV$69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707-4821-BE0A-7753962BA910}"/>
            </c:ext>
          </c:extLst>
        </c:ser>
        <c:ser>
          <c:idx val="31"/>
          <c:order val="30"/>
          <c:tx>
            <c:strRef>
              <c:f>'General Dashboard'!$C$70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Dashboard'!$E$70:$BV$70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707-4821-BE0A-7753962BA910}"/>
            </c:ext>
          </c:extLst>
        </c:ser>
        <c:ser>
          <c:idx val="32"/>
          <c:order val="31"/>
          <c:tx>
            <c:strRef>
              <c:f>'General Dashboard'!$C$71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Dashboard'!$E$71:$BV$71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707-4821-BE0A-7753962BA910}"/>
            </c:ext>
          </c:extLst>
        </c:ser>
        <c:ser>
          <c:idx val="33"/>
          <c:order val="32"/>
          <c:tx>
            <c:strRef>
              <c:f>'General Dashboard'!$C$72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Dashboard'!$E$72:$BV$72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07-4821-BE0A-7753962BA910}"/>
            </c:ext>
          </c:extLst>
        </c:ser>
        <c:ser>
          <c:idx val="34"/>
          <c:order val="33"/>
          <c:tx>
            <c:strRef>
              <c:f>'General Dashboard'!$C$73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Dashboard'!$E$73:$BV$73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707-4821-BE0A-7753962BA910}"/>
            </c:ext>
          </c:extLst>
        </c:ser>
        <c:ser>
          <c:idx val="35"/>
          <c:order val="34"/>
          <c:tx>
            <c:strRef>
              <c:f>'General Dashboard'!$C$74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Dashboard'!$E$74:$BV$74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707-4821-BE0A-7753962BA910}"/>
            </c:ext>
          </c:extLst>
        </c:ser>
        <c:ser>
          <c:idx val="36"/>
          <c:order val="35"/>
          <c:tx>
            <c:strRef>
              <c:f>'General Dashboard'!$C$75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Dashboard'!$E$75:$BV$75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707-4821-BE0A-7753962BA910}"/>
            </c:ext>
          </c:extLst>
        </c:ser>
        <c:ser>
          <c:idx val="37"/>
          <c:order val="36"/>
          <c:tx>
            <c:strRef>
              <c:f>'General Dashboard'!$C$76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Dashboard'!$E$76:$BV$76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707-4821-BE0A-7753962BA910}"/>
            </c:ext>
          </c:extLst>
        </c:ser>
        <c:ser>
          <c:idx val="38"/>
          <c:order val="37"/>
          <c:tx>
            <c:strRef>
              <c:f>'General Dashboard'!$C$77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Dashboard'!$E$77:$BV$77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707-4821-BE0A-7753962BA910}"/>
            </c:ext>
          </c:extLst>
        </c:ser>
        <c:ser>
          <c:idx val="39"/>
          <c:order val="38"/>
          <c:tx>
            <c:strRef>
              <c:f>'General Dashboard'!$C$78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Dashboard'!$E$78:$BV$78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707-4821-BE0A-7753962BA910}"/>
            </c:ext>
          </c:extLst>
        </c:ser>
        <c:ser>
          <c:idx val="40"/>
          <c:order val="39"/>
          <c:tx>
            <c:strRef>
              <c:f>'General Dashboard'!$C$79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Dashboard'!$E$79:$BV$79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707-4821-BE0A-7753962BA910}"/>
            </c:ext>
          </c:extLst>
        </c:ser>
        <c:ser>
          <c:idx val="41"/>
          <c:order val="40"/>
          <c:tx>
            <c:strRef>
              <c:f>'General Dashboard'!$C$80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Dashboard'!$E$80:$BV$80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707-4821-BE0A-7753962BA910}"/>
            </c:ext>
          </c:extLst>
        </c:ser>
        <c:ser>
          <c:idx val="42"/>
          <c:order val="41"/>
          <c:tx>
            <c:strRef>
              <c:f>'General Dashboard'!$C$81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Dashboard'!$E$81:$BV$81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707-4821-BE0A-7753962BA910}"/>
            </c:ext>
          </c:extLst>
        </c:ser>
        <c:ser>
          <c:idx val="43"/>
          <c:order val="42"/>
          <c:tx>
            <c:strRef>
              <c:f>'General Dashboard'!$C$82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Dashboard'!$E$82:$BV$82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07-4821-BE0A-7753962BA910}"/>
            </c:ext>
          </c:extLst>
        </c:ser>
        <c:ser>
          <c:idx val="44"/>
          <c:order val="43"/>
          <c:tx>
            <c:strRef>
              <c:f>'General Dashboard'!$C$83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Dashboard'!$E$83:$BV$83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707-4821-BE0A-7753962BA910}"/>
            </c:ext>
          </c:extLst>
        </c:ser>
        <c:ser>
          <c:idx val="45"/>
          <c:order val="44"/>
          <c:tx>
            <c:strRef>
              <c:f>'General Dashboard'!$C$84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Dashboard'!$E$84:$BV$84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07-4821-BE0A-7753962BA910}"/>
            </c:ext>
          </c:extLst>
        </c:ser>
        <c:ser>
          <c:idx val="46"/>
          <c:order val="45"/>
          <c:tx>
            <c:strRef>
              <c:f>'General Dashboard'!$C$85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Dashboard'!$E$85:$BV$85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707-4821-BE0A-7753962BA910}"/>
            </c:ext>
          </c:extLst>
        </c:ser>
        <c:ser>
          <c:idx val="47"/>
          <c:order val="46"/>
          <c:tx>
            <c:strRef>
              <c:f>'General Dashboard'!$C$86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Dashboard'!$E$86:$BV$86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707-4821-BE0A-7753962BA910}"/>
            </c:ext>
          </c:extLst>
        </c:ser>
        <c:ser>
          <c:idx val="48"/>
          <c:order val="47"/>
          <c:tx>
            <c:strRef>
              <c:f>'General Dashboard'!$C$87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Dashboard'!$E$87:$BV$87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707-4821-BE0A-7753962BA910}"/>
            </c:ext>
          </c:extLst>
        </c:ser>
        <c:ser>
          <c:idx val="49"/>
          <c:order val="48"/>
          <c:tx>
            <c:strRef>
              <c:f>'General Dashboard'!$C$88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Dashboard'!$E$88:$BV$88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707-4821-BE0A-7753962BA910}"/>
            </c:ext>
          </c:extLst>
        </c:ser>
        <c:ser>
          <c:idx val="50"/>
          <c:order val="49"/>
          <c:tx>
            <c:strRef>
              <c:f>'General Dashboard'!$C$89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Dashboard'!$E$89:$BV$89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707-4821-BE0A-7753962BA910}"/>
            </c:ext>
          </c:extLst>
        </c:ser>
        <c:ser>
          <c:idx val="51"/>
          <c:order val="50"/>
          <c:tx>
            <c:strRef>
              <c:f>'General Dashboard'!$C$90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Dashboard'!$E$90:$BV$90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707-4821-BE0A-7753962BA910}"/>
            </c:ext>
          </c:extLst>
        </c:ser>
        <c:ser>
          <c:idx val="52"/>
          <c:order val="51"/>
          <c:tx>
            <c:strRef>
              <c:f>'General Dashboard'!$C$91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Dashboard'!$E$91:$BV$91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707-4821-BE0A-7753962BA910}"/>
            </c:ext>
          </c:extLst>
        </c:ser>
        <c:ser>
          <c:idx val="53"/>
          <c:order val="52"/>
          <c:tx>
            <c:strRef>
              <c:f>'General Dashboard'!$C$92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Dashboard'!$E$92:$BV$92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707-4821-BE0A-7753962BA910}"/>
            </c:ext>
          </c:extLst>
        </c:ser>
        <c:ser>
          <c:idx val="54"/>
          <c:order val="53"/>
          <c:tx>
            <c:strRef>
              <c:f>'General Dashboard'!$C$93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Dashboard'!$E$93:$BV$93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707-4821-BE0A-7753962BA910}"/>
            </c:ext>
          </c:extLst>
        </c:ser>
        <c:ser>
          <c:idx val="55"/>
          <c:order val="54"/>
          <c:tx>
            <c:strRef>
              <c:f>'General Dashboard'!$C$94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Dashboard'!$E$94:$BV$94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707-4821-BE0A-7753962BA910}"/>
            </c:ext>
          </c:extLst>
        </c:ser>
        <c:ser>
          <c:idx val="56"/>
          <c:order val="55"/>
          <c:tx>
            <c:strRef>
              <c:f>'General Dashboard'!$C$95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Dashboard'!$E$95:$BV$95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707-4821-BE0A-7753962BA910}"/>
            </c:ext>
          </c:extLst>
        </c:ser>
        <c:ser>
          <c:idx val="57"/>
          <c:order val="56"/>
          <c:tx>
            <c:strRef>
              <c:f>'General Dashboard'!$C$96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Dashboard'!$E$96:$BV$96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707-4821-BE0A-7753962BA910}"/>
            </c:ext>
          </c:extLst>
        </c:ser>
        <c:ser>
          <c:idx val="58"/>
          <c:order val="57"/>
          <c:tx>
            <c:strRef>
              <c:f>'General Dashboard'!$C$97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Dashboard'!$E$97:$BV$97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707-4821-BE0A-7753962BA910}"/>
            </c:ext>
          </c:extLst>
        </c:ser>
        <c:ser>
          <c:idx val="59"/>
          <c:order val="58"/>
          <c:tx>
            <c:strRef>
              <c:f>'General Dashboard'!$C$98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Dashboard'!$E$98:$BV$98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707-4821-BE0A-7753962BA910}"/>
            </c:ext>
          </c:extLst>
        </c:ser>
        <c:ser>
          <c:idx val="60"/>
          <c:order val="59"/>
          <c:tx>
            <c:strRef>
              <c:f>'General Dashboard'!$C$102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Dashboard'!$E$102:$BV$102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707-4821-BE0A-7753962B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22590623465515"/>
          <c:y val="7.9469712203418287E-3"/>
          <c:w val="0.21617675283467058"/>
          <c:h val="0.992053028779658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'General Dashboard'!$C$106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0.61067698762590772</c:v>
                </c:pt>
                <c:pt idx="1">
                  <c:v>0.87715421858994025</c:v>
                </c:pt>
                <c:pt idx="2">
                  <c:v>1.1547346675108072</c:v>
                </c:pt>
                <c:pt idx="3">
                  <c:v>1.4545215523453439</c:v>
                </c:pt>
                <c:pt idx="4">
                  <c:v>2.0207856681439127</c:v>
                </c:pt>
                <c:pt idx="5">
                  <c:v>2.7313916173813326</c:v>
                </c:pt>
                <c:pt idx="6">
                  <c:v>3.3531718229640748</c:v>
                </c:pt>
                <c:pt idx="7">
                  <c:v>5.5960218502446812</c:v>
                </c:pt>
                <c:pt idx="8">
                  <c:v>7.2726077617267197</c:v>
                </c:pt>
                <c:pt idx="9">
                  <c:v>9.5487674428778302</c:v>
                </c:pt>
                <c:pt idx="10">
                  <c:v>11.30307588005771</c:v>
                </c:pt>
                <c:pt idx="11">
                  <c:v>14.789486318503801</c:v>
                </c:pt>
                <c:pt idx="12">
                  <c:v>18.275896756949894</c:v>
                </c:pt>
                <c:pt idx="13">
                  <c:v>22.350777747108221</c:v>
                </c:pt>
                <c:pt idx="14">
                  <c:v>26.514484480921233</c:v>
                </c:pt>
                <c:pt idx="15">
                  <c:v>31.244455330532805</c:v>
                </c:pt>
                <c:pt idx="16">
                  <c:v>39.771726721381846</c:v>
                </c:pt>
                <c:pt idx="17">
                  <c:v>49.675797138878387</c:v>
                </c:pt>
                <c:pt idx="18">
                  <c:v>58.658300465957645</c:v>
                </c:pt>
                <c:pt idx="19">
                  <c:v>62.04478194279222</c:v>
                </c:pt>
                <c:pt idx="20">
                  <c:v>76.712132863770847</c:v>
                </c:pt>
                <c:pt idx="21">
                  <c:v>85.01733989548319</c:v>
                </c:pt>
                <c:pt idx="22">
                  <c:v>91.834715720979688</c:v>
                </c:pt>
                <c:pt idx="23">
                  <c:v>97.575079404663228</c:v>
                </c:pt>
                <c:pt idx="24">
                  <c:v>106.79075030883601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Dashboard'!$C$107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0.43142041807572173</c:v>
                </c:pt>
                <c:pt idx="1">
                  <c:v>0.94049651140507329</c:v>
                </c:pt>
                <c:pt idx="2">
                  <c:v>1.4582010130959393</c:v>
                </c:pt>
                <c:pt idx="3">
                  <c:v>1.7256816723028869</c:v>
                </c:pt>
                <c:pt idx="4">
                  <c:v>2.0621895984019494</c:v>
                </c:pt>
                <c:pt idx="5">
                  <c:v>2.3037850325243538</c:v>
                </c:pt>
                <c:pt idx="6">
                  <c:v>2.709320225515532</c:v>
                </c:pt>
                <c:pt idx="7">
                  <c:v>2.709320225515532</c:v>
                </c:pt>
                <c:pt idx="8">
                  <c:v>4.8232802740865681</c:v>
                </c:pt>
                <c:pt idx="9">
                  <c:v>5.944973361083445</c:v>
                </c:pt>
                <c:pt idx="10">
                  <c:v>7.6447698083017883</c:v>
                </c:pt>
                <c:pt idx="11">
                  <c:v>9.1288560464822712</c:v>
                </c:pt>
                <c:pt idx="12">
                  <c:v>10.725111593362442</c:v>
                </c:pt>
                <c:pt idx="13">
                  <c:v>12.821814825210447</c:v>
                </c:pt>
                <c:pt idx="14">
                  <c:v>15.48799300891841</c:v>
                </c:pt>
                <c:pt idx="15">
                  <c:v>19.474317671938078</c:v>
                </c:pt>
                <c:pt idx="16">
                  <c:v>24.288969537663132</c:v>
                </c:pt>
                <c:pt idx="17">
                  <c:v>29.345216837510588</c:v>
                </c:pt>
                <c:pt idx="18">
                  <c:v>32.296132497148527</c:v>
                </c:pt>
                <c:pt idx="19">
                  <c:v>36.834675295305118</c:v>
                </c:pt>
                <c:pt idx="20">
                  <c:v>42.598452080796761</c:v>
                </c:pt>
                <c:pt idx="21">
                  <c:v>53.798126134042498</c:v>
                </c:pt>
                <c:pt idx="22">
                  <c:v>62.849326505271137</c:v>
                </c:pt>
                <c:pt idx="23">
                  <c:v>78.811881974072847</c:v>
                </c:pt>
                <c:pt idx="24">
                  <c:v>93.497433005370411</c:v>
                </c:pt>
                <c:pt idx="25">
                  <c:v>102.66943109366025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0.14307609470302093</c:v>
                </c:pt>
                <c:pt idx="1">
                  <c:v>0.16957166779617294</c:v>
                </c:pt>
                <c:pt idx="2">
                  <c:v>0.20401591281727058</c:v>
                </c:pt>
                <c:pt idx="3">
                  <c:v>0.20931502743590097</c:v>
                </c:pt>
                <c:pt idx="4">
                  <c:v>0.28615218940604187</c:v>
                </c:pt>
                <c:pt idx="5">
                  <c:v>0.30999820518987869</c:v>
                </c:pt>
                <c:pt idx="6">
                  <c:v>0.50606544607920356</c:v>
                </c:pt>
                <c:pt idx="7">
                  <c:v>0.51931323262577966</c:v>
                </c:pt>
                <c:pt idx="8">
                  <c:v>0.66238932732880051</c:v>
                </c:pt>
                <c:pt idx="9">
                  <c:v>1.0942671687471786</c:v>
                </c:pt>
                <c:pt idx="10">
                  <c:v>1.2452919353781451</c:v>
                </c:pt>
                <c:pt idx="11">
                  <c:v>1.7169131364362511</c:v>
                </c:pt>
                <c:pt idx="12">
                  <c:v>2.0957998316683248</c:v>
                </c:pt>
                <c:pt idx="13">
                  <c:v>2.472036969591084</c:v>
                </c:pt>
                <c:pt idx="14">
                  <c:v>3.3569891109023611</c:v>
                </c:pt>
                <c:pt idx="15">
                  <c:v>3.8577554423629348</c:v>
                </c:pt>
                <c:pt idx="16">
                  <c:v>5.4978314168290447</c:v>
                </c:pt>
                <c:pt idx="17">
                  <c:v>7.3578206479683166</c:v>
                </c:pt>
                <c:pt idx="18">
                  <c:v>8.579266567562625</c:v>
                </c:pt>
                <c:pt idx="19">
                  <c:v>10.67506639923095</c:v>
                </c:pt>
                <c:pt idx="20">
                  <c:v>12.370783077192678</c:v>
                </c:pt>
                <c:pt idx="21">
                  <c:v>14.739487311720469</c:v>
                </c:pt>
                <c:pt idx="22">
                  <c:v>16.604775657478374</c:v>
                </c:pt>
                <c:pt idx="23">
                  <c:v>19.566980729292769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Dashboard'!$C$109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3.8073434840556683E-2</c:v>
                </c:pt>
                <c:pt idx="1">
                  <c:v>4.4673756573864867E-2</c:v>
                </c:pt>
                <c:pt idx="2">
                  <c:v>6.3918905206773999E-2</c:v>
                </c:pt>
                <c:pt idx="3">
                  <c:v>9.7684761652961125E-2</c:v>
                </c:pt>
                <c:pt idx="4">
                  <c:v>0.14416492206962611</c:v>
                </c:pt>
                <c:pt idx="5">
                  <c:v>0.19988553291292255</c:v>
                </c:pt>
                <c:pt idx="6">
                  <c:v>0.38274918346099773</c:v>
                </c:pt>
                <c:pt idx="7">
                  <c:v>0.42290693042786226</c:v>
                </c:pt>
                <c:pt idx="8">
                  <c:v>0.56561283400907292</c:v>
                </c:pt>
                <c:pt idx="9">
                  <c:v>0.68101424873565064</c:v>
                </c:pt>
                <c:pt idx="10">
                  <c:v>0.82615184979755385</c:v>
                </c:pt>
                <c:pt idx="11">
                  <c:v>1.1554036886833168</c:v>
                </c:pt>
                <c:pt idx="12">
                  <c:v>1.3698099294095174</c:v>
                </c:pt>
                <c:pt idx="13">
                  <c:v>1.647092919279338</c:v>
                </c:pt>
                <c:pt idx="14">
                  <c:v>1.9064508248629113</c:v>
                </c:pt>
                <c:pt idx="15">
                  <c:v>2.1250951669126041</c:v>
                </c:pt>
                <c:pt idx="16">
                  <c:v>2.3698628876120225</c:v>
                </c:pt>
                <c:pt idx="17">
                  <c:v>2.5577288872632367</c:v>
                </c:pt>
                <c:pt idx="18">
                  <c:v>2.7672022559571752</c:v>
                </c:pt>
                <c:pt idx="19">
                  <c:v>2.9426318599214194</c:v>
                </c:pt>
                <c:pt idx="20">
                  <c:v>3.0838092679433373</c:v>
                </c:pt>
                <c:pt idx="21">
                  <c:v>3.1097242153804316</c:v>
                </c:pt>
                <c:pt idx="22">
                  <c:v>4.1613291601736178</c:v>
                </c:pt>
                <c:pt idx="23">
                  <c:v>4.6103594692512049</c:v>
                </c:pt>
                <c:pt idx="24">
                  <c:v>4.7531348499032928</c:v>
                </c:pt>
                <c:pt idx="25">
                  <c:v>4.8990366987448413</c:v>
                </c:pt>
                <c:pt idx="26">
                  <c:v>5.0325021518994211</c:v>
                </c:pt>
                <c:pt idx="27">
                  <c:v>5.1559629068477228</c:v>
                </c:pt>
                <c:pt idx="28">
                  <c:v>5.1843095517655087</c:v>
                </c:pt>
                <c:pt idx="29">
                  <c:v>5.2161300502271422</c:v>
                </c:pt>
                <c:pt idx="30">
                  <c:v>5.2489927047519291</c:v>
                </c:pt>
                <c:pt idx="31">
                  <c:v>5.3498039345943527</c:v>
                </c:pt>
                <c:pt idx="32">
                  <c:v>5.3512629530827676</c:v>
                </c:pt>
                <c:pt idx="33">
                  <c:v>5.3664784316048149</c:v>
                </c:pt>
                <c:pt idx="34">
                  <c:v>5.4021201689646796</c:v>
                </c:pt>
                <c:pt idx="35">
                  <c:v>5.4307447221659739</c:v>
                </c:pt>
                <c:pt idx="36">
                  <c:v>5.46089777092656</c:v>
                </c:pt>
                <c:pt idx="37">
                  <c:v>5.483686250174193</c:v>
                </c:pt>
                <c:pt idx="38">
                  <c:v>5.5134224365095186</c:v>
                </c:pt>
                <c:pt idx="39">
                  <c:v>5.5534412293346289</c:v>
                </c:pt>
                <c:pt idx="40">
                  <c:v>5.5676145517935218</c:v>
                </c:pt>
                <c:pt idx="41">
                  <c:v>5.5762991856531379</c:v>
                </c:pt>
                <c:pt idx="42">
                  <c:v>5.5849838195127548</c:v>
                </c:pt>
                <c:pt idx="43">
                  <c:v>5.5954748572151711</c:v>
                </c:pt>
                <c:pt idx="44">
                  <c:v>5.6061048490593404</c:v>
                </c:pt>
                <c:pt idx="45">
                  <c:v>5.611663014729495</c:v>
                </c:pt>
                <c:pt idx="46">
                  <c:v>5.6153452994859716</c:v>
                </c:pt>
                <c:pt idx="47">
                  <c:v>5.6179159511084187</c:v>
                </c:pt>
                <c:pt idx="48">
                  <c:v>5.6197918320220959</c:v>
                </c:pt>
                <c:pt idx="49">
                  <c:v>5.6221540524319105</c:v>
                </c:pt>
                <c:pt idx="50">
                  <c:v>5.6229183002115573</c:v>
                </c:pt>
                <c:pt idx="51">
                  <c:v>5.623821502132957</c:v>
                </c:pt>
                <c:pt idx="52">
                  <c:v>5.6260447684010186</c:v>
                </c:pt>
                <c:pt idx="53">
                  <c:v>5.6278511722438189</c:v>
                </c:pt>
                <c:pt idx="54">
                  <c:v>5.6299354843701268</c:v>
                </c:pt>
                <c:pt idx="55">
                  <c:v>5.6316724111420502</c:v>
                </c:pt>
                <c:pt idx="56">
                  <c:v>5.6347294022606356</c:v>
                </c:pt>
                <c:pt idx="57">
                  <c:v>5.6384811640879891</c:v>
                </c:pt>
                <c:pt idx="58">
                  <c:v>5.6450120087504203</c:v>
                </c:pt>
                <c:pt idx="59">
                  <c:v>5.6488332476486516</c:v>
                </c:pt>
                <c:pt idx="60">
                  <c:v>5.6578652668626521</c:v>
                </c:pt>
                <c:pt idx="61">
                  <c:v>5.6622423223278986</c:v>
                </c:pt>
                <c:pt idx="62">
                  <c:v>5.6687036899194529</c:v>
                </c:pt>
                <c:pt idx="63">
                  <c:v>5.6735670848808377</c:v>
                </c:pt>
                <c:pt idx="64">
                  <c:v>5.6819738104569462</c:v>
                </c:pt>
                <c:pt idx="65">
                  <c:v>5.6899636736077932</c:v>
                </c:pt>
                <c:pt idx="66">
                  <c:v>5.6970503348372397</c:v>
                </c:pt>
                <c:pt idx="67">
                  <c:v>5.7055960145551019</c:v>
                </c:pt>
                <c:pt idx="68">
                  <c:v>5.7108762719417481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Dashboard'!$C$110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8.7324856786085855E-2</c:v>
                </c:pt>
                <c:pt idx="1">
                  <c:v>0.15320150313348396</c:v>
                </c:pt>
                <c:pt idx="2">
                  <c:v>0.19916195407352913</c:v>
                </c:pt>
                <c:pt idx="3">
                  <c:v>0.29261487098495437</c:v>
                </c:pt>
                <c:pt idx="4">
                  <c:v>0.31253106639230732</c:v>
                </c:pt>
                <c:pt idx="5">
                  <c:v>0.43662428393042929</c:v>
                </c:pt>
                <c:pt idx="6">
                  <c:v>0.57756966681323452</c:v>
                </c:pt>
                <c:pt idx="7">
                  <c:v>1.0004058154616502</c:v>
                </c:pt>
                <c:pt idx="8">
                  <c:v>1.4538822647367629</c:v>
                </c:pt>
                <c:pt idx="9">
                  <c:v>1.7250489252830294</c:v>
                </c:pt>
                <c:pt idx="10">
                  <c:v>1.8522061728838211</c:v>
                </c:pt>
                <c:pt idx="11">
                  <c:v>2.7331148159013541</c:v>
                </c:pt>
                <c:pt idx="12">
                  <c:v>3.4945262864747693</c:v>
                </c:pt>
                <c:pt idx="13">
                  <c:v>3.4945262864747693</c:v>
                </c:pt>
                <c:pt idx="14">
                  <c:v>5.6087070297168475</c:v>
                </c:pt>
                <c:pt idx="15">
                  <c:v>6.8465751750353983</c:v>
                </c:pt>
                <c:pt idx="16">
                  <c:v>6.8925356259754436</c:v>
                </c:pt>
                <c:pt idx="17">
                  <c:v>10.16185570284399</c:v>
                </c:pt>
                <c:pt idx="18">
                  <c:v>11.722979019774193</c:v>
                </c:pt>
                <c:pt idx="19">
                  <c:v>13.854011928360956</c:v>
                </c:pt>
                <c:pt idx="20">
                  <c:v>16.654535405641042</c:v>
                </c:pt>
                <c:pt idx="21">
                  <c:v>19.321773575194999</c:v>
                </c:pt>
                <c:pt idx="22">
                  <c:v>21.880238677524179</c:v>
                </c:pt>
                <c:pt idx="23">
                  <c:v>24.539816771921462</c:v>
                </c:pt>
                <c:pt idx="24">
                  <c:v>30.419690462184576</c:v>
                </c:pt>
                <c:pt idx="25">
                  <c:v>34.170063258892263</c:v>
                </c:pt>
                <c:pt idx="26">
                  <c:v>38.657335285672012</c:v>
                </c:pt>
                <c:pt idx="27">
                  <c:v>44.665898238567252</c:v>
                </c:pt>
                <c:pt idx="28">
                  <c:v>50.501343492921656</c:v>
                </c:pt>
                <c:pt idx="29">
                  <c:v>57.565464802406602</c:v>
                </c:pt>
                <c:pt idx="30">
                  <c:v>61.547171868845851</c:v>
                </c:pt>
                <c:pt idx="31">
                  <c:v>68.251269645967113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Dashboard'!$C$111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9.4290144524352887E-2</c:v>
                </c:pt>
                <c:pt idx="1">
                  <c:v>0.1551609973185554</c:v>
                </c:pt>
                <c:pt idx="2">
                  <c:v>0.18977383518192542</c:v>
                </c:pt>
                <c:pt idx="3">
                  <c:v>0.23393504211105273</c:v>
                </c:pt>
                <c:pt idx="4">
                  <c:v>0.31270908690355009</c:v>
                </c:pt>
                <c:pt idx="5">
                  <c:v>0.57528923621187456</c:v>
                </c:pt>
                <c:pt idx="6">
                  <c:v>0.79967590925717014</c:v>
                </c:pt>
                <c:pt idx="7">
                  <c:v>0.95364336044250586</c:v>
                </c:pt>
                <c:pt idx="8">
                  <c:v>1.2412879785484432</c:v>
                </c:pt>
                <c:pt idx="9">
                  <c:v>1.4036102526663163</c:v>
                </c:pt>
                <c:pt idx="10">
                  <c:v>1.73899671610104</c:v>
                </c:pt>
                <c:pt idx="11">
                  <c:v>2.2772860221831053</c:v>
                </c:pt>
                <c:pt idx="12">
                  <c:v>2.4801888648304469</c:v>
                </c:pt>
                <c:pt idx="13">
                  <c:v>4.3862820395822393</c:v>
                </c:pt>
                <c:pt idx="14">
                  <c:v>5.472409020812127</c:v>
                </c:pt>
                <c:pt idx="15">
                  <c:v>6.9165998420079111</c:v>
                </c:pt>
                <c:pt idx="16">
                  <c:v>8.6794674807733436</c:v>
                </c:pt>
                <c:pt idx="17">
                  <c:v>11.048656555214363</c:v>
                </c:pt>
                <c:pt idx="18">
                  <c:v>14.712843184198709</c:v>
                </c:pt>
                <c:pt idx="19">
                  <c:v>18.285126760925142</c:v>
                </c:pt>
                <c:pt idx="20">
                  <c:v>23.689503652143749</c:v>
                </c:pt>
                <c:pt idx="21">
                  <c:v>26.512240257208234</c:v>
                </c:pt>
                <c:pt idx="22">
                  <c:v>29.687072971572526</c:v>
                </c:pt>
                <c:pt idx="23">
                  <c:v>34.679676446830349</c:v>
                </c:pt>
                <c:pt idx="24">
                  <c:v>39.370312750383604</c:v>
                </c:pt>
                <c:pt idx="25">
                  <c:v>44.546722330157252</c:v>
                </c:pt>
                <c:pt idx="26">
                  <c:v>52.442030001405286</c:v>
                </c:pt>
                <c:pt idx="27">
                  <c:v>60.716885343017161</c:v>
                </c:pt>
                <c:pt idx="28">
                  <c:v>68.861644156108099</c:v>
                </c:pt>
                <c:pt idx="29">
                  <c:v>74.113247142274588</c:v>
                </c:pt>
                <c:pt idx="30">
                  <c:v>79.830333120396745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Dashboard'!$C$112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4.0579581201837991E-3</c:v>
                </c:pt>
                <c:pt idx="1">
                  <c:v>4.4927393473463487E-3</c:v>
                </c:pt>
                <c:pt idx="2">
                  <c:v>5.2898382638110241E-3</c:v>
                </c:pt>
                <c:pt idx="3">
                  <c:v>5.9420101045548493E-3</c:v>
                </c:pt>
                <c:pt idx="4">
                  <c:v>7.3912808617633491E-3</c:v>
                </c:pt>
                <c:pt idx="5">
                  <c:v>8.1883797782280245E-3</c:v>
                </c:pt>
                <c:pt idx="6">
                  <c:v>8.6231610053905741E-3</c:v>
                </c:pt>
                <c:pt idx="7">
                  <c:v>1.028982237618035E-2</c:v>
                </c:pt>
                <c:pt idx="8">
                  <c:v>1.1304311906226298E-2</c:v>
                </c:pt>
                <c:pt idx="9">
                  <c:v>1.4057926344922448E-2</c:v>
                </c:pt>
                <c:pt idx="10">
                  <c:v>1.7681103237943696E-2</c:v>
                </c:pt>
                <c:pt idx="11">
                  <c:v>2.3912967493940247E-2</c:v>
                </c:pt>
                <c:pt idx="12">
                  <c:v>2.8695560992728294E-2</c:v>
                </c:pt>
                <c:pt idx="13">
                  <c:v>3.6159305392352063E-2</c:v>
                </c:pt>
                <c:pt idx="14">
                  <c:v>3.8840456293187796E-2</c:v>
                </c:pt>
                <c:pt idx="15">
                  <c:v>4.7608544374299219E-2</c:v>
                </c:pt>
                <c:pt idx="16">
                  <c:v>5.2680992024528972E-2</c:v>
                </c:pt>
                <c:pt idx="17">
                  <c:v>6.4275158082196956E-2</c:v>
                </c:pt>
                <c:pt idx="18">
                  <c:v>7.1521511868239462E-2</c:v>
                </c:pt>
                <c:pt idx="19">
                  <c:v>7.4202662769075181E-2</c:v>
                </c:pt>
                <c:pt idx="20">
                  <c:v>9.0651885863391665E-2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Dashboard'!$C$113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0.10254404159080474</c:v>
                </c:pt>
                <c:pt idx="1">
                  <c:v>0.25636010397701187</c:v>
                </c:pt>
                <c:pt idx="2">
                  <c:v>0.37875137942410142</c:v>
                </c:pt>
                <c:pt idx="3">
                  <c:v>0.53256744181030857</c:v>
                </c:pt>
                <c:pt idx="4">
                  <c:v>0.74923307807475081</c:v>
                </c:pt>
                <c:pt idx="5">
                  <c:v>1.0833281813222113</c:v>
                </c:pt>
                <c:pt idx="6">
                  <c:v>1.4686953053650744</c:v>
                </c:pt>
                <c:pt idx="7">
                  <c:v>1.8656399824907701</c:v>
                </c:pt>
                <c:pt idx="8">
                  <c:v>2.8017678460455362</c:v>
                </c:pt>
                <c:pt idx="9">
                  <c:v>3.3674140109496524</c:v>
                </c:pt>
                <c:pt idx="10">
                  <c:v>4.1381482590353791</c:v>
                </c:pt>
                <c:pt idx="11">
                  <c:v>5.1090087818386429</c:v>
                </c:pt>
                <c:pt idx="12">
                  <c:v>6.3808856847955591</c:v>
                </c:pt>
                <c:pt idx="13">
                  <c:v>7.6676480131446914</c:v>
                </c:pt>
                <c:pt idx="14">
                  <c:v>9.7301063980436187</c:v>
                </c:pt>
                <c:pt idx="15">
                  <c:v>12.197779140841694</c:v>
                </c:pt>
                <c:pt idx="16">
                  <c:v>15.16990241082034</c:v>
                </c:pt>
                <c:pt idx="17">
                  <c:v>16.785798033952862</c:v>
                </c:pt>
                <c:pt idx="18">
                  <c:v>20.611352359751756</c:v>
                </c:pt>
                <c:pt idx="19">
                  <c:v>20.611352359751756</c:v>
                </c:pt>
                <c:pt idx="20">
                  <c:v>29.208512491832451</c:v>
                </c:pt>
                <c:pt idx="21">
                  <c:v>34.992327224784781</c:v>
                </c:pt>
                <c:pt idx="22">
                  <c:v>40.929958020123308</c:v>
                </c:pt>
                <c:pt idx="23">
                  <c:v>46.277133608237371</c:v>
                </c:pt>
                <c:pt idx="24">
                  <c:v>52.108912489675717</c:v>
                </c:pt>
                <c:pt idx="25">
                  <c:v>59.067021892458229</c:v>
                </c:pt>
                <c:pt idx="26">
                  <c:v>67.869270107720538</c:v>
                </c:pt>
                <c:pt idx="27">
                  <c:v>77.769731929697258</c:v>
                </c:pt>
                <c:pt idx="28">
                  <c:v>88.614591296002217</c:v>
                </c:pt>
                <c:pt idx="29">
                  <c:v>97.810476316080823</c:v>
                </c:pt>
                <c:pt idx="30">
                  <c:v>105.73117656089315</c:v>
                </c:pt>
                <c:pt idx="31">
                  <c:v>114.41268743686305</c:v>
                </c:pt>
                <c:pt idx="32">
                  <c:v>123.02969480280004</c:v>
                </c:pt>
                <c:pt idx="33">
                  <c:v>133.28906077034458</c:v>
                </c:pt>
                <c:pt idx="34">
                  <c:v>143.06216950841016</c:v>
                </c:pt>
                <c:pt idx="35">
                  <c:v>152.9427840965306</c:v>
                </c:pt>
                <c:pt idx="36">
                  <c:v>161.5713690155504</c:v>
                </c:pt>
                <c:pt idx="37">
                  <c:v>168.26981044204652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Dashboard'!$C$114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0.20285089376786464</c:v>
                </c:pt>
                <c:pt idx="1">
                  <c:v>0.39789983008311913</c:v>
                </c:pt>
                <c:pt idx="2">
                  <c:v>0.8445618942450519</c:v>
                </c:pt>
                <c:pt idx="3">
                  <c:v>1.174194596617832</c:v>
                </c:pt>
                <c:pt idx="4">
                  <c:v>1.6247576395060697</c:v>
                </c:pt>
                <c:pt idx="5">
                  <c:v>1.9056281078000361</c:v>
                </c:pt>
                <c:pt idx="6">
                  <c:v>2.4595670869353592</c:v>
                </c:pt>
                <c:pt idx="7">
                  <c:v>3.4445642153273943</c:v>
                </c:pt>
                <c:pt idx="8">
                  <c:v>4.5582936416874968</c:v>
                </c:pt>
                <c:pt idx="9">
                  <c:v>6.1440414939305157</c:v>
                </c:pt>
                <c:pt idx="10">
                  <c:v>7.2870282607379062</c:v>
                </c:pt>
                <c:pt idx="11">
                  <c:v>8.455371389266281</c:v>
                </c:pt>
                <c:pt idx="12">
                  <c:v>10.115237837309097</c:v>
                </c:pt>
                <c:pt idx="13">
                  <c:v>10.963700710280454</c:v>
                </c:pt>
                <c:pt idx="14">
                  <c:v>11.874579242872693</c:v>
                </c:pt>
                <c:pt idx="15">
                  <c:v>12.859576371264728</c:v>
                </c:pt>
                <c:pt idx="16">
                  <c:v>13.733395605957069</c:v>
                </c:pt>
                <c:pt idx="17">
                  <c:v>14.265879202097711</c:v>
                </c:pt>
                <c:pt idx="18">
                  <c:v>14.585759457654731</c:v>
                </c:pt>
                <c:pt idx="19">
                  <c:v>14.654026585365068</c:v>
                </c:pt>
                <c:pt idx="20">
                  <c:v>15.126045011247985</c:v>
                </c:pt>
                <c:pt idx="21">
                  <c:v>15.348400798647374</c:v>
                </c:pt>
                <c:pt idx="22">
                  <c:v>15.562954628594154</c:v>
                </c:pt>
                <c:pt idx="23">
                  <c:v>15.771656990451477</c:v>
                </c:pt>
                <c:pt idx="24">
                  <c:v>15.91989418205107</c:v>
                </c:pt>
                <c:pt idx="25">
                  <c:v>16.064230394924358</c:v>
                </c:pt>
                <c:pt idx="26">
                  <c:v>16.228071501429174</c:v>
                </c:pt>
                <c:pt idx="27">
                  <c:v>16.409467012202359</c:v>
                </c:pt>
                <c:pt idx="28">
                  <c:v>16.705941395401545</c:v>
                </c:pt>
                <c:pt idx="29">
                  <c:v>16.875633969995818</c:v>
                </c:pt>
                <c:pt idx="30">
                  <c:v>17.162355906379243</c:v>
                </c:pt>
                <c:pt idx="31">
                  <c:v>17.478335183209953</c:v>
                </c:pt>
                <c:pt idx="32">
                  <c:v>17.478335183209953</c:v>
                </c:pt>
                <c:pt idx="33">
                  <c:v>17.626572374809548</c:v>
                </c:pt>
                <c:pt idx="34">
                  <c:v>17.821621311124801</c:v>
                </c:pt>
                <c:pt idx="35">
                  <c:v>18.024472204892664</c:v>
                </c:pt>
                <c:pt idx="36">
                  <c:v>18.20196673693955</c:v>
                </c:pt>
                <c:pt idx="37">
                  <c:v>18.486738183959819</c:v>
                </c:pt>
                <c:pt idx="38">
                  <c:v>18.691539567090839</c:v>
                </c:pt>
                <c:pt idx="39">
                  <c:v>18.843677737416733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Dashboard'!$C$115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4.0429107142629546E-2</c:v>
                </c:pt>
                <c:pt idx="1">
                  <c:v>4.3170063559079007E-2</c:v>
                </c:pt>
                <c:pt idx="2">
                  <c:v>6.1671519370112865E-2</c:v>
                </c:pt>
                <c:pt idx="3">
                  <c:v>7.8117257868809631E-2</c:v>
                </c:pt>
                <c:pt idx="4">
                  <c:v>0.10073014830451768</c:v>
                </c:pt>
                <c:pt idx="5">
                  <c:v>0.13636258171836069</c:v>
                </c:pt>
                <c:pt idx="6">
                  <c:v>0.17336549334042839</c:v>
                </c:pt>
                <c:pt idx="7">
                  <c:v>0.20968316585838376</c:v>
                </c:pt>
                <c:pt idx="8">
                  <c:v>0.25148275120923802</c:v>
                </c:pt>
                <c:pt idx="9">
                  <c:v>0.30013472760121596</c:v>
                </c:pt>
                <c:pt idx="10">
                  <c:v>0.33919335653562077</c:v>
                </c:pt>
                <c:pt idx="11">
                  <c:v>0.45088733050593627</c:v>
                </c:pt>
                <c:pt idx="12">
                  <c:v>0.57560084745438678</c:v>
                </c:pt>
                <c:pt idx="13">
                  <c:v>0.70990771186041035</c:v>
                </c:pt>
                <c:pt idx="14">
                  <c:v>0.8661422275980295</c:v>
                </c:pt>
                <c:pt idx="15">
                  <c:v>1.0511567857083681</c:v>
                </c:pt>
                <c:pt idx="16">
                  <c:v>1.2580989951503025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Dashboard'!$C$116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0.17966078247660591</c:v>
                </c:pt>
                <c:pt idx="1">
                  <c:v>0.25665826068086561</c:v>
                </c:pt>
                <c:pt idx="2">
                  <c:v>0.35290510843619016</c:v>
                </c:pt>
                <c:pt idx="3">
                  <c:v>0.47481778225960136</c:v>
                </c:pt>
                <c:pt idx="4">
                  <c:v>0.55395407930286822</c:v>
                </c:pt>
                <c:pt idx="5">
                  <c:v>0.8555275356028853</c:v>
                </c:pt>
                <c:pt idx="6">
                  <c:v>1.0694094195036066</c:v>
                </c:pt>
                <c:pt idx="7">
                  <c:v>1.4394250786518545</c:v>
                </c:pt>
                <c:pt idx="8">
                  <c:v>2.2949526142547398</c:v>
                </c:pt>
                <c:pt idx="9">
                  <c:v>3.6252979321172263</c:v>
                </c:pt>
                <c:pt idx="10">
                  <c:v>4.8700904964194249</c:v>
                </c:pt>
                <c:pt idx="11">
                  <c:v>4.8700904964194249</c:v>
                </c:pt>
                <c:pt idx="12">
                  <c:v>11.190300165685741</c:v>
                </c:pt>
                <c:pt idx="13">
                  <c:v>13.669191200095101</c:v>
                </c:pt>
                <c:pt idx="14">
                  <c:v>16.678509306578249</c:v>
                </c:pt>
                <c:pt idx="15">
                  <c:v>21.264136897409713</c:v>
                </c:pt>
                <c:pt idx="16">
                  <c:v>25.126843720656741</c:v>
                </c:pt>
                <c:pt idx="17">
                  <c:v>29.75097005059034</c:v>
                </c:pt>
                <c:pt idx="18">
                  <c:v>38.419602805086569</c:v>
                </c:pt>
                <c:pt idx="19">
                  <c:v>43.65329250413722</c:v>
                </c:pt>
                <c:pt idx="20">
                  <c:v>54.27038922096903</c:v>
                </c:pt>
                <c:pt idx="21">
                  <c:v>61.529540360559508</c:v>
                </c:pt>
                <c:pt idx="22">
                  <c:v>75.149538727357452</c:v>
                </c:pt>
                <c:pt idx="23">
                  <c:v>85.306789393802703</c:v>
                </c:pt>
                <c:pt idx="24">
                  <c:v>105.90361481344218</c:v>
                </c:pt>
                <c:pt idx="25">
                  <c:v>123.59378543087082</c:v>
                </c:pt>
                <c:pt idx="26">
                  <c:v>140.56103528071506</c:v>
                </c:pt>
                <c:pt idx="27">
                  <c:v>156.63639767469328</c:v>
                </c:pt>
                <c:pt idx="28">
                  <c:v>171.34077719286788</c:v>
                </c:pt>
                <c:pt idx="29">
                  <c:v>188.12194980371845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Dashboard'!$C$117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0.93076080289011143</c:v>
                </c:pt>
                <c:pt idx="1">
                  <c:v>1.0000727775734175</c:v>
                </c:pt>
                <c:pt idx="2">
                  <c:v>1.5941754177160419</c:v>
                </c:pt>
                <c:pt idx="3">
                  <c:v>2.0100472658158788</c:v>
                </c:pt>
                <c:pt idx="4">
                  <c:v>2.4556242459228468</c:v>
                </c:pt>
                <c:pt idx="5">
                  <c:v>3.5151072875105265</c:v>
                </c:pt>
                <c:pt idx="6">
                  <c:v>4.9508553345218687</c:v>
                </c:pt>
                <c:pt idx="7">
                  <c:v>5.9311246907571986</c:v>
                </c:pt>
                <c:pt idx="8">
                  <c:v>8.0599924846016027</c:v>
                </c:pt>
                <c:pt idx="9">
                  <c:v>9.5155439529510311</c:v>
                </c:pt>
                <c:pt idx="10">
                  <c:v>10.1195483037627</c:v>
                </c:pt>
                <c:pt idx="11">
                  <c:v>10.921586867955241</c:v>
                </c:pt>
                <c:pt idx="12">
                  <c:v>11.783035696162047</c:v>
                </c:pt>
                <c:pt idx="13">
                  <c:v>12.66428794570694</c:v>
                </c:pt>
                <c:pt idx="14">
                  <c:v>14.248561652753938</c:v>
                </c:pt>
                <c:pt idx="15">
                  <c:v>16.228903786562686</c:v>
                </c:pt>
                <c:pt idx="16">
                  <c:v>17.45671590952411</c:v>
                </c:pt>
                <c:pt idx="17">
                  <c:v>19.149908433930587</c:v>
                </c:pt>
                <c:pt idx="18">
                  <c:v>20.258900028863486</c:v>
                </c:pt>
                <c:pt idx="19">
                  <c:v>22.635310589433985</c:v>
                </c:pt>
                <c:pt idx="20">
                  <c:v>25.01172115000448</c:v>
                </c:pt>
                <c:pt idx="21">
                  <c:v>28.120858300084212</c:v>
                </c:pt>
                <c:pt idx="22">
                  <c:v>30.38835004329523</c:v>
                </c:pt>
                <c:pt idx="23">
                  <c:v>34.13119667619376</c:v>
                </c:pt>
                <c:pt idx="24">
                  <c:v>36.636329475461828</c:v>
                </c:pt>
                <c:pt idx="25">
                  <c:v>39.884090574908171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Dashboard'!$C$118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0.64705310064379473</c:v>
                </c:pt>
                <c:pt idx="1">
                  <c:v>1.0399067688918131</c:v>
                </c:pt>
                <c:pt idx="2">
                  <c:v>1.3172152405962965</c:v>
                </c:pt>
                <c:pt idx="3">
                  <c:v>2.4726672060316441</c:v>
                </c:pt>
                <c:pt idx="4">
                  <c:v>3.0966112673667321</c:v>
                </c:pt>
                <c:pt idx="5">
                  <c:v>3.8938731235171216</c:v>
                </c:pt>
                <c:pt idx="6">
                  <c:v>4.3213903507282003</c:v>
                </c:pt>
                <c:pt idx="7">
                  <c:v>5.6732691502875578</c:v>
                </c:pt>
                <c:pt idx="8">
                  <c:v>7.5335468146384681</c:v>
                </c:pt>
                <c:pt idx="9">
                  <c:v>7.5335468146384681</c:v>
                </c:pt>
                <c:pt idx="10">
                  <c:v>13.16059788630861</c:v>
                </c:pt>
                <c:pt idx="11">
                  <c:v>15.702592210266376</c:v>
                </c:pt>
                <c:pt idx="12">
                  <c:v>25.419943239577652</c:v>
                </c:pt>
                <c:pt idx="13">
                  <c:v>25.419943239577652</c:v>
                </c:pt>
                <c:pt idx="14">
                  <c:v>31.19720306675439</c:v>
                </c:pt>
                <c:pt idx="15">
                  <c:v>34.987085513382333</c:v>
                </c:pt>
                <c:pt idx="16">
                  <c:v>47.084667591490422</c:v>
                </c:pt>
                <c:pt idx="17">
                  <c:v>61.169627050147312</c:v>
                </c:pt>
                <c:pt idx="18">
                  <c:v>75.970966727374119</c:v>
                </c:pt>
                <c:pt idx="19">
                  <c:v>86.358479896637888</c:v>
                </c:pt>
                <c:pt idx="20">
                  <c:v>101.62200036003884</c:v>
                </c:pt>
                <c:pt idx="21">
                  <c:v>114.12399062604929</c:v>
                </c:pt>
                <c:pt idx="22">
                  <c:v>125.90960067348983</c:v>
                </c:pt>
                <c:pt idx="23">
                  <c:v>136.47043163756891</c:v>
                </c:pt>
                <c:pt idx="24">
                  <c:v>149.37683009148176</c:v>
                </c:pt>
                <c:pt idx="25">
                  <c:v>162.64141865467954</c:v>
                </c:pt>
                <c:pt idx="26">
                  <c:v>171.34197195440771</c:v>
                </c:pt>
                <c:pt idx="27">
                  <c:v>183.97106193661605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Dashboard'!$C$119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1.5407731583394479E-2</c:v>
                </c:pt>
                <c:pt idx="1">
                  <c:v>1.5407731583394479E-2</c:v>
                </c:pt>
                <c:pt idx="2">
                  <c:v>1.722040588732324E-2</c:v>
                </c:pt>
                <c:pt idx="3">
                  <c:v>1.752251827131137E-2</c:v>
                </c:pt>
                <c:pt idx="4">
                  <c:v>1.8126743039287622E-2</c:v>
                </c:pt>
                <c:pt idx="5">
                  <c:v>2.0543642111192639E-2</c:v>
                </c:pt>
                <c:pt idx="6">
                  <c:v>2.23563164151214E-2</c:v>
                </c:pt>
                <c:pt idx="7">
                  <c:v>2.9607013630836451E-2</c:v>
                </c:pt>
                <c:pt idx="8">
                  <c:v>3.5649261310598993E-2</c:v>
                </c:pt>
                <c:pt idx="9">
                  <c:v>4.5014745214230927E-2</c:v>
                </c:pt>
                <c:pt idx="10">
                  <c:v>6.5558387325423559E-2</c:v>
                </c:pt>
                <c:pt idx="11">
                  <c:v>7.9153444604889281E-2</c:v>
                </c:pt>
                <c:pt idx="12">
                  <c:v>0.12144917836322706</c:v>
                </c:pt>
                <c:pt idx="13">
                  <c:v>0.1564942149058498</c:v>
                </c:pt>
                <c:pt idx="14">
                  <c:v>0.17613151986507805</c:v>
                </c:pt>
                <c:pt idx="15">
                  <c:v>0.28972577624461382</c:v>
                </c:pt>
                <c:pt idx="16">
                  <c:v>0.38700596388879072</c:v>
                </c:pt>
                <c:pt idx="17">
                  <c:v>0.50241289457225524</c:v>
                </c:pt>
                <c:pt idx="18">
                  <c:v>0.65830288471012877</c:v>
                </c:pt>
                <c:pt idx="19">
                  <c:v>0.82386047113562244</c:v>
                </c:pt>
                <c:pt idx="20">
                  <c:v>1.0570912315744565</c:v>
                </c:pt>
                <c:pt idx="21">
                  <c:v>1.3993845626330044</c:v>
                </c:pt>
                <c:pt idx="22">
                  <c:v>1.9398636175877635</c:v>
                </c:pt>
                <c:pt idx="23">
                  <c:v>2.3513406845795926</c:v>
                </c:pt>
                <c:pt idx="24">
                  <c:v>4.1319910758056135</c:v>
                </c:pt>
                <c:pt idx="25">
                  <c:v>5.7703465341732265</c:v>
                </c:pt>
                <c:pt idx="26">
                  <c:v>7.70054255547337</c:v>
                </c:pt>
                <c:pt idx="27">
                  <c:v>10.053091689588916</c:v>
                </c:pt>
                <c:pt idx="28">
                  <c:v>13.246721700727406</c:v>
                </c:pt>
                <c:pt idx="29">
                  <c:v>16.235519515521947</c:v>
                </c:pt>
                <c:pt idx="30">
                  <c:v>19.87234839397102</c:v>
                </c:pt>
                <c:pt idx="31">
                  <c:v>25.327893824028621</c:v>
                </c:pt>
                <c:pt idx="32">
                  <c:v>30.711838619081028</c:v>
                </c:pt>
                <c:pt idx="33">
                  <c:v>36.700008182109698</c:v>
                </c:pt>
                <c:pt idx="34">
                  <c:v>42.563405330551262</c:v>
                </c:pt>
                <c:pt idx="35">
                  <c:v>48.88389851596687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Dashboard'!$C$120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7.512593426648681E-2</c:v>
                </c:pt>
                <c:pt idx="1">
                  <c:v>0.12520989044414468</c:v>
                </c:pt>
                <c:pt idx="2">
                  <c:v>0.16940161648325455</c:v>
                </c:pt>
                <c:pt idx="3">
                  <c:v>0.24010837814583039</c:v>
                </c:pt>
                <c:pt idx="4">
                  <c:v>0.30344985213522119</c:v>
                </c:pt>
                <c:pt idx="5">
                  <c:v>0.40214470695589993</c:v>
                </c:pt>
                <c:pt idx="6">
                  <c:v>0.47285146861847571</c:v>
                </c:pt>
                <c:pt idx="7">
                  <c:v>0.56270797823133256</c:v>
                </c:pt>
                <c:pt idx="8">
                  <c:v>0.6717142357944702</c:v>
                </c:pt>
                <c:pt idx="9">
                  <c:v>0.6717142357944702</c:v>
                </c:pt>
                <c:pt idx="10">
                  <c:v>1.1754999126403229</c:v>
                </c:pt>
                <c:pt idx="11">
                  <c:v>1.6792855894861758</c:v>
                </c:pt>
                <c:pt idx="12">
                  <c:v>1.6792855894861758</c:v>
                </c:pt>
                <c:pt idx="13">
                  <c:v>2.2729277759448849</c:v>
                </c:pt>
                <c:pt idx="14">
                  <c:v>2.8724621925421423</c:v>
                </c:pt>
                <c:pt idx="15">
                  <c:v>3.8682490859567515</c:v>
                </c:pt>
                <c:pt idx="16">
                  <c:v>3.9610517106388823</c:v>
                </c:pt>
                <c:pt idx="17">
                  <c:v>5.8671881604591558</c:v>
                </c:pt>
                <c:pt idx="18">
                  <c:v>7.3918027088084468</c:v>
                </c:pt>
                <c:pt idx="19">
                  <c:v>8.3713859693420485</c:v>
                </c:pt>
                <c:pt idx="20">
                  <c:v>9.7958326053360238</c:v>
                </c:pt>
                <c:pt idx="21">
                  <c:v>11.897885707263018</c:v>
                </c:pt>
                <c:pt idx="22">
                  <c:v>14.036765247555936</c:v>
                </c:pt>
                <c:pt idx="23">
                  <c:v>17.172904738798103</c:v>
                </c:pt>
                <c:pt idx="24">
                  <c:v>21.422675726225837</c:v>
                </c:pt>
                <c:pt idx="25">
                  <c:v>25.173080209411626</c:v>
                </c:pt>
                <c:pt idx="26">
                  <c:v>28.757029191183438</c:v>
                </c:pt>
                <c:pt idx="27">
                  <c:v>32.61496687439773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Dashboard'!$E$160:$BV$160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Dashboard'!$E$161:$BV$161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Dashboard'!$E$162:$BV$162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Dashboard'!$C$166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Dashboard'!$AS$166:$BV$166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0.34800202549999998</c:v>
                </c:pt>
                <c:pt idx="6">
                  <c:v>0.3677823999</c:v>
                </c:pt>
                <c:pt idx="7">
                  <c:v>0.36292533300000002</c:v>
                </c:pt>
                <c:pt idx="8">
                  <c:v>0.35147031379999999</c:v>
                </c:pt>
                <c:pt idx="9">
                  <c:v>0.33688312009999999</c:v>
                </c:pt>
                <c:pt idx="10">
                  <c:v>0.32338581659999999</c:v>
                </c:pt>
                <c:pt idx="11">
                  <c:v>0.35291814960000001</c:v>
                </c:pt>
                <c:pt idx="12">
                  <c:v>0.36813369880000002</c:v>
                </c:pt>
                <c:pt idx="13">
                  <c:v>0.37857731509999998</c:v>
                </c:pt>
                <c:pt idx="14">
                  <c:v>0.36482849899999997</c:v>
                </c:pt>
                <c:pt idx="15">
                  <c:v>0.32166784199999998</c:v>
                </c:pt>
                <c:pt idx="16">
                  <c:v>0.28600843129999998</c:v>
                </c:pt>
                <c:pt idx="17">
                  <c:v>0.25389974119999997</c:v>
                </c:pt>
                <c:pt idx="18">
                  <c:v>0.2430144997</c:v>
                </c:pt>
                <c:pt idx="19">
                  <c:v>0.22442679709999999</c:v>
                </c:pt>
                <c:pt idx="20">
                  <c:v>0.21763384720000001</c:v>
                </c:pt>
                <c:pt idx="21">
                  <c:v>0.21481597290000001</c:v>
                </c:pt>
                <c:pt idx="22">
                  <c:v>0.2186972355</c:v>
                </c:pt>
                <c:pt idx="23">
                  <c:v>0.20762651330000001</c:v>
                </c:pt>
                <c:pt idx="24">
                  <c:v>0.19277865129999999</c:v>
                </c:pt>
                <c:pt idx="25">
                  <c:v>0.16689808610000001</c:v>
                </c:pt>
                <c:pt idx="26">
                  <c:v>0.1438759916</c:v>
                </c:pt>
                <c:pt idx="27">
                  <c:v>0.12655609979999999</c:v>
                </c:pt>
                <c:pt idx="28">
                  <c:v>0.1067545295</c:v>
                </c:pt>
                <c:pt idx="29">
                  <c:v>9.4446973099999998E-2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'General Dashboard'!$C$167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Dashboard'!$AS$167:$BV$167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0.63061443279999996</c:v>
                </c:pt>
                <c:pt idx="8">
                  <c:v>0.40340599780000003</c:v>
                </c:pt>
                <c:pt idx="9">
                  <c:v>0.25743342969999999</c:v>
                </c:pt>
                <c:pt idx="10">
                  <c:v>0.1697654358</c:v>
                </c:pt>
                <c:pt idx="11">
                  <c:v>0.1820525519</c:v>
                </c:pt>
                <c:pt idx="12">
                  <c:v>0.2196046797</c:v>
                </c:pt>
                <c:pt idx="13">
                  <c:v>0.2701211288</c:v>
                </c:pt>
                <c:pt idx="14">
                  <c:v>0.30965515259999998</c:v>
                </c:pt>
                <c:pt idx="15">
                  <c:v>0.2800673964</c:v>
                </c:pt>
                <c:pt idx="16">
                  <c:v>0.24782467380000001</c:v>
                </c:pt>
                <c:pt idx="17">
                  <c:v>0.20665202290000001</c:v>
                </c:pt>
                <c:pt idx="18">
                  <c:v>0.20427459049999999</c:v>
                </c:pt>
                <c:pt idx="19">
                  <c:v>0.2115636809</c:v>
                </c:pt>
                <c:pt idx="20">
                  <c:v>0.22302539630000001</c:v>
                </c:pt>
                <c:pt idx="21">
                  <c:v>0.2180729085</c:v>
                </c:pt>
                <c:pt idx="22">
                  <c:v>0.19815144670000001</c:v>
                </c:pt>
                <c:pt idx="23">
                  <c:v>0.1718372413</c:v>
                </c:pt>
                <c:pt idx="24">
                  <c:v>0.1618753933</c:v>
                </c:pt>
                <c:pt idx="25">
                  <c:v>0.16675712670000001</c:v>
                </c:pt>
                <c:pt idx="26">
                  <c:v>0.18694740949999999</c:v>
                </c:pt>
                <c:pt idx="27">
                  <c:v>0.20447698280000001</c:v>
                </c:pt>
                <c:pt idx="28">
                  <c:v>0.19859718479999999</c:v>
                </c:pt>
                <c:pt idx="29">
                  <c:v>9.8098929500000001E-2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'General Dashboard'!$C$168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Dashboard'!$AS$168:$BV$168</c:f>
              <c:numCache>
                <c:formatCode>0.0%</c:formatCode>
                <c:ptCount val="30"/>
                <c:pt idx="0">
                  <c:v>0.1934317183</c:v>
                </c:pt>
                <c:pt idx="1">
                  <c:v>0.20830161389999999</c:v>
                </c:pt>
                <c:pt idx="2">
                  <c:v>0.1763489329</c:v>
                </c:pt>
                <c:pt idx="3">
                  <c:v>0.14589019049999999</c:v>
                </c:pt>
                <c:pt idx="4">
                  <c:v>0.13781630559999999</c:v>
                </c:pt>
                <c:pt idx="5">
                  <c:v>0.1465968761</c:v>
                </c:pt>
                <c:pt idx="6">
                  <c:v>0.16712800620000001</c:v>
                </c:pt>
                <c:pt idx="7">
                  <c:v>0.18170385650000001</c:v>
                </c:pt>
                <c:pt idx="8">
                  <c:v>0.16605471629999999</c:v>
                </c:pt>
                <c:pt idx="9">
                  <c:v>0.17184176600000001</c:v>
                </c:pt>
                <c:pt idx="10">
                  <c:v>0.16155366139999999</c:v>
                </c:pt>
                <c:pt idx="11">
                  <c:v>0.2085501589</c:v>
                </c:pt>
                <c:pt idx="12">
                  <c:v>0.23027433420000001</c:v>
                </c:pt>
                <c:pt idx="13">
                  <c:v>0.24633237459999999</c:v>
                </c:pt>
                <c:pt idx="14">
                  <c:v>0.29652201369999998</c:v>
                </c:pt>
                <c:pt idx="15">
                  <c:v>0.28464799909999999</c:v>
                </c:pt>
                <c:pt idx="16">
                  <c:v>0.32018916330000002</c:v>
                </c:pt>
                <c:pt idx="17">
                  <c:v>0.31572953599999998</c:v>
                </c:pt>
                <c:pt idx="18">
                  <c:v>0.28908151319999997</c:v>
                </c:pt>
                <c:pt idx="19">
                  <c:v>0.27466665759999997</c:v>
                </c:pt>
                <c:pt idx="20">
                  <c:v>0.2431048163</c:v>
                </c:pt>
                <c:pt idx="21">
                  <c:v>0.25910972650000003</c:v>
                </c:pt>
                <c:pt idx="22">
                  <c:v>0.27700985839999998</c:v>
                </c:pt>
                <c:pt idx="23">
                  <c:v>0.28242810480000002</c:v>
                </c:pt>
                <c:pt idx="24">
                  <c:v>0.28743445940000001</c:v>
                </c:pt>
                <c:pt idx="25">
                  <c:v>0.25588432989999998</c:v>
                </c:pt>
                <c:pt idx="26">
                  <c:v>0.2262092101</c:v>
                </c:pt>
                <c:pt idx="27">
                  <c:v>0.19502578249999999</c:v>
                </c:pt>
                <c:pt idx="28">
                  <c:v>0.17607067530000001</c:v>
                </c:pt>
                <c:pt idx="29">
                  <c:v>0.1783947662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'General Dashboard'!$C$169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Dashboard'!$AS$169:$BV$169</c:f>
              <c:numCache>
                <c:formatCode>0.0%</c:formatCode>
                <c:ptCount val="30"/>
                <c:pt idx="0">
                  <c:v>5.1871987999999999E-3</c:v>
                </c:pt>
                <c:pt idx="1">
                  <c:v>4.8804870999999998E-3</c:v>
                </c:pt>
                <c:pt idx="2">
                  <c:v>4.0897260000000001E-3</c:v>
                </c:pt>
                <c:pt idx="3">
                  <c:v>3.1003719000000001E-3</c:v>
                </c:pt>
                <c:pt idx="4">
                  <c:v>2.2778988999999999E-3</c:v>
                </c:pt>
                <c:pt idx="5">
                  <c:v>1.7306236999999999E-3</c:v>
                </c:pt>
                <c:pt idx="6">
                  <c:v>1.5537938E-3</c:v>
                </c:pt>
                <c:pt idx="7">
                  <c:v>1.3127983000000001E-3</c:v>
                </c:pt>
                <c:pt idx="8">
                  <c:v>9.8875250000000003E-4</c:v>
                </c:pt>
                <c:pt idx="9">
                  <c:v>6.9247079999999999E-4</c:v>
                </c:pt>
                <c:pt idx="10">
                  <c:v>4.7122279999999998E-4</c:v>
                </c:pt>
                <c:pt idx="11">
                  <c:v>3.5554940000000001E-4</c:v>
                </c:pt>
                <c:pt idx="12">
                  <c:v>2.9257060000000001E-4</c:v>
                </c:pt>
                <c:pt idx="13">
                  <c:v>2.6465990000000002E-4</c:v>
                </c:pt>
                <c:pt idx="14">
                  <c:v>2.8104649999999997E-4</c:v>
                </c:pt>
                <c:pt idx="15">
                  <c:v>3.0464089999999999E-4</c:v>
                </c:pt>
                <c:pt idx="16">
                  <c:v>3.4879259999999999E-4</c:v>
                </c:pt>
                <c:pt idx="17">
                  <c:v>4.0214489999999999E-4</c:v>
                </c:pt>
                <c:pt idx="18">
                  <c:v>5.0884349999999999E-4</c:v>
                </c:pt>
                <c:pt idx="19">
                  <c:v>6.3392519999999999E-4</c:v>
                </c:pt>
                <c:pt idx="20">
                  <c:v>8.1830309999999997E-4</c:v>
                </c:pt>
                <c:pt idx="21">
                  <c:v>9.4598459999999996E-4</c:v>
                </c:pt>
                <c:pt idx="22">
                  <c:v>1.0414587999999999E-3</c:v>
                </c:pt>
                <c:pt idx="23">
                  <c:v>1.0641118E-3</c:v>
                </c:pt>
                <c:pt idx="24">
                  <c:v>1.0680037999999999E-3</c:v>
                </c:pt>
                <c:pt idx="25">
                  <c:v>1.1260945E-3</c:v>
                </c:pt>
                <c:pt idx="26">
                  <c:v>1.177761E-3</c:v>
                </c:pt>
                <c:pt idx="27">
                  <c:v>1.2926903999999999E-3</c:v>
                </c:pt>
                <c:pt idx="28">
                  <c:v>1.3084722E-3</c:v>
                </c:pt>
                <c:pt idx="29">
                  <c:v>9.2545240000000003E-4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'General Dashboard'!$C$170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Dashboard'!$AS$170:$BV$170</c:f>
              <c:numCache>
                <c:formatCode>0.0%</c:formatCode>
                <c:ptCount val="30"/>
                <c:pt idx="0">
                  <c:v>0.56601534740000004</c:v>
                </c:pt>
                <c:pt idx="1">
                  <c:v>0.46814927499999998</c:v>
                </c:pt>
                <c:pt idx="2">
                  <c:v>0.36652812769999998</c:v>
                </c:pt>
                <c:pt idx="3">
                  <c:v>0.31798054269999998</c:v>
                </c:pt>
                <c:pt idx="4">
                  <c:v>0.32941603949999998</c:v>
                </c:pt>
                <c:pt idx="5">
                  <c:v>0.39338657760000001</c:v>
                </c:pt>
                <c:pt idx="6">
                  <c:v>0.4152522803</c:v>
                </c:pt>
                <c:pt idx="7">
                  <c:v>0.39547260169999998</c:v>
                </c:pt>
                <c:pt idx="8">
                  <c:v>0.3303518252</c:v>
                </c:pt>
                <c:pt idx="9">
                  <c:v>0.27768437219999997</c:v>
                </c:pt>
                <c:pt idx="10">
                  <c:v>0.23499137749999999</c:v>
                </c:pt>
                <c:pt idx="11">
                  <c:v>0.2579309004</c:v>
                </c:pt>
                <c:pt idx="12">
                  <c:v>0.26088408670000002</c:v>
                </c:pt>
                <c:pt idx="13">
                  <c:v>0.2439622736</c:v>
                </c:pt>
                <c:pt idx="14">
                  <c:v>0.25216941669999998</c:v>
                </c:pt>
                <c:pt idx="15">
                  <c:v>0.2293893521</c:v>
                </c:pt>
                <c:pt idx="16">
                  <c:v>0.2234782833</c:v>
                </c:pt>
                <c:pt idx="17">
                  <c:v>0.2154894597</c:v>
                </c:pt>
                <c:pt idx="18">
                  <c:v>0.2016266598</c:v>
                </c:pt>
                <c:pt idx="19">
                  <c:v>0.19076305700000001</c:v>
                </c:pt>
                <c:pt idx="20">
                  <c:v>0.16459604899999999</c:v>
                </c:pt>
                <c:pt idx="21">
                  <c:v>0.16141461139999999</c:v>
                </c:pt>
                <c:pt idx="22">
                  <c:v>0.15646377210000001</c:v>
                </c:pt>
                <c:pt idx="23">
                  <c:v>0.15579636720000001</c:v>
                </c:pt>
                <c:pt idx="24">
                  <c:v>0.1562262549</c:v>
                </c:pt>
                <c:pt idx="25">
                  <c:v>0.1487816501</c:v>
                </c:pt>
                <c:pt idx="26">
                  <c:v>0.14413575689999999</c:v>
                </c:pt>
                <c:pt idx="27">
                  <c:v>0.1321291101</c:v>
                </c:pt>
                <c:pt idx="28">
                  <c:v>0.1237461338</c:v>
                </c:pt>
                <c:pt idx="29">
                  <c:v>0.1089261712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'General Dashboard'!$C$171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Dashboard'!$AS$171:$BV$171</c:f>
              <c:numCache>
                <c:formatCode>0.0%</c:formatCode>
                <c:ptCount val="30"/>
                <c:pt idx="0">
                  <c:v>0.42200566750000001</c:v>
                </c:pt>
                <c:pt idx="1">
                  <c:v>0.41494347929999997</c:v>
                </c:pt>
                <c:pt idx="2">
                  <c:v>0.3742310761</c:v>
                </c:pt>
                <c:pt idx="3">
                  <c:v>0.38292517469999998</c:v>
                </c:pt>
                <c:pt idx="4">
                  <c:v>0.40007208849999998</c:v>
                </c:pt>
                <c:pt idx="5">
                  <c:v>0.41621399809999998</c:v>
                </c:pt>
                <c:pt idx="6">
                  <c:v>0.42005077870000002</c:v>
                </c:pt>
                <c:pt idx="7">
                  <c:v>0.33825805390000002</c:v>
                </c:pt>
                <c:pt idx="8">
                  <c:v>0.2695297418</c:v>
                </c:pt>
                <c:pt idx="9">
                  <c:v>0.235160965</c:v>
                </c:pt>
                <c:pt idx="10">
                  <c:v>0.2136247322</c:v>
                </c:pt>
                <c:pt idx="11">
                  <c:v>0.26255276249999998</c:v>
                </c:pt>
                <c:pt idx="12">
                  <c:v>0.2952508915</c:v>
                </c:pt>
                <c:pt idx="13">
                  <c:v>0.32638571830000002</c:v>
                </c:pt>
                <c:pt idx="14">
                  <c:v>0.34195791479999998</c:v>
                </c:pt>
                <c:pt idx="15">
                  <c:v>0.30653677369999999</c:v>
                </c:pt>
                <c:pt idx="16">
                  <c:v>0.29255758450000002</c:v>
                </c:pt>
                <c:pt idx="17">
                  <c:v>0.27294795560000001</c:v>
                </c:pt>
                <c:pt idx="18">
                  <c:v>0.28074743070000002</c:v>
                </c:pt>
                <c:pt idx="19">
                  <c:v>0.26619042399999998</c:v>
                </c:pt>
                <c:pt idx="20">
                  <c:v>0.23410656469999999</c:v>
                </c:pt>
                <c:pt idx="21">
                  <c:v>0.1984990928</c:v>
                </c:pt>
                <c:pt idx="22">
                  <c:v>0.1630856852</c:v>
                </c:pt>
                <c:pt idx="23">
                  <c:v>0.14713975560000001</c:v>
                </c:pt>
                <c:pt idx="24">
                  <c:v>0.14300862189999999</c:v>
                </c:pt>
                <c:pt idx="25">
                  <c:v>0.1477463812</c:v>
                </c:pt>
                <c:pt idx="26">
                  <c:v>0.15092394349999999</c:v>
                </c:pt>
                <c:pt idx="27">
                  <c:v>0.1447883794</c:v>
                </c:pt>
                <c:pt idx="28">
                  <c:v>0.1306035344</c:v>
                </c:pt>
                <c:pt idx="29">
                  <c:v>7.7139866299999998E-2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'General Dashboard'!$C$172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Dashboard'!$AS$172:$BV$172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0.115892272</c:v>
                </c:pt>
                <c:pt idx="9">
                  <c:v>0.1409735262</c:v>
                </c:pt>
                <c:pt idx="10">
                  <c:v>0.1641260481</c:v>
                </c:pt>
                <c:pt idx="11">
                  <c:v>0.16950056550000001</c:v>
                </c:pt>
                <c:pt idx="12">
                  <c:v>0.16819006719999999</c:v>
                </c:pt>
                <c:pt idx="13">
                  <c:v>0.16542047360000001</c:v>
                </c:pt>
                <c:pt idx="14">
                  <c:v>0.14994819240000001</c:v>
                </c:pt>
                <c:pt idx="15">
                  <c:v>0.1457845639</c:v>
                </c:pt>
                <c:pt idx="16">
                  <c:v>0.1286277726</c:v>
                </c:pt>
                <c:pt idx="17">
                  <c:v>0.13449389549999999</c:v>
                </c:pt>
                <c:pt idx="18">
                  <c:v>0.15480856030000001</c:v>
                </c:pt>
                <c:pt idx="19">
                  <c:v>0.1970778762</c:v>
                </c:pt>
                <c:pt idx="20">
                  <c:v>0.2349771433</c:v>
                </c:pt>
                <c:pt idx="21">
                  <c:v>0.2561535976</c:v>
                </c:pt>
                <c:pt idx="22">
                  <c:v>0.24584294500000001</c:v>
                </c:pt>
                <c:pt idx="23">
                  <c:v>0.21831554240000001</c:v>
                </c:pt>
                <c:pt idx="24">
                  <c:v>0.18613022730000001</c:v>
                </c:pt>
                <c:pt idx="25">
                  <c:v>0.16686405409999999</c:v>
                </c:pt>
                <c:pt idx="26">
                  <c:v>0.16111485040000001</c:v>
                </c:pt>
                <c:pt idx="27">
                  <c:v>0.14399599909999999</c:v>
                </c:pt>
                <c:pt idx="28">
                  <c:v>0.14168338820000001</c:v>
                </c:pt>
                <c:pt idx="29">
                  <c:v>0.2216796875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'General Dashboard'!$C$173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Dashboard'!$AS$173:$BV$173</c:f>
              <c:numCache>
                <c:formatCode>0.0%</c:formatCode>
                <c:ptCount val="30"/>
                <c:pt idx="0">
                  <c:v>0.35762669289999999</c:v>
                </c:pt>
                <c:pt idx="1">
                  <c:v>0.3292807848</c:v>
                </c:pt>
                <c:pt idx="2">
                  <c:v>0.29992999399999998</c:v>
                </c:pt>
                <c:pt idx="3">
                  <c:v>0.26328978619999999</c:v>
                </c:pt>
                <c:pt idx="4">
                  <c:v>0.242627288</c:v>
                </c:pt>
                <c:pt idx="5">
                  <c:v>0.23242417000000001</c:v>
                </c:pt>
                <c:pt idx="6">
                  <c:v>0.23762314239999999</c:v>
                </c:pt>
                <c:pt idx="7">
                  <c:v>0.2412545576</c:v>
                </c:pt>
                <c:pt idx="8">
                  <c:v>0.2321292975</c:v>
                </c:pt>
                <c:pt idx="9">
                  <c:v>0.21935918439999999</c:v>
                </c:pt>
                <c:pt idx="10">
                  <c:v>0.18322236650000001</c:v>
                </c:pt>
                <c:pt idx="11">
                  <c:v>0.17382754080000001</c:v>
                </c:pt>
                <c:pt idx="12">
                  <c:v>0.1772625759</c:v>
                </c:pt>
                <c:pt idx="13">
                  <c:v>0.1891977608</c:v>
                </c:pt>
                <c:pt idx="14">
                  <c:v>0.20474288769999999</c:v>
                </c:pt>
                <c:pt idx="15">
                  <c:v>0.1859297228</c:v>
                </c:pt>
                <c:pt idx="16">
                  <c:v>0.16727506880000001</c:v>
                </c:pt>
                <c:pt idx="17">
                  <c:v>0.1423736665</c:v>
                </c:pt>
                <c:pt idx="18">
                  <c:v>0.13766754959999999</c:v>
                </c:pt>
                <c:pt idx="19">
                  <c:v>0.13873144379999999</c:v>
                </c:pt>
                <c:pt idx="20">
                  <c:v>0.13813370359999999</c:v>
                </c:pt>
                <c:pt idx="21">
                  <c:v>0.13022034269999999</c:v>
                </c:pt>
                <c:pt idx="22">
                  <c:v>0.11637096769999999</c:v>
                </c:pt>
                <c:pt idx="23">
                  <c:v>0.100162631</c:v>
                </c:pt>
                <c:pt idx="24">
                  <c:v>8.8388111300000002E-2</c:v>
                </c:pt>
                <c:pt idx="25">
                  <c:v>8.1292115999999998E-2</c:v>
                </c:pt>
                <c:pt idx="26">
                  <c:v>7.7947274699999999E-2</c:v>
                </c:pt>
                <c:pt idx="27">
                  <c:v>7.4576729100000003E-2</c:v>
                </c:pt>
                <c:pt idx="28">
                  <c:v>6.8251112000000003E-2</c:v>
                </c:pt>
                <c:pt idx="29">
                  <c:v>4.1458096600000001E-2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'General Dashboard'!$C$174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Dashboard'!$AS$174:$BV$174</c:f>
              <c:numCache>
                <c:formatCode>0.0%</c:formatCode>
                <c:ptCount val="30"/>
                <c:pt idx="0">
                  <c:v>0.29385132050000001</c:v>
                </c:pt>
                <c:pt idx="1">
                  <c:v>0.25383134219999998</c:v>
                </c:pt>
                <c:pt idx="2">
                  <c:v>0.20203300099999999</c:v>
                </c:pt>
                <c:pt idx="3">
                  <c:v>0.16337974129999999</c:v>
                </c:pt>
                <c:pt idx="4">
                  <c:v>0.13009966749999999</c:v>
                </c:pt>
                <c:pt idx="5">
                  <c:v>0.10440006759999999</c:v>
                </c:pt>
                <c:pt idx="6">
                  <c:v>8.4525657300000001E-2</c:v>
                </c:pt>
                <c:pt idx="7">
                  <c:v>6.6200310499999998E-2</c:v>
                </c:pt>
                <c:pt idx="8">
                  <c:v>5.06931942E-2</c:v>
                </c:pt>
                <c:pt idx="9">
                  <c:v>3.6307210899999998E-2</c:v>
                </c:pt>
                <c:pt idx="10">
                  <c:v>2.5158744E-2</c:v>
                </c:pt>
                <c:pt idx="11">
                  <c:v>1.96789359E-2</c:v>
                </c:pt>
                <c:pt idx="12">
                  <c:v>1.77784821E-2</c:v>
                </c:pt>
                <c:pt idx="13">
                  <c:v>1.58945983E-2</c:v>
                </c:pt>
                <c:pt idx="14">
                  <c:v>1.4247231799999999E-2</c:v>
                </c:pt>
                <c:pt idx="15">
                  <c:v>1.16063117E-2</c:v>
                </c:pt>
                <c:pt idx="16">
                  <c:v>1.0639959399999999E-2</c:v>
                </c:pt>
                <c:pt idx="17">
                  <c:v>1.08730939E-2</c:v>
                </c:pt>
                <c:pt idx="18">
                  <c:v>1.15015645E-2</c:v>
                </c:pt>
                <c:pt idx="19">
                  <c:v>1.28772088E-2</c:v>
                </c:pt>
                <c:pt idx="20">
                  <c:v>1.41449556E-2</c:v>
                </c:pt>
                <c:pt idx="21">
                  <c:v>1.37751226E-2</c:v>
                </c:pt>
                <c:pt idx="22">
                  <c:v>1.2718615500000001E-2</c:v>
                </c:pt>
                <c:pt idx="23">
                  <c:v>1.05837847E-2</c:v>
                </c:pt>
                <c:pt idx="24">
                  <c:v>9.3615114999999992E-3</c:v>
                </c:pt>
                <c:pt idx="25">
                  <c:v>9.1272985000000004E-3</c:v>
                </c:pt>
                <c:pt idx="26">
                  <c:v>9.9762059999999996E-3</c:v>
                </c:pt>
                <c:pt idx="27">
                  <c:v>1.13939796E-2</c:v>
                </c:pt>
                <c:pt idx="28">
                  <c:v>1.1711314400000001E-2</c:v>
                </c:pt>
                <c:pt idx="29">
                  <c:v>8.1394134999999996E-3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'General Dashboard'!$C$175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Dashboard'!$AS$175:$BV$175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0.1213988704</c:v>
                </c:pt>
                <c:pt idx="11">
                  <c:v>0.18603163380000001</c:v>
                </c:pt>
                <c:pt idx="12">
                  <c:v>0.25038870749999997</c:v>
                </c:pt>
                <c:pt idx="13">
                  <c:v>0.30830922570000002</c:v>
                </c:pt>
                <c:pt idx="14">
                  <c:v>0.32879118089999998</c:v>
                </c:pt>
                <c:pt idx="15">
                  <c:v>0.3016885305</c:v>
                </c:pt>
                <c:pt idx="16">
                  <c:v>0.2769776504</c:v>
                </c:pt>
                <c:pt idx="17">
                  <c:v>0.28828022399999997</c:v>
                </c:pt>
                <c:pt idx="18">
                  <c:v>0.29650065460000002</c:v>
                </c:pt>
                <c:pt idx="19">
                  <c:v>0.29804421520000002</c:v>
                </c:pt>
                <c:pt idx="20">
                  <c:v>0.27445929050000001</c:v>
                </c:pt>
                <c:pt idx="21">
                  <c:v>0.24663425659999999</c:v>
                </c:pt>
                <c:pt idx="22">
                  <c:v>0.2137496914</c:v>
                </c:pt>
                <c:pt idx="23">
                  <c:v>0.20365006469999999</c:v>
                </c:pt>
                <c:pt idx="24">
                  <c:v>0.21122291330000001</c:v>
                </c:pt>
                <c:pt idx="25">
                  <c:v>0.22891865789999999</c:v>
                </c:pt>
                <c:pt idx="26">
                  <c:v>0.24665583460000001</c:v>
                </c:pt>
                <c:pt idx="27">
                  <c:v>0.24593527630000001</c:v>
                </c:pt>
                <c:pt idx="28">
                  <c:v>0.23484424679999999</c:v>
                </c:pt>
                <c:pt idx="29">
                  <c:v>0.1968709257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'General Dashboard'!$C$176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Dashboard'!$AS$176:$BV$176</c:f>
              <c:numCache>
                <c:formatCode>0.0%</c:formatCode>
                <c:ptCount val="30"/>
                <c:pt idx="0">
                  <c:v>#N/A</c:v>
                </c:pt>
                <c:pt idx="1">
                  <c:v>0.57477596929999997</c:v>
                </c:pt>
                <c:pt idx="2">
                  <c:v>0.5321632208</c:v>
                </c:pt>
                <c:pt idx="3">
                  <c:v>0.41531027790000002</c:v>
                </c:pt>
                <c:pt idx="4">
                  <c:v>0.37149472109999998</c:v>
                </c:pt>
                <c:pt idx="5">
                  <c:v>0.33126424360000001</c:v>
                </c:pt>
                <c:pt idx="6">
                  <c:v>0.3271811074</c:v>
                </c:pt>
                <c:pt idx="7">
                  <c:v>0.36550818750000003</c:v>
                </c:pt>
                <c:pt idx="8">
                  <c:v>0.40581182170000002</c:v>
                </c:pt>
                <c:pt idx="9">
                  <c:v>0.44442312779999998</c:v>
                </c:pt>
                <c:pt idx="10">
                  <c:v>0.41179113499999997</c:v>
                </c:pt>
                <c:pt idx="11">
                  <c:v>0.44477049810000002</c:v>
                </c:pt>
                <c:pt idx="12">
                  <c:v>0.4176940998</c:v>
                </c:pt>
                <c:pt idx="13">
                  <c:v>0.40072411130000002</c:v>
                </c:pt>
                <c:pt idx="14">
                  <c:v>0.40181660079999998</c:v>
                </c:pt>
                <c:pt idx="15">
                  <c:v>0.31752852500000001</c:v>
                </c:pt>
                <c:pt idx="16">
                  <c:v>0.26505322879999998</c:v>
                </c:pt>
                <c:pt idx="17">
                  <c:v>0.22421023840000001</c:v>
                </c:pt>
                <c:pt idx="18">
                  <c:v>0.21323881149999999</c:v>
                </c:pt>
                <c:pt idx="19">
                  <c:v>0.21256103509999999</c:v>
                </c:pt>
                <c:pt idx="20">
                  <c:v>0.20296315349999999</c:v>
                </c:pt>
                <c:pt idx="21">
                  <c:v>0.19608545399999999</c:v>
                </c:pt>
                <c:pt idx="22">
                  <c:v>0.18699176789999999</c:v>
                </c:pt>
                <c:pt idx="23">
                  <c:v>0.18224855070000001</c:v>
                </c:pt>
                <c:pt idx="24">
                  <c:v>0.18536418460000001</c:v>
                </c:pt>
                <c:pt idx="25">
                  <c:v>0.17988033749999999</c:v>
                </c:pt>
                <c:pt idx="26">
                  <c:v>0.1733709581</c:v>
                </c:pt>
                <c:pt idx="27">
                  <c:v>0.1516460577</c:v>
                </c:pt>
                <c:pt idx="28">
                  <c:v>0.13154845170000001</c:v>
                </c:pt>
                <c:pt idx="29">
                  <c:v>9.7940332000000005E-2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'General Dashboard'!$C$177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Dashboard'!$AS$177:$BV$177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0.53899069779999997</c:v>
                </c:pt>
                <c:pt idx="5">
                  <c:v>0.63350323320000002</c:v>
                </c:pt>
                <c:pt idx="6">
                  <c:v>0.59973722620000003</c:v>
                </c:pt>
                <c:pt idx="7">
                  <c:v>0.42123220750000001</c:v>
                </c:pt>
                <c:pt idx="8">
                  <c:v>0.36820697930000001</c:v>
                </c:pt>
                <c:pt idx="9">
                  <c:v>0.32672642299999999</c:v>
                </c:pt>
                <c:pt idx="10">
                  <c:v>0.32977408000000002</c:v>
                </c:pt>
                <c:pt idx="11">
                  <c:v>0.329660866</c:v>
                </c:pt>
                <c:pt idx="12">
                  <c:v>0.31004561619999998</c:v>
                </c:pt>
                <c:pt idx="13">
                  <c:v>0.26191248880000001</c:v>
                </c:pt>
                <c:pt idx="14">
                  <c:v>0.20700169169999999</c:v>
                </c:pt>
                <c:pt idx="15">
                  <c:v>0.14734001560000001</c:v>
                </c:pt>
                <c:pt idx="16">
                  <c:v>0.1075355721</c:v>
                </c:pt>
                <c:pt idx="17">
                  <c:v>8.7215216700000001E-2</c:v>
                </c:pt>
                <c:pt idx="18">
                  <c:v>9.0053740600000001E-2</c:v>
                </c:pt>
                <c:pt idx="19">
                  <c:v>9.9291544499999995E-2</c:v>
                </c:pt>
                <c:pt idx="20">
                  <c:v>0.1055441546</c:v>
                </c:pt>
                <c:pt idx="21">
                  <c:v>0.10102217350000001</c:v>
                </c:pt>
                <c:pt idx="22">
                  <c:v>9.50922555E-2</c:v>
                </c:pt>
                <c:pt idx="23">
                  <c:v>9.0977011699999999E-2</c:v>
                </c:pt>
                <c:pt idx="24">
                  <c:v>9.4308531500000001E-2</c:v>
                </c:pt>
                <c:pt idx="25">
                  <c:v>0.1008713455</c:v>
                </c:pt>
                <c:pt idx="26">
                  <c:v>0.10541398740000001</c:v>
                </c:pt>
                <c:pt idx="27">
                  <c:v>0.1047674012</c:v>
                </c:pt>
                <c:pt idx="28">
                  <c:v>9.9304846399999994E-2</c:v>
                </c:pt>
                <c:pt idx="29">
                  <c:v>8.8648648600000005E-2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'General Dashboard'!$C$178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Dashboard'!$AS$178:$BV$178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0.4805199275</c:v>
                </c:pt>
                <c:pt idx="5">
                  <c:v>0.4776924749</c:v>
                </c:pt>
                <c:pt idx="6">
                  <c:v>0.44471277510000001</c:v>
                </c:pt>
                <c:pt idx="7">
                  <c:v>0.39300391169999999</c:v>
                </c:pt>
                <c:pt idx="8">
                  <c:v>0.3022130596</c:v>
                </c:pt>
                <c:pt idx="9">
                  <c:v>0.26309155150000002</c:v>
                </c:pt>
                <c:pt idx="10">
                  <c:v>0.21673258179999999</c:v>
                </c:pt>
                <c:pt idx="11">
                  <c:v>0.25685504809999998</c:v>
                </c:pt>
                <c:pt idx="12">
                  <c:v>0.2723351389</c:v>
                </c:pt>
                <c:pt idx="13">
                  <c:v>0.32657515079999999</c:v>
                </c:pt>
                <c:pt idx="14">
                  <c:v>0.33835293729999999</c:v>
                </c:pt>
                <c:pt idx="15">
                  <c:v>0.30567088650000002</c:v>
                </c:pt>
                <c:pt idx="16">
                  <c:v>0.25954379259999999</c:v>
                </c:pt>
                <c:pt idx="17">
                  <c:v>0.20188107720000001</c:v>
                </c:pt>
                <c:pt idx="18">
                  <c:v>0.2112739595</c:v>
                </c:pt>
                <c:pt idx="19">
                  <c:v>0.22415027430000001</c:v>
                </c:pt>
                <c:pt idx="20">
                  <c:v>0.2497986395</c:v>
                </c:pt>
                <c:pt idx="21">
                  <c:v>0.23552997780000001</c:v>
                </c:pt>
                <c:pt idx="22">
                  <c:v>0.2050974401</c:v>
                </c:pt>
                <c:pt idx="23">
                  <c:v>0.16697039329999999</c:v>
                </c:pt>
                <c:pt idx="24">
                  <c:v>0.13926163699999999</c:v>
                </c:pt>
                <c:pt idx="25">
                  <c:v>0.11758148879999999</c:v>
                </c:pt>
                <c:pt idx="26">
                  <c:v>0.10382082519999999</c:v>
                </c:pt>
                <c:pt idx="27">
                  <c:v>9.0612807099999998E-2</c:v>
                </c:pt>
                <c:pt idx="28">
                  <c:v>8.30050643E-2</c:v>
                </c:pt>
                <c:pt idx="29">
                  <c:v>7.3706925600000001E-2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'General Dashboard'!$C$179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Dashboard'!$AS$179:$BV$179</c:f>
              <c:numCache>
                <c:formatCode>0.0%</c:formatCode>
                <c:ptCount val="30"/>
                <c:pt idx="0">
                  <c:v>9.6543306999999995E-2</c:v>
                </c:pt>
                <c:pt idx="1">
                  <c:v>0.13459270609999999</c:v>
                </c:pt>
                <c:pt idx="2">
                  <c:v>0.18357281119999999</c:v>
                </c:pt>
                <c:pt idx="3">
                  <c:v>0.24415216049999999</c:v>
                </c:pt>
                <c:pt idx="4">
                  <c:v>0.27185353239999999</c:v>
                </c:pt>
                <c:pt idx="5">
                  <c:v>0.32021443710000003</c:v>
                </c:pt>
                <c:pt idx="6">
                  <c:v>0.34147058149999998</c:v>
                </c:pt>
                <c:pt idx="7">
                  <c:v>0.32748127789999998</c:v>
                </c:pt>
                <c:pt idx="8">
                  <c:v>0.34578875190000002</c:v>
                </c:pt>
                <c:pt idx="9">
                  <c:v>0.33793107989999999</c:v>
                </c:pt>
                <c:pt idx="10">
                  <c:v>0.34801668810000003</c:v>
                </c:pt>
                <c:pt idx="11">
                  <c:v>0.35875559000000001</c:v>
                </c:pt>
                <c:pt idx="12">
                  <c:v>0.33631243700000002</c:v>
                </c:pt>
                <c:pt idx="13">
                  <c:v>0.3135805519</c:v>
                </c:pt>
                <c:pt idx="14">
                  <c:v>0.29148040590000002</c:v>
                </c:pt>
                <c:pt idx="15">
                  <c:v>0.29822384740000002</c:v>
                </c:pt>
                <c:pt idx="16">
                  <c:v>0.30128479419999998</c:v>
                </c:pt>
                <c:pt idx="17">
                  <c:v>0.34956142810000002</c:v>
                </c:pt>
                <c:pt idx="18">
                  <c:v>0.39023118849999999</c:v>
                </c:pt>
                <c:pt idx="19">
                  <c:v>0.41456572079999998</c:v>
                </c:pt>
                <c:pt idx="20">
                  <c:v>0.42589780849999997</c:v>
                </c:pt>
                <c:pt idx="21">
                  <c:v>0.38507232419999998</c:v>
                </c:pt>
                <c:pt idx="22">
                  <c:v>0.3402312233</c:v>
                </c:pt>
                <c:pt idx="23">
                  <c:v>0.29400499619999998</c:v>
                </c:pt>
                <c:pt idx="24">
                  <c:v>0.27124017049999999</c:v>
                </c:pt>
                <c:pt idx="25">
                  <c:v>0.25093877349999999</c:v>
                </c:pt>
                <c:pt idx="26">
                  <c:v>0.23757098639999999</c:v>
                </c:pt>
                <c:pt idx="27">
                  <c:v>0.221776747</c:v>
                </c:pt>
                <c:pt idx="28">
                  <c:v>0.20177195079999999</c:v>
                </c:pt>
                <c:pt idx="29">
                  <c:v>0.1484959471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'General Dashboard'!$C$180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Dashboard'!$AS$180:$BV$180</c:f>
              <c:numCache>
                <c:formatCode>0.0%</c:formatCode>
                <c:ptCount val="30"/>
                <c:pt idx="0">
                  <c:v>0.24655898809999999</c:v>
                </c:pt>
                <c:pt idx="1">
                  <c:v>0.2753829914</c:v>
                </c:pt>
                <c:pt idx="2">
                  <c:v>0.3198396423</c:v>
                </c:pt>
                <c:pt idx="3">
                  <c:v>0.3350934263</c:v>
                </c:pt>
                <c:pt idx="4">
                  <c:v>0.38378257519999998</c:v>
                </c:pt>
                <c:pt idx="5">
                  <c:v>0.39720589779999999</c:v>
                </c:pt>
                <c:pt idx="6">
                  <c:v>0.38199219420000002</c:v>
                </c:pt>
                <c:pt idx="7">
                  <c:v>0.33614646300000001</c:v>
                </c:pt>
                <c:pt idx="8">
                  <c:v>0.28051832589999998</c:v>
                </c:pt>
                <c:pt idx="9">
                  <c:v>0.2439688877</c:v>
                </c:pt>
                <c:pt idx="10">
                  <c:v>0.1915158176</c:v>
                </c:pt>
                <c:pt idx="11">
                  <c:v>0.20913983959999999</c:v>
                </c:pt>
                <c:pt idx="12">
                  <c:v>0.25146463689999998</c:v>
                </c:pt>
                <c:pt idx="13">
                  <c:v>0.27657488180000001</c:v>
                </c:pt>
                <c:pt idx="14">
                  <c:v>0.31104471880000001</c:v>
                </c:pt>
                <c:pt idx="15">
                  <c:v>0.28297013640000002</c:v>
                </c:pt>
                <c:pt idx="16">
                  <c:v>0.2644133622</c:v>
                </c:pt>
                <c:pt idx="17">
                  <c:v>0.23948635679999999</c:v>
                </c:pt>
                <c:pt idx="18">
                  <c:v>0.24880983670000001</c:v>
                </c:pt>
                <c:pt idx="19">
                  <c:v>0.26034096600000001</c:v>
                </c:pt>
                <c:pt idx="20">
                  <c:v>0.2446320515</c:v>
                </c:pt>
                <c:pt idx="21">
                  <c:v>0.24314624579999999</c:v>
                </c:pt>
                <c:pt idx="22">
                  <c:v>0.2172039855</c:v>
                </c:pt>
                <c:pt idx="23">
                  <c:v>0.2001932176</c:v>
                </c:pt>
                <c:pt idx="24">
                  <c:v>0.18815288829999999</c:v>
                </c:pt>
                <c:pt idx="25">
                  <c:v>0.19791809899999999</c:v>
                </c:pt>
                <c:pt idx="26">
                  <c:v>0.20680234459999999</c:v>
                </c:pt>
                <c:pt idx="27">
                  <c:v>0.2050778496</c:v>
                </c:pt>
                <c:pt idx="28">
                  <c:v>0.1903433273</c:v>
                </c:pt>
                <c:pt idx="29">
                  <c:v>0.13415633639999999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'General Dashboard'!$C$181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Dashboard'!$AS$181:$BV$181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'General Dashboard'!$C$182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Dashboard'!$AS$182:$BV$182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'General Dashboard'!$C$183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Dashboard'!$AS$183:$BV$183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'General Dashboard'!$C$184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Dashboard'!$AS$184:$BV$184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'General Dashboard'!$C$185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Dashboard'!$AS$185:$BV$185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'General Dashboard'!$C$186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Dashboard'!$AS$186:$BV$186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'General Dashboard'!$C$187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Dashboard'!$AS$187:$BV$187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'General Dashboard'!$C$188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Dashboard'!$AS$188:$BV$188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'General Dashboard'!$C$189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Dashboard'!$AS$189:$BV$189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'General Dashboard'!$C$190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Dashboard'!$AS$190:$BV$190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'General Dashboard'!$C$191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Dashboard'!$AS$191:$BV$191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'General Dashboard'!$C$192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Dashboard'!$AS$192:$BV$192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'General Dashboard'!$C$193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Dashboard'!$AS$193:$BV$193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'General Dashboard'!$C$194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Dashboard'!$AS$194:$BV$194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'General Dashboard'!$C$195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Dashboard'!$AS$195:$BV$195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'General Dashboard'!$C$196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Dashboard'!$AS$196:$BV$196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'General Dashboard'!$C$197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Dashboard'!$AS$197:$BV$197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'General Dashboard'!$C$198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Dashboard'!$AS$198:$BV$198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'General Dashboard'!$C$199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Dashboard'!$AS$199:$BV$199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'General Dashboard'!$C$200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Dashboard'!$AS$200:$BV$200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'General Dashboard'!$C$201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Dashboard'!$AS$201:$BV$201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'General Dashboard'!$C$202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Dashboard'!$AS$202:$BV$202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'General Dashboard'!$C$203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Dashboard'!$AS$203:$BV$203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'General Dashboard'!$C$204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Dashboard'!$AS$204:$BV$204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'General Dashboard'!$C$205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Dashboard'!$AS$205:$BV$205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'General Dashboard'!$C$206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Dashboard'!$AS$206:$BV$206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'General Dashboard'!$C$207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Dashboard'!$AS$207:$BV$207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'General Dashboard'!$C$208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Dashboard'!$AS$208:$BV$208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'General Dashboard'!$C$209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Dashboard'!$AS$209:$BV$209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'General Dashboard'!$C$210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Dashboard'!$AS$210:$BV$210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'General Dashboard'!$C$211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Dashboard'!$AS$211:$BV$211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'General Dashboard'!$C$212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Dashboard'!$AS$212:$BV$212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'General Dashboard'!$C$213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Dashboard'!$AS$213:$BV$213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'General Dashboard'!$C$214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Dashboard'!$AS$214:$BV$214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'General Dashboard'!$C$215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Dashboard'!$AS$215:$BV$215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'General Dashboard'!$C$216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Dashboard'!$AS$216:$BV$216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'General Dashboard'!$C$217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Dashboard'!$AS$217:$BV$217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'General Dashboard'!$C$218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Dashboard'!$AS$218:$BV$218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'General Dashboard'!$C$219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Dashboard'!$AS$219:$BV$219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'General Dashboard'!$C$220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Dashboard'!$AS$220:$BV$220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'General Dashboard'!$C$221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Dashboard'!$AS$221:$BV$221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'General Dashboard'!$C$222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Dashboard'!$AS$222:$BV$222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'General Dashboard'!$C$223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Dashboard'!$AS$223:$BV$223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'General Dashboard'!$C$224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Dashboard'!$AS$224:$BV$224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'General Dashboard'!$C$225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Dashboard'!$AS$225:$BV$225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22324666681622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599515</xdr:colOff>
      <xdr:row>17</xdr:row>
      <xdr:rowOff>88807</xdr:rowOff>
    </xdr:from>
    <xdr:to>
      <xdr:col>7</xdr:col>
      <xdr:colOff>292090</xdr:colOff>
      <xdr:row>32</xdr:row>
      <xdr:rowOff>111307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495300</xdr:colOff>
      <xdr:row>17</xdr:row>
      <xdr:rowOff>66675</xdr:rowOff>
    </xdr:from>
    <xdr:to>
      <xdr:col>14</xdr:col>
      <xdr:colOff>321225</xdr:colOff>
      <xdr:row>32</xdr:row>
      <xdr:rowOff>89175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609600</xdr:colOff>
      <xdr:row>32</xdr:row>
      <xdr:rowOff>174532</xdr:rowOff>
    </xdr:from>
    <xdr:to>
      <xdr:col>7</xdr:col>
      <xdr:colOff>302175</xdr:colOff>
      <xdr:row>48</xdr:row>
      <xdr:rowOff>6532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533960</xdr:colOff>
      <xdr:row>33</xdr:row>
      <xdr:rowOff>0</xdr:rowOff>
    </xdr:from>
    <xdr:to>
      <xdr:col>14</xdr:col>
      <xdr:colOff>359885</xdr:colOff>
      <xdr:row>48</xdr:row>
      <xdr:rowOff>22500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BV107"/>
  <sheetViews>
    <sheetView zoomScale="115" zoomScaleNormal="115" workbookViewId="0">
      <selection activeCell="D7" sqref="D7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4" spans="1:20" s="1" customFormat="1" x14ac:dyDescent="0.25">
      <c r="B4" s="1" t="s">
        <v>134</v>
      </c>
      <c r="E4" s="1" t="s">
        <v>134</v>
      </c>
      <c r="F4" s="1" t="s">
        <v>134</v>
      </c>
      <c r="G4" s="1" t="s">
        <v>166</v>
      </c>
      <c r="J4" s="1" t="s">
        <v>134</v>
      </c>
      <c r="K4" s="1" t="s">
        <v>134</v>
      </c>
      <c r="L4" s="1" t="s">
        <v>165</v>
      </c>
      <c r="N4" s="1" t="s">
        <v>139</v>
      </c>
      <c r="O4" s="1" t="s">
        <v>139</v>
      </c>
      <c r="P4" s="1" t="s">
        <v>137</v>
      </c>
      <c r="Q4" s="1" t="s">
        <v>137</v>
      </c>
      <c r="R4" s="1" t="s">
        <v>137</v>
      </c>
    </row>
    <row r="5" spans="1:20" s="1" customFormat="1" x14ac:dyDescent="0.25">
      <c r="E5" s="1">
        <v>2</v>
      </c>
      <c r="F5" s="1">
        <v>3</v>
      </c>
      <c r="G5" s="1">
        <v>4</v>
      </c>
      <c r="J5" s="1">
        <v>4</v>
      </c>
      <c r="K5" s="1">
        <v>5</v>
      </c>
      <c r="L5" s="1">
        <v>4</v>
      </c>
      <c r="N5" s="1">
        <v>6</v>
      </c>
      <c r="O5" s="1">
        <v>7</v>
      </c>
      <c r="P5" s="1">
        <f ca="1">MATCH("Last Trend",INDIRECT("'Confirmed Trend'!1:1"),0)</f>
        <v>76</v>
      </c>
      <c r="Q5" s="1">
        <f ca="1">P5-1</f>
        <v>75</v>
      </c>
      <c r="R5" s="1">
        <f ca="1">Q5-7</f>
        <v>68</v>
      </c>
    </row>
    <row r="6" spans="1:20" s="1" customFormat="1" x14ac:dyDescent="0.25">
      <c r="C6" s="7" t="s">
        <v>156</v>
      </c>
      <c r="D6" s="8"/>
      <c r="E6" s="8"/>
      <c r="F6" s="9"/>
      <c r="G6" s="7" t="s">
        <v>166</v>
      </c>
      <c r="H6" s="24"/>
      <c r="I6" s="8"/>
      <c r="J6" s="7" t="s">
        <v>155</v>
      </c>
      <c r="K6" s="9"/>
      <c r="L6" s="7" t="s">
        <v>170</v>
      </c>
      <c r="M6" s="8"/>
      <c r="N6" s="7" t="s">
        <v>154</v>
      </c>
      <c r="O6" s="9"/>
      <c r="P6" s="7" t="s">
        <v>153</v>
      </c>
      <c r="Q6" s="8"/>
      <c r="R6" s="9"/>
    </row>
    <row r="7" spans="1:20" s="1" customFormat="1" ht="30" x14ac:dyDescent="0.25">
      <c r="A7" s="1">
        <v>6</v>
      </c>
      <c r="B7" s="1">
        <f ca="1">MATCH("Country/Region",INDIRECT("'Confirmed'!A:A"),0)</f>
        <v>1</v>
      </c>
      <c r="C7" s="10" t="s">
        <v>157</v>
      </c>
      <c r="D7" s="6"/>
      <c r="E7" s="6" t="s">
        <v>65</v>
      </c>
      <c r="F7" s="11" t="s">
        <v>148</v>
      </c>
      <c r="G7" s="6" t="s">
        <v>168</v>
      </c>
      <c r="H7" s="6" t="s">
        <v>169</v>
      </c>
      <c r="I7" s="6" t="s">
        <v>167</v>
      </c>
      <c r="J7" s="10" t="s">
        <v>63</v>
      </c>
      <c r="K7" s="11" t="s">
        <v>147</v>
      </c>
      <c r="L7" s="6" t="s">
        <v>165</v>
      </c>
      <c r="M7" s="6" t="s">
        <v>171</v>
      </c>
      <c r="N7" s="10" t="s">
        <v>139</v>
      </c>
      <c r="O7" s="11" t="s">
        <v>149</v>
      </c>
      <c r="P7" s="10" t="s">
        <v>150</v>
      </c>
      <c r="Q7" s="6" t="s">
        <v>151</v>
      </c>
      <c r="R7" s="11" t="s">
        <v>152</v>
      </c>
      <c r="S7" s="6"/>
      <c r="T7" s="6"/>
    </row>
    <row r="8" spans="1:20" s="1" customFormat="1" x14ac:dyDescent="0.25">
      <c r="A8" s="1">
        <v>6</v>
      </c>
      <c r="B8" s="1">
        <f ca="1">MATCH($C8,INDIRECT("'"&amp;$E$4&amp;"'!A:A"),0)</f>
        <v>9</v>
      </c>
      <c r="C8" s="15" t="s">
        <v>178</v>
      </c>
      <c r="D8" s="8"/>
      <c r="E8" s="8" cm="1">
        <f t="array" aca="1" ref="E8" ca="1">INDIRECT(ADDRESS($B8,E$5,1,1,E$4))</f>
        <v>60461826</v>
      </c>
      <c r="F8" s="9" cm="1">
        <f t="array" aca="1" ref="F8" ca="1">INDIRECT(ADDRESS($B8,F$5,1,1,F$4))</f>
        <v>294140</v>
      </c>
      <c r="G8" s="15" cm="1">
        <f t="array" aca="1" ref="G8" ca="1">INDIRECT(ADDRESS($B8,G$5,1,1,G$4))</f>
        <v>0</v>
      </c>
      <c r="H8" s="8">
        <f ca="1">G8/E8*100000</f>
        <v>0</v>
      </c>
      <c r="I8" s="23" t="e">
        <f t="shared" ref="I8:I15" ca="1" si="0">J8/G8</f>
        <v>#DIV/0!</v>
      </c>
      <c r="J8" s="15" cm="1">
        <f t="array" aca="1" ref="J8" ca="1">INDIRECT(ADDRESS($B8,J$5,1,1,J$4))</f>
        <v>101739</v>
      </c>
      <c r="K8" s="9" cm="1">
        <f t="array" aca="1" ref="K8" ca="1">INDIRECT(ADDRESS($B8,K$5,1,1,K$4))</f>
        <v>168.26981044199999</v>
      </c>
      <c r="L8" s="15" cm="1">
        <f t="array" aca="1" ref="L8" ca="1">INDIRECT(ADDRESS($B8,L$5,1,1,L$4))</f>
        <v>0</v>
      </c>
      <c r="M8" s="25">
        <f ca="1">L8/J8</f>
        <v>0</v>
      </c>
      <c r="N8" s="12" cm="1">
        <f t="array" aca="1" ref="N8" ca="1">INDIRECT(ADDRESS($B8,N$5,1,1,N$4))</f>
        <v>0.11392877849999999</v>
      </c>
      <c r="O8" s="14" cm="1">
        <f t="array" aca="1" ref="O8" ca="1">INDIRECT(ADDRESS($B8,O$5,1,1,O$4))</f>
        <v>0.1675581126</v>
      </c>
      <c r="P8" s="12" cm="1">
        <f t="array" aca="1" ref="P8" ca="1">INDIRECT(ADDRESS($B8,P$5,1,1,P$4))</f>
        <v>4.1458096600000001E-2</v>
      </c>
      <c r="Q8" s="13" cm="1">
        <f t="array" aca="1" ref="Q8" ca="1">INDIRECT(ADDRESS($B8,Q$5,1,1,Q$4))</f>
        <v>6.8251112000000003E-2</v>
      </c>
      <c r="R8" s="14" cm="1">
        <f t="array" aca="1" ref="R8" ca="1">INDIRECT(ADDRESS($B8,R$5,1,1,R$4))</f>
        <v>0.13022034269999999</v>
      </c>
    </row>
    <row r="9" spans="1:20" s="1" customFormat="1" x14ac:dyDescent="0.25">
      <c r="A9" s="1">
        <v>6</v>
      </c>
      <c r="B9" s="1">
        <f ca="1">MATCH($C9,INDIRECT("'"&amp;$E$4&amp;"'!A:A"),0)</f>
        <v>12</v>
      </c>
      <c r="C9" s="15" t="s">
        <v>175</v>
      </c>
      <c r="D9" s="8"/>
      <c r="E9" s="8" cm="1">
        <f t="array" aca="1" ref="E9" ca="1">INDIRECT(ADDRESS($B9,E$5,1,1,E$4))</f>
        <v>46754778</v>
      </c>
      <c r="F9" s="9" cm="1">
        <f t="array" aca="1" ref="F9" ca="1">INDIRECT(ADDRESS($B9,F$5,1,1,F$4))</f>
        <v>498800</v>
      </c>
      <c r="G9" s="15" cm="1">
        <f t="array" aca="1" ref="G9" ca="1">INDIRECT(ADDRESS($B9,G$5,1,1,G$4))</f>
        <v>0</v>
      </c>
      <c r="H9" s="8">
        <f t="shared" ref="H9:H15" ca="1" si="1">G9/E9*100000</f>
        <v>0</v>
      </c>
      <c r="I9" s="23" t="e">
        <f t="shared" ca="1" si="0"/>
        <v>#DIV/0!</v>
      </c>
      <c r="J9" s="15" cm="1">
        <f t="array" aca="1" ref="J9" ca="1">INDIRECT(ADDRESS($B9,J$5,1,1,J$4))</f>
        <v>87956</v>
      </c>
      <c r="K9" s="9" cm="1">
        <f t="array" aca="1" ref="K9" ca="1">INDIRECT(ADDRESS($B9,K$5,1,1,K$4))</f>
        <v>188.12194980370001</v>
      </c>
      <c r="L9" s="15" cm="1">
        <f t="array" aca="1" ref="L9" ca="1">INDIRECT(ADDRESS($B9,L$5,1,1,L$4))</f>
        <v>0</v>
      </c>
      <c r="M9" s="25">
        <f t="shared" ref="M9:M15" ca="1" si="2">L9/J9</f>
        <v>0</v>
      </c>
      <c r="N9" s="12" cm="1">
        <f t="array" aca="1" ref="N9" ca="1">INDIRECT(ADDRESS($B9,N$5,1,1,N$4))</f>
        <v>8.7725681E-2</v>
      </c>
      <c r="O9" s="14" cm="1">
        <f t="array" aca="1" ref="O9" ca="1">INDIRECT(ADDRESS($B9,O$5,1,1,O$4))</f>
        <v>0.19345618649999999</v>
      </c>
      <c r="P9" s="12" cm="1">
        <f t="array" aca="1" ref="P9" ca="1">INDIRECT(ADDRESS($B9,P$5,1,1,P$4))</f>
        <v>9.7940332000000005E-2</v>
      </c>
      <c r="Q9" s="13" cm="1">
        <f t="array" aca="1" ref="Q9" ca="1">INDIRECT(ADDRESS($B9,Q$5,1,1,Q$4))</f>
        <v>0.13154845170000001</v>
      </c>
      <c r="R9" s="14" cm="1">
        <f t="array" aca="1" ref="R9" ca="1">INDIRECT(ADDRESS($B9,R$5,1,1,R$4))</f>
        <v>0.19608545399999999</v>
      </c>
    </row>
    <row r="10" spans="1:20" s="1" customFormat="1" x14ac:dyDescent="0.25">
      <c r="A10" s="1">
        <v>6</v>
      </c>
      <c r="B10" s="1">
        <f ca="1">MATCH($C10,INDIRECT("'"&amp;$E$4&amp;"'!A:A"),0)</f>
        <v>15</v>
      </c>
      <c r="C10" s="15" t="s">
        <v>173</v>
      </c>
      <c r="D10" s="8"/>
      <c r="E10" s="8" cm="1">
        <f t="array" aca="1" ref="E10" ca="1">INDIRECT(ADDRESS($B10,E$5,1,1,E$4))</f>
        <v>331002651</v>
      </c>
      <c r="F10" s="9" cm="1">
        <f t="array" aca="1" ref="F10" ca="1">INDIRECT(ADDRESS($B10,F$5,1,1,F$4))</f>
        <v>9147420</v>
      </c>
      <c r="G10" s="15" cm="1">
        <f t="array" aca="1" ref="G10" ca="1">INDIRECT(ADDRESS($B10,G$5,1,1,G$4))</f>
        <v>0</v>
      </c>
      <c r="H10" s="8">
        <f t="shared" ca="1" si="1"/>
        <v>0</v>
      </c>
      <c r="I10" s="23" t="e">
        <f t="shared" ca="1" si="0"/>
        <v>#DIV/0!</v>
      </c>
      <c r="J10" s="15" cm="1">
        <f t="array" aca="1" ref="J10" ca="1">INDIRECT(ADDRESS($B10,J$5,1,1,J$4))</f>
        <v>161807</v>
      </c>
      <c r="K10" s="9" cm="1">
        <f t="array" aca="1" ref="K10" ca="1">INDIRECT(ADDRESS($B10,K$5,1,1,K$4))</f>
        <v>48.883898516000002</v>
      </c>
      <c r="L10" s="15" cm="1">
        <f t="array" aca="1" ref="L10" ca="1">INDIRECT(ADDRESS($B10,L$5,1,1,L$4))</f>
        <v>0</v>
      </c>
      <c r="M10" s="25">
        <f t="shared" ca="1" si="2"/>
        <v>0</v>
      </c>
      <c r="N10" s="12" cm="1">
        <f t="array" aca="1" ref="N10" ca="1">INDIRECT(ADDRESS($B10,N$5,1,1,N$4))</f>
        <v>1.84046426E-2</v>
      </c>
      <c r="O10" s="14" cm="1">
        <f t="array" aca="1" ref="O10" ca="1">INDIRECT(ADDRESS($B10,O$5,1,1,O$4))</f>
        <v>5.5414960899999997E-2</v>
      </c>
      <c r="P10" s="12" cm="1">
        <f t="array" aca="1" ref="P10" ca="1">INDIRECT(ADDRESS($B10,P$5,1,1,P$4))</f>
        <v>0.1484959471</v>
      </c>
      <c r="Q10" s="13" cm="1">
        <f t="array" aca="1" ref="Q10" ca="1">INDIRECT(ADDRESS($B10,Q$5,1,1,Q$4))</f>
        <v>0.20177195079999999</v>
      </c>
      <c r="R10" s="14" cm="1">
        <f t="array" aca="1" ref="R10" ca="1">INDIRECT(ADDRESS($B10,R$5,1,1,R$4))</f>
        <v>0.38507232419999998</v>
      </c>
    </row>
    <row r="11" spans="1:20" s="1" customFormat="1" x14ac:dyDescent="0.25">
      <c r="A11" s="1">
        <v>6</v>
      </c>
      <c r="B11" s="1">
        <f ca="1">MATCH($C11,INDIRECT("'"&amp;$E$4&amp;"'!A:A"),0)</f>
        <v>14</v>
      </c>
      <c r="C11" s="15" t="s">
        <v>0</v>
      </c>
      <c r="D11" s="8"/>
      <c r="E11" s="8" cm="1">
        <f t="array" aca="1" ref="E11" ca="1">INDIRECT(ADDRESS($B11,E$5,1,1,E$4))</f>
        <v>8654622</v>
      </c>
      <c r="F11" s="9" cm="1">
        <f t="array" aca="1" ref="F11" ca="1">INDIRECT(ADDRESS($B11,F$5,1,1,F$4))</f>
        <v>39516</v>
      </c>
      <c r="G11" s="15" cm="1">
        <f t="array" aca="1" ref="G11" ca="1">INDIRECT(ADDRESS($B11,G$5,1,1,G$4))</f>
        <v>0</v>
      </c>
      <c r="H11" s="8">
        <f t="shared" ca="1" si="1"/>
        <v>0</v>
      </c>
      <c r="I11" s="23" t="e">
        <f t="shared" ca="1" si="0"/>
        <v>#DIV/0!</v>
      </c>
      <c r="J11" s="15" cm="1">
        <f t="array" aca="1" ref="J11" ca="1">INDIRECT(ADDRESS($B11,J$5,1,1,J$4))</f>
        <v>15922</v>
      </c>
      <c r="K11" s="9" cm="1">
        <f t="array" aca="1" ref="K11" ca="1">INDIRECT(ADDRESS($B11,K$5,1,1,K$4))</f>
        <v>183.97106193659999</v>
      </c>
      <c r="L11" s="15" cm="1">
        <f t="array" aca="1" ref="L11" ca="1">INDIRECT(ADDRESS($B11,L$5,1,1,L$4))</f>
        <v>0</v>
      </c>
      <c r="M11" s="25">
        <f t="shared" ca="1" si="2"/>
        <v>0</v>
      </c>
      <c r="N11" s="12" cm="1">
        <f t="array" aca="1" ref="N11" ca="1">INDIRECT(ADDRESS($B11,N$5,1,1,N$4))</f>
        <v>2.2547418699999999E-2</v>
      </c>
      <c r="O11" s="14" cm="1">
        <f t="array" aca="1" ref="O11" ca="1">INDIRECT(ADDRESS($B11,O$5,1,1,O$4))</f>
        <v>3.6347068900000001E-2</v>
      </c>
      <c r="P11" s="12" cm="1">
        <f t="array" aca="1" ref="P11" ca="1">INDIRECT(ADDRESS($B11,P$5,1,1,P$4))</f>
        <v>7.3706925600000001E-2</v>
      </c>
      <c r="Q11" s="13" cm="1">
        <f t="array" aca="1" ref="Q11" ca="1">INDIRECT(ADDRESS($B11,Q$5,1,1,Q$4))</f>
        <v>8.30050643E-2</v>
      </c>
      <c r="R11" s="14" cm="1">
        <f t="array" aca="1" ref="R11" ca="1">INDIRECT(ADDRESS($B11,R$5,1,1,R$4))</f>
        <v>0.23552997780000001</v>
      </c>
    </row>
    <row r="12" spans="1:20" s="1" customFormat="1" x14ac:dyDescent="0.25">
      <c r="A12" s="1">
        <v>6</v>
      </c>
      <c r="B12" s="1">
        <f t="shared" ref="B12:B15" ca="1" si="3">MATCH($C12,INDIRECT("'"&amp;$E$4&amp;"'!A:A"),0)</f>
        <v>9</v>
      </c>
      <c r="C12" s="15" t="s">
        <v>178</v>
      </c>
      <c r="D12" s="8"/>
      <c r="E12" s="8" cm="1">
        <f t="array" aca="1" ref="E12" ca="1">INDIRECT(ADDRESS($B12,E$5,1,1,E$4))</f>
        <v>60461826</v>
      </c>
      <c r="F12" s="9" cm="1">
        <f t="array" aca="1" ref="F12" ca="1">INDIRECT(ADDRESS($B12,F$5,1,1,F$4))</f>
        <v>294140</v>
      </c>
      <c r="G12" s="15" cm="1">
        <f t="array" aca="1" ref="G12" ca="1">INDIRECT(ADDRESS($B12,G$5,1,1,G$4))</f>
        <v>0</v>
      </c>
      <c r="H12" s="8">
        <f t="shared" ca="1" si="1"/>
        <v>0</v>
      </c>
      <c r="I12" s="23" t="e">
        <f t="shared" ca="1" si="0"/>
        <v>#DIV/0!</v>
      </c>
      <c r="J12" s="15" cm="1">
        <f t="array" aca="1" ref="J12" ca="1">INDIRECT(ADDRESS($B12,J$5,1,1,J$4))</f>
        <v>101739</v>
      </c>
      <c r="K12" s="9" cm="1">
        <f t="array" aca="1" ref="K12" ca="1">INDIRECT(ADDRESS($B12,K$5,1,1,K$4))</f>
        <v>168.26981044199999</v>
      </c>
      <c r="L12" s="15" cm="1">
        <f t="array" aca="1" ref="L12" ca="1">INDIRECT(ADDRESS($B12,L$5,1,1,L$4))</f>
        <v>0</v>
      </c>
      <c r="M12" s="25">
        <f t="shared" ca="1" si="2"/>
        <v>0</v>
      </c>
      <c r="N12" s="12" cm="1">
        <f t="array" aca="1" ref="N12" ca="1">INDIRECT(ADDRESS($B12,N$5,1,1,N$4))</f>
        <v>0.11392877849999999</v>
      </c>
      <c r="O12" s="14" cm="1">
        <f t="array" aca="1" ref="O12" ca="1">INDIRECT(ADDRESS($B12,O$5,1,1,O$4))</f>
        <v>0.1675581126</v>
      </c>
      <c r="P12" s="12" cm="1">
        <f t="array" aca="1" ref="P12" ca="1">INDIRECT(ADDRESS($B12,P$5,1,1,P$4))</f>
        <v>4.1458096600000001E-2</v>
      </c>
      <c r="Q12" s="13" cm="1">
        <f t="array" aca="1" ref="Q12" ca="1">INDIRECT(ADDRESS($B12,Q$5,1,1,Q$4))</f>
        <v>6.8251112000000003E-2</v>
      </c>
      <c r="R12" s="14" cm="1">
        <f t="array" aca="1" ref="R12" ca="1">INDIRECT(ADDRESS($B12,R$5,1,1,R$4))</f>
        <v>0.13022034269999999</v>
      </c>
    </row>
    <row r="13" spans="1:20" s="1" customFormat="1" x14ac:dyDescent="0.25">
      <c r="A13" s="1">
        <v>6</v>
      </c>
      <c r="B13" s="1">
        <f t="shared" ca="1" si="3"/>
        <v>7</v>
      </c>
      <c r="C13" s="15" t="s">
        <v>180</v>
      </c>
      <c r="D13" s="8"/>
      <c r="E13" s="8" cm="1">
        <f t="array" aca="1" ref="E13" ca="1">INDIRECT(ADDRESS($B13,E$5,1,1,E$4))</f>
        <v>83783942</v>
      </c>
      <c r="F13" s="9" cm="1">
        <f t="array" aca="1" ref="F13" ca="1">INDIRECT(ADDRESS($B13,F$5,1,1,F$4))</f>
        <v>348560</v>
      </c>
      <c r="G13" s="15" cm="1">
        <f t="array" aca="1" ref="G13" ca="1">INDIRECT(ADDRESS($B13,G$5,1,1,G$4))</f>
        <v>0</v>
      </c>
      <c r="H13" s="8">
        <f t="shared" ca="1" si="1"/>
        <v>0</v>
      </c>
      <c r="I13" s="23" t="e">
        <f t="shared" ca="1" si="0"/>
        <v>#DIV/0!</v>
      </c>
      <c r="J13" s="15" cm="1">
        <f t="array" aca="1" ref="J13" ca="1">INDIRECT(ADDRESS($B13,J$5,1,1,J$4))</f>
        <v>66885</v>
      </c>
      <c r="K13" s="9" cm="1">
        <f t="array" aca="1" ref="K13" ca="1">INDIRECT(ADDRESS($B13,K$5,1,1,K$4))</f>
        <v>79.830333120399999</v>
      </c>
      <c r="L13" s="15" cm="1">
        <f t="array" aca="1" ref="L13" ca="1">INDIRECT(ADDRESS($B13,L$5,1,1,L$4))</f>
        <v>0</v>
      </c>
      <c r="M13" s="25">
        <f t="shared" ca="1" si="2"/>
        <v>0</v>
      </c>
      <c r="N13" s="12" cm="1">
        <f t="array" aca="1" ref="N13" ca="1">INDIRECT(ADDRESS($B13,N$5,1,1,N$4))</f>
        <v>9.6434177999999999E-3</v>
      </c>
      <c r="O13" s="14" cm="1">
        <f t="array" aca="1" ref="O13" ca="1">INDIRECT(ADDRESS($B13,O$5,1,1,O$4))</f>
        <v>1.95537501E-2</v>
      </c>
      <c r="P13" s="12" cm="1">
        <f t="array" aca="1" ref="P13" ca="1">INDIRECT(ADDRESS($B13,P$5,1,1,P$4))</f>
        <v>7.7139866299999998E-2</v>
      </c>
      <c r="Q13" s="13" cm="1">
        <f t="array" aca="1" ref="Q13" ca="1">INDIRECT(ADDRESS($B13,Q$5,1,1,Q$4))</f>
        <v>0.1306035344</v>
      </c>
      <c r="R13" s="14" cm="1">
        <f t="array" aca="1" ref="R13" ca="1">INDIRECT(ADDRESS($B13,R$5,1,1,R$4))</f>
        <v>0.1984990928</v>
      </c>
    </row>
    <row r="14" spans="1:20" s="1" customFormat="1" x14ac:dyDescent="0.25">
      <c r="A14" s="1">
        <v>6</v>
      </c>
      <c r="B14" s="1">
        <f t="shared" ca="1" si="3"/>
        <v>5</v>
      </c>
      <c r="C14" s="15" t="s">
        <v>182</v>
      </c>
      <c r="D14" s="8"/>
      <c r="E14" s="8" cm="1">
        <f t="array" aca="1" ref="E14" ca="1">INDIRECT(ADDRESS($B14,E$5,1,1,E$4))</f>
        <v>1439323776</v>
      </c>
      <c r="F14" s="9" cm="1">
        <f t="array" aca="1" ref="F14" ca="1">INDIRECT(ADDRESS($B14,F$5,1,1,F$4))</f>
        <v>9388211</v>
      </c>
      <c r="G14" s="15" cm="1">
        <f t="array" aca="1" ref="G14" ca="1">INDIRECT(ADDRESS($B14,G$5,1,1,G$4))</f>
        <v>0</v>
      </c>
      <c r="H14" s="8">
        <f t="shared" ca="1" si="1"/>
        <v>0</v>
      </c>
      <c r="I14" s="23" t="e">
        <f t="shared" ca="1" si="0"/>
        <v>#DIV/0!</v>
      </c>
      <c r="J14" s="15" cm="1">
        <f t="array" aca="1" ref="J14" ca="1">INDIRECT(ADDRESS($B14,J$5,1,1,J$4))</f>
        <v>82198</v>
      </c>
      <c r="K14" s="9" cm="1">
        <f t="array" aca="1" ref="K14" ca="1">INDIRECT(ADDRESS($B14,K$5,1,1,K$4))</f>
        <v>5.7108762719000001</v>
      </c>
      <c r="L14" s="15" cm="1">
        <f t="array" aca="1" ref="L14" ca="1">INDIRECT(ADDRESS($B14,L$5,1,1,L$4))</f>
        <v>0</v>
      </c>
      <c r="M14" s="25">
        <f t="shared" ca="1" si="2"/>
        <v>0</v>
      </c>
      <c r="N14" s="12" cm="1">
        <f t="array" aca="1" ref="N14" ca="1">INDIRECT(ADDRESS($B14,N$5,1,1,N$4))</f>
        <v>4.0244288199999999E-2</v>
      </c>
      <c r="O14" s="14" cm="1">
        <f t="array" aca="1" ref="O14" ca="1">INDIRECT(ADDRESS($B14,O$5,1,1,O$4))</f>
        <v>4.05436874E-2</v>
      </c>
      <c r="P14" s="12" cm="1">
        <f t="array" aca="1" ref="P14" ca="1">INDIRECT(ADDRESS($B14,P$5,1,1,P$4))</f>
        <v>9.2545240000000003E-4</v>
      </c>
      <c r="Q14" s="13" cm="1">
        <f t="array" aca="1" ref="Q14" ca="1">INDIRECT(ADDRESS($B14,Q$5,1,1,Q$4))</f>
        <v>1.3084722E-3</v>
      </c>
      <c r="R14" s="14" cm="1">
        <f t="array" aca="1" ref="R14" ca="1">INDIRECT(ADDRESS($B14,R$5,1,1,R$4))</f>
        <v>9.4598459999999996E-4</v>
      </c>
    </row>
    <row r="15" spans="1:20" s="1" customFormat="1" x14ac:dyDescent="0.25">
      <c r="A15" s="1">
        <v>6</v>
      </c>
      <c r="B15" s="1">
        <f t="shared" ca="1" si="3"/>
        <v>13</v>
      </c>
      <c r="C15" s="15" t="s">
        <v>174</v>
      </c>
      <c r="D15" s="8"/>
      <c r="E15" s="8" cm="1">
        <f t="array" aca="1" ref="E15" ca="1">INDIRECT(ADDRESS($B15,E$5,1,1,E$4))</f>
        <v>10099265</v>
      </c>
      <c r="F15" s="9" cm="1">
        <f t="array" aca="1" ref="F15" ca="1">INDIRECT(ADDRESS($B15,F$5,1,1,F$4))</f>
        <v>410340</v>
      </c>
      <c r="G15" s="15" cm="1">
        <f t="array" aca="1" ref="G15" ca="1">INDIRECT(ADDRESS($B15,G$5,1,1,G$4))</f>
        <v>0</v>
      </c>
      <c r="H15" s="8">
        <f t="shared" ca="1" si="1"/>
        <v>0</v>
      </c>
      <c r="I15" s="23" t="e">
        <f t="shared" ca="1" si="0"/>
        <v>#DIV/0!</v>
      </c>
      <c r="J15" s="15" cm="1">
        <f t="array" aca="1" ref="J15" ca="1">INDIRECT(ADDRESS($B15,J$5,1,1,J$4))</f>
        <v>4028</v>
      </c>
      <c r="K15" s="9" cm="1">
        <f t="array" aca="1" ref="K15" ca="1">INDIRECT(ADDRESS($B15,K$5,1,1,K$4))</f>
        <v>39.8840905749</v>
      </c>
      <c r="L15" s="15" cm="1">
        <f t="array" aca="1" ref="L15" ca="1">INDIRECT(ADDRESS($B15,L$5,1,1,L$4))</f>
        <v>0</v>
      </c>
      <c r="M15" s="25">
        <f t="shared" ca="1" si="2"/>
        <v>0</v>
      </c>
      <c r="N15" s="12" cm="1">
        <f t="array" aca="1" ref="N15" ca="1">INDIRECT(ADDRESS($B15,N$5,1,1,N$4))</f>
        <v>3.6246276100000002E-2</v>
      </c>
      <c r="O15" s="14" cm="1">
        <f t="array" aca="1" ref="O15" ca="1">INDIRECT(ADDRESS($B15,O$5,1,1,O$4))</f>
        <v>6.3867016600000007E-2</v>
      </c>
      <c r="P15" s="12" cm="1">
        <f t="array" aca="1" ref="P15" ca="1">INDIRECT(ADDRESS($B15,P$5,1,1,P$4))</f>
        <v>8.8648648600000005E-2</v>
      </c>
      <c r="Q15" s="13" cm="1">
        <f t="array" aca="1" ref="Q15" ca="1">INDIRECT(ADDRESS($B15,Q$5,1,1,Q$4))</f>
        <v>9.9304846399999994E-2</v>
      </c>
      <c r="R15" s="14" cm="1">
        <f t="array" aca="1" ref="R15" ca="1">INDIRECT(ADDRESS($B15,R$5,1,1,R$4))</f>
        <v>0.10102217350000001</v>
      </c>
    </row>
    <row r="16" spans="1:20" x14ac:dyDescent="0.25">
      <c r="H16" s="1"/>
      <c r="M16" s="18"/>
    </row>
    <row r="17" spans="3:13" x14ac:dyDescent="0.25">
      <c r="C17" s="26" t="s">
        <v>172</v>
      </c>
      <c r="H17" s="1"/>
      <c r="M17" s="18"/>
    </row>
    <row r="50" spans="1:74" x14ac:dyDescent="0.25">
      <c r="A50" t="s">
        <v>140</v>
      </c>
      <c r="B50" t="s">
        <v>141</v>
      </c>
      <c r="C50" t="s">
        <v>142</v>
      </c>
      <c r="E50">
        <v>1</v>
      </c>
      <c r="F50">
        <f t="shared" ref="F50:AK50" si="4">E50+1</f>
        <v>2</v>
      </c>
      <c r="G50">
        <f t="shared" si="4"/>
        <v>3</v>
      </c>
      <c r="H50">
        <f t="shared" si="4"/>
        <v>4</v>
      </c>
      <c r="I50">
        <f t="shared" si="4"/>
        <v>5</v>
      </c>
      <c r="J50">
        <f t="shared" si="4"/>
        <v>6</v>
      </c>
      <c r="K50">
        <f t="shared" si="4"/>
        <v>7</v>
      </c>
      <c r="L50">
        <f t="shared" si="4"/>
        <v>8</v>
      </c>
      <c r="M50">
        <f t="shared" si="4"/>
        <v>9</v>
      </c>
      <c r="N50">
        <f t="shared" si="4"/>
        <v>10</v>
      </c>
      <c r="O50">
        <f t="shared" si="4"/>
        <v>11</v>
      </c>
      <c r="P50">
        <f t="shared" si="4"/>
        <v>12</v>
      </c>
      <c r="Q50">
        <f t="shared" si="4"/>
        <v>13</v>
      </c>
      <c r="R50">
        <f t="shared" si="4"/>
        <v>14</v>
      </c>
      <c r="S50">
        <f t="shared" si="4"/>
        <v>15</v>
      </c>
      <c r="T50">
        <f t="shared" si="4"/>
        <v>16</v>
      </c>
      <c r="U50">
        <f t="shared" si="4"/>
        <v>17</v>
      </c>
      <c r="V50">
        <f t="shared" si="4"/>
        <v>18</v>
      </c>
      <c r="W50">
        <f t="shared" si="4"/>
        <v>19</v>
      </c>
      <c r="X50">
        <f t="shared" si="4"/>
        <v>20</v>
      </c>
      <c r="Y50">
        <f t="shared" si="4"/>
        <v>21</v>
      </c>
      <c r="Z50">
        <f t="shared" si="4"/>
        <v>22</v>
      </c>
      <c r="AA50">
        <f t="shared" si="4"/>
        <v>23</v>
      </c>
      <c r="AB50">
        <f t="shared" si="4"/>
        <v>24</v>
      </c>
      <c r="AC50">
        <f t="shared" si="4"/>
        <v>25</v>
      </c>
      <c r="AD50">
        <f t="shared" si="4"/>
        <v>26</v>
      </c>
      <c r="AE50">
        <f t="shared" si="4"/>
        <v>27</v>
      </c>
      <c r="AF50">
        <f t="shared" si="4"/>
        <v>28</v>
      </c>
      <c r="AG50">
        <f t="shared" si="4"/>
        <v>29</v>
      </c>
      <c r="AH50">
        <f t="shared" si="4"/>
        <v>30</v>
      </c>
      <c r="AI50">
        <f t="shared" si="4"/>
        <v>31</v>
      </c>
      <c r="AJ50">
        <f t="shared" si="4"/>
        <v>32</v>
      </c>
      <c r="AK50">
        <f t="shared" si="4"/>
        <v>33</v>
      </c>
      <c r="AL50">
        <f t="shared" ref="AL50:BV50" si="5">AK50+1</f>
        <v>34</v>
      </c>
      <c r="AM50">
        <f t="shared" si="5"/>
        <v>35</v>
      </c>
      <c r="AN50">
        <f t="shared" si="5"/>
        <v>36</v>
      </c>
      <c r="AO50">
        <f t="shared" si="5"/>
        <v>37</v>
      </c>
      <c r="AP50">
        <f t="shared" si="5"/>
        <v>38</v>
      </c>
      <c r="AQ50">
        <f t="shared" si="5"/>
        <v>39</v>
      </c>
      <c r="AR50">
        <f t="shared" si="5"/>
        <v>40</v>
      </c>
      <c r="AS50">
        <f t="shared" si="5"/>
        <v>41</v>
      </c>
      <c r="AT50">
        <f t="shared" si="5"/>
        <v>42</v>
      </c>
      <c r="AU50">
        <f t="shared" si="5"/>
        <v>43</v>
      </c>
      <c r="AV50">
        <f t="shared" si="5"/>
        <v>44</v>
      </c>
      <c r="AW50">
        <f t="shared" si="5"/>
        <v>45</v>
      </c>
      <c r="AX50">
        <f t="shared" si="5"/>
        <v>46</v>
      </c>
      <c r="AY50">
        <f t="shared" si="5"/>
        <v>47</v>
      </c>
      <c r="AZ50">
        <f t="shared" si="5"/>
        <v>48</v>
      </c>
      <c r="BA50">
        <f t="shared" si="5"/>
        <v>49</v>
      </c>
      <c r="BB50">
        <f t="shared" si="5"/>
        <v>50</v>
      </c>
      <c r="BC50">
        <f t="shared" si="5"/>
        <v>51</v>
      </c>
      <c r="BD50">
        <f t="shared" si="5"/>
        <v>52</v>
      </c>
      <c r="BE50">
        <f t="shared" si="5"/>
        <v>53</v>
      </c>
      <c r="BF50">
        <f t="shared" si="5"/>
        <v>54</v>
      </c>
      <c r="BG50">
        <f t="shared" si="5"/>
        <v>55</v>
      </c>
      <c r="BH50">
        <f t="shared" si="5"/>
        <v>56</v>
      </c>
      <c r="BI50">
        <f t="shared" si="5"/>
        <v>57</v>
      </c>
      <c r="BJ50">
        <f t="shared" si="5"/>
        <v>58</v>
      </c>
      <c r="BK50">
        <f t="shared" si="5"/>
        <v>59</v>
      </c>
      <c r="BL50">
        <f t="shared" si="5"/>
        <v>60</v>
      </c>
      <c r="BM50">
        <f t="shared" si="5"/>
        <v>61</v>
      </c>
      <c r="BN50">
        <f t="shared" si="5"/>
        <v>62</v>
      </c>
      <c r="BO50">
        <f t="shared" si="5"/>
        <v>63</v>
      </c>
      <c r="BP50">
        <f t="shared" si="5"/>
        <v>64</v>
      </c>
      <c r="BQ50">
        <f t="shared" si="5"/>
        <v>65</v>
      </c>
      <c r="BR50">
        <f t="shared" si="5"/>
        <v>66</v>
      </c>
      <c r="BS50">
        <f t="shared" si="5"/>
        <v>67</v>
      </c>
      <c r="BT50">
        <f t="shared" si="5"/>
        <v>68</v>
      </c>
      <c r="BU50">
        <f t="shared" si="5"/>
        <v>69</v>
      </c>
      <c r="BV50">
        <f t="shared" si="5"/>
        <v>70</v>
      </c>
    </row>
    <row r="52" spans="1:74" x14ac:dyDescent="0.25">
      <c r="A52">
        <v>6</v>
      </c>
      <c r="B52">
        <f ca="1">MATCH("Country/Region",INDIRECT("'Confirmed'!A:A"),0)</f>
        <v>1</v>
      </c>
      <c r="C52" s="4" t="s">
        <v>166</v>
      </c>
      <c r="D52" s="4"/>
      <c r="E52" s="5" t="str" cm="1">
        <f t="array" aca="1" ref="E52" ca="1">INDIRECT(ADDRESS($B52,E$50+$A52,1,1,$C52))</f>
        <v>2020-01-22</v>
      </c>
      <c r="F52" s="5" t="str" cm="1">
        <f t="array" aca="1" ref="F52" ca="1">INDIRECT(ADDRESS($B52,F$50+$A52,1,1,$C52))</f>
        <v>2020-01-23</v>
      </c>
      <c r="G52" s="5" t="str" cm="1">
        <f t="array" aca="1" ref="G52" ca="1">INDIRECT(ADDRESS($B52,G$50+$A52,1,1,$C52))</f>
        <v>2020-01-24</v>
      </c>
      <c r="H52" s="5" t="str" cm="1">
        <f t="array" aca="1" ref="H52" ca="1">INDIRECT(ADDRESS($B52,H$50+$A52,1,1,$C52))</f>
        <v>2020-01-25</v>
      </c>
      <c r="I52" s="5" t="str" cm="1">
        <f t="array" aca="1" ref="I52" ca="1">INDIRECT(ADDRESS($B52,I$50+$A52,1,1,$C52))</f>
        <v>2020-01-26</v>
      </c>
      <c r="J52" s="5" t="str" cm="1">
        <f t="array" aca="1" ref="J52" ca="1">INDIRECT(ADDRESS($B52,J$50+$A52,1,1,$C52))</f>
        <v>2020-01-27</v>
      </c>
      <c r="K52" s="5" t="str" cm="1">
        <f t="array" aca="1" ref="K52" ca="1">INDIRECT(ADDRESS($B52,K$50+$A52,1,1,$C52))</f>
        <v>2020-01-28</v>
      </c>
      <c r="L52" s="5" t="str" cm="1">
        <f t="array" aca="1" ref="L52" ca="1">INDIRECT(ADDRESS($B52,L$50+$A52,1,1,$C52))</f>
        <v>2020-01-29</v>
      </c>
      <c r="M52" s="5" t="str" cm="1">
        <f t="array" aca="1" ref="M52" ca="1">INDIRECT(ADDRESS($B52,M$50+$A52,1,1,$C52))</f>
        <v>2020-01-30</v>
      </c>
      <c r="N52" s="5" t="str" cm="1">
        <f t="array" aca="1" ref="N52" ca="1">INDIRECT(ADDRESS($B52,N$50+$A52,1,1,$C52))</f>
        <v>2020-01-31</v>
      </c>
      <c r="O52" s="5" t="str" cm="1">
        <f t="array" aca="1" ref="O52" ca="1">INDIRECT(ADDRESS($B52,O$50+$A52,1,1,$C52))</f>
        <v>2020-02-01</v>
      </c>
      <c r="P52" s="5" t="str" cm="1">
        <f t="array" aca="1" ref="P52" ca="1">INDIRECT(ADDRESS($B52,P$50+$A52,1,1,$C52))</f>
        <v>2020-02-02</v>
      </c>
      <c r="Q52" s="5" t="str" cm="1">
        <f t="array" aca="1" ref="Q52" ca="1">INDIRECT(ADDRESS($B52,Q$50+$A52,1,1,$C52))</f>
        <v>2020-02-03</v>
      </c>
      <c r="R52" s="5" t="str" cm="1">
        <f t="array" aca="1" ref="R52" ca="1">INDIRECT(ADDRESS($B52,R$50+$A52,1,1,$C52))</f>
        <v>2020-02-04</v>
      </c>
      <c r="S52" s="5" t="str" cm="1">
        <f t="array" aca="1" ref="S52" ca="1">INDIRECT(ADDRESS($B52,S$50+$A52,1,1,$C52))</f>
        <v>2020-02-05</v>
      </c>
      <c r="T52" s="5" t="str" cm="1">
        <f t="array" aca="1" ref="T52" ca="1">INDIRECT(ADDRESS($B52,T$50+$A52,1,1,$C52))</f>
        <v>2020-02-06</v>
      </c>
      <c r="U52" s="5" t="str" cm="1">
        <f t="array" aca="1" ref="U52" ca="1">INDIRECT(ADDRESS($B52,U$50+$A52,1,1,$C52))</f>
        <v>2020-02-07</v>
      </c>
      <c r="V52" s="5" t="str" cm="1">
        <f t="array" aca="1" ref="V52" ca="1">INDIRECT(ADDRESS($B52,V$50+$A52,1,1,$C52))</f>
        <v>2020-02-08</v>
      </c>
      <c r="W52" s="5" t="str" cm="1">
        <f t="array" aca="1" ref="W52" ca="1">INDIRECT(ADDRESS($B52,W$50+$A52,1,1,$C52))</f>
        <v>2020-02-09</v>
      </c>
      <c r="X52" s="5" t="str" cm="1">
        <f t="array" aca="1" ref="X52" ca="1">INDIRECT(ADDRESS($B52,X$50+$A52,1,1,$C52))</f>
        <v>2020-02-10</v>
      </c>
      <c r="Y52" s="5" t="str" cm="1">
        <f t="array" aca="1" ref="Y52" ca="1">INDIRECT(ADDRESS($B52,Y$50+$A52,1,1,$C52))</f>
        <v>2020-02-11</v>
      </c>
      <c r="Z52" s="5" t="str" cm="1">
        <f t="array" aca="1" ref="Z52" ca="1">INDIRECT(ADDRESS($B52,Z$50+$A52,1,1,$C52))</f>
        <v>2020-02-12</v>
      </c>
      <c r="AA52" s="5" t="str" cm="1">
        <f t="array" aca="1" ref="AA52" ca="1">INDIRECT(ADDRESS($B52,AA$50+$A52,1,1,$C52))</f>
        <v>2020-02-13</v>
      </c>
      <c r="AB52" s="5" t="str" cm="1">
        <f t="array" aca="1" ref="AB52" ca="1">INDIRECT(ADDRESS($B52,AB$50+$A52,1,1,$C52))</f>
        <v>2020-02-14</v>
      </c>
      <c r="AC52" s="5" t="str" cm="1">
        <f t="array" aca="1" ref="AC52" ca="1">INDIRECT(ADDRESS($B52,AC$50+$A52,1,1,$C52))</f>
        <v>2020-02-15</v>
      </c>
      <c r="AD52" s="5" t="str" cm="1">
        <f t="array" aca="1" ref="AD52" ca="1">INDIRECT(ADDRESS($B52,AD$50+$A52,1,1,$C52))</f>
        <v>2020-02-16</v>
      </c>
      <c r="AE52" s="5" t="str" cm="1">
        <f t="array" aca="1" ref="AE52" ca="1">INDIRECT(ADDRESS($B52,AE$50+$A52,1,1,$C52))</f>
        <v>2020-02-17</v>
      </c>
      <c r="AF52" s="5" t="str" cm="1">
        <f t="array" aca="1" ref="AF52" ca="1">INDIRECT(ADDRESS($B52,AF$50+$A52,1,1,$C52))</f>
        <v>2020-02-18</v>
      </c>
      <c r="AG52" s="5" t="str" cm="1">
        <f t="array" aca="1" ref="AG52" ca="1">INDIRECT(ADDRESS($B52,AG$50+$A52,1,1,$C52))</f>
        <v>2020-02-19</v>
      </c>
      <c r="AH52" s="5" t="str" cm="1">
        <f t="array" aca="1" ref="AH52" ca="1">INDIRECT(ADDRESS($B52,AH$50+$A52,1,1,$C52))</f>
        <v>2020-02-20</v>
      </c>
      <c r="AI52" s="5" t="str" cm="1">
        <f t="array" aca="1" ref="AI52" ca="1">INDIRECT(ADDRESS($B52,AI$50+$A52,1,1,$C52))</f>
        <v>2020-02-21</v>
      </c>
      <c r="AJ52" s="5" t="str" cm="1">
        <f t="array" aca="1" ref="AJ52" ca="1">INDIRECT(ADDRESS($B52,AJ$50+$A52,1,1,$C52))</f>
        <v>2020-02-22</v>
      </c>
      <c r="AK52" s="5" t="str" cm="1">
        <f t="array" aca="1" ref="AK52" ca="1">INDIRECT(ADDRESS($B52,AK$50+$A52,1,1,$C52))</f>
        <v>2020-02-23</v>
      </c>
      <c r="AL52" s="5" t="str" cm="1">
        <f t="array" aca="1" ref="AL52" ca="1">INDIRECT(ADDRESS($B52,AL$50+$A52,1,1,$C52))</f>
        <v>2020-02-24</v>
      </c>
      <c r="AM52" s="5" t="str" cm="1">
        <f t="array" aca="1" ref="AM52" ca="1">INDIRECT(ADDRESS($B52,AM$50+$A52,1,1,$C52))</f>
        <v>2020-02-25</v>
      </c>
      <c r="AN52" s="5" t="str" cm="1">
        <f t="array" aca="1" ref="AN52" ca="1">INDIRECT(ADDRESS($B52,AN$50+$A52,1,1,$C52))</f>
        <v>2020-02-26</v>
      </c>
      <c r="AO52" s="5" t="str" cm="1">
        <f t="array" aca="1" ref="AO52" ca="1">INDIRECT(ADDRESS($B52,AO$50+$A52,1,1,$C52))</f>
        <v>2020-02-27</v>
      </c>
      <c r="AP52" s="5" t="str" cm="1">
        <f t="array" aca="1" ref="AP52" ca="1">INDIRECT(ADDRESS($B52,AP$50+$A52,1,1,$C52))</f>
        <v>2020-02-28</v>
      </c>
      <c r="AQ52" s="5" t="str" cm="1">
        <f t="array" aca="1" ref="AQ52" ca="1">INDIRECT(ADDRESS($B52,AQ$50+$A52,1,1,$C52))</f>
        <v>2020-02-29</v>
      </c>
      <c r="AR52" s="5" t="str" cm="1">
        <f t="array" aca="1" ref="AR52" ca="1">INDIRECT(ADDRESS($B52,AR$50+$A52,1,1,$C52))</f>
        <v>2020-03-01</v>
      </c>
      <c r="AS52" s="5" t="str" cm="1">
        <f t="array" aca="1" ref="AS52" ca="1">INDIRECT(ADDRESS($B52,AS$50+$A52,1,1,$C52))</f>
        <v>2020-03-02</v>
      </c>
      <c r="AT52" s="5" t="str" cm="1">
        <f t="array" aca="1" ref="AT52" ca="1">INDIRECT(ADDRESS($B52,AT$50+$A52,1,1,$C52))</f>
        <v>2020-03-03</v>
      </c>
      <c r="AU52" s="5" t="str" cm="1">
        <f t="array" aca="1" ref="AU52" ca="1">INDIRECT(ADDRESS($B52,AU$50+$A52,1,1,$C52))</f>
        <v>2020-03-04</v>
      </c>
      <c r="AV52" s="5" t="str" cm="1">
        <f t="array" aca="1" ref="AV52" ca="1">INDIRECT(ADDRESS($B52,AV$50+$A52,1,1,$C52))</f>
        <v>2020-03-05</v>
      </c>
      <c r="AW52" s="5" t="str" cm="1">
        <f t="array" aca="1" ref="AW52" ca="1">INDIRECT(ADDRESS($B52,AW$50+$A52,1,1,$C52))</f>
        <v>2020-03-06</v>
      </c>
      <c r="AX52" s="5" t="str" cm="1">
        <f t="array" aca="1" ref="AX52" ca="1">INDIRECT(ADDRESS($B52,AX$50+$A52,1,1,$C52))</f>
        <v>2020-03-07</v>
      </c>
      <c r="AY52" s="5" t="str" cm="1">
        <f t="array" aca="1" ref="AY52" ca="1">INDIRECT(ADDRESS($B52,AY$50+$A52,1,1,$C52))</f>
        <v>2020-03-08</v>
      </c>
      <c r="AZ52" s="5" t="str" cm="1">
        <f t="array" aca="1" ref="AZ52" ca="1">INDIRECT(ADDRESS($B52,AZ$50+$A52,1,1,$C52))</f>
        <v>2020-03-09</v>
      </c>
      <c r="BA52" s="5" t="str" cm="1">
        <f t="array" aca="1" ref="BA52" ca="1">INDIRECT(ADDRESS($B52,BA$50+$A52,1,1,$C52))</f>
        <v>2020-03-10</v>
      </c>
      <c r="BB52" s="5" t="str" cm="1">
        <f t="array" aca="1" ref="BB52" ca="1">INDIRECT(ADDRESS($B52,BB$50+$A52,1,1,$C52))</f>
        <v>2020-03-11</v>
      </c>
      <c r="BC52" s="5" t="str" cm="1">
        <f t="array" aca="1" ref="BC52" ca="1">INDIRECT(ADDRESS($B52,BC$50+$A52,1,1,$C52))</f>
        <v>2020-03-12</v>
      </c>
      <c r="BD52" s="5" t="str" cm="1">
        <f t="array" aca="1" ref="BD52" ca="1">INDIRECT(ADDRESS($B52,BD$50+$A52,1,1,$C52))</f>
        <v>2020-03-13</v>
      </c>
      <c r="BE52" s="5" t="str" cm="1">
        <f t="array" aca="1" ref="BE52" ca="1">INDIRECT(ADDRESS($B52,BE$50+$A52,1,1,$C52))</f>
        <v>2020-03-14</v>
      </c>
      <c r="BF52" s="5" t="str" cm="1">
        <f t="array" aca="1" ref="BF52" ca="1">INDIRECT(ADDRESS($B52,BF$50+$A52,1,1,$C52))</f>
        <v>2020-03-15</v>
      </c>
      <c r="BG52" s="5" t="str" cm="1">
        <f t="array" aca="1" ref="BG52" ca="1">INDIRECT(ADDRESS($B52,BG$50+$A52,1,1,$C52))</f>
        <v>2020-03-16</v>
      </c>
      <c r="BH52" s="5" t="str" cm="1">
        <f t="array" aca="1" ref="BH52" ca="1">INDIRECT(ADDRESS($B52,BH$50+$A52,1,1,$C52))</f>
        <v>2020-03-17</v>
      </c>
      <c r="BI52" s="5" t="str" cm="1">
        <f t="array" aca="1" ref="BI52" ca="1">INDIRECT(ADDRESS($B52,BI$50+$A52,1,1,$C52))</f>
        <v>2020-03-18</v>
      </c>
      <c r="BJ52" s="5" t="str" cm="1">
        <f t="array" aca="1" ref="BJ52" ca="1">INDIRECT(ADDRESS($B52,BJ$50+$A52,1,1,$C52))</f>
        <v>2020-03-19</v>
      </c>
      <c r="BK52" s="5" t="str" cm="1">
        <f t="array" aca="1" ref="BK52" ca="1">INDIRECT(ADDRESS($B52,BK$50+$A52,1,1,$C52))</f>
        <v>2020-03-20</v>
      </c>
      <c r="BL52" s="5" t="str" cm="1">
        <f t="array" aca="1" ref="BL52" ca="1">INDIRECT(ADDRESS($B52,BL$50+$A52,1,1,$C52))</f>
        <v>2020-03-21</v>
      </c>
      <c r="BM52" s="5" t="str" cm="1">
        <f t="array" aca="1" ref="BM52" ca="1">INDIRECT(ADDRESS($B52,BM$50+$A52,1,1,$C52))</f>
        <v>2020-03-22</v>
      </c>
      <c r="BN52" s="5" t="str" cm="1">
        <f t="array" aca="1" ref="BN52" ca="1">INDIRECT(ADDRESS($B52,BN$50+$A52,1,1,$C52))</f>
        <v>2020-03-23</v>
      </c>
      <c r="BO52" s="5" t="str" cm="1">
        <f t="array" aca="1" ref="BO52" ca="1">INDIRECT(ADDRESS($B52,BO$50+$A52,1,1,$C52))</f>
        <v>2020-03-24</v>
      </c>
      <c r="BP52" s="5" t="str" cm="1">
        <f t="array" aca="1" ref="BP52" ca="1">INDIRECT(ADDRESS($B52,BP$50+$A52,1,1,$C52))</f>
        <v>2020-03-25</v>
      </c>
      <c r="BQ52" s="5" t="str" cm="1">
        <f t="array" aca="1" ref="BQ52" ca="1">INDIRECT(ADDRESS($B52,BQ$50+$A52,1,1,$C52))</f>
        <v>2020-03-26</v>
      </c>
      <c r="BR52" s="5" t="str" cm="1">
        <f t="array" aca="1" ref="BR52" ca="1">INDIRECT(ADDRESS($B52,BR$50+$A52,1,1,$C52))</f>
        <v>2020-03-27</v>
      </c>
      <c r="BS52" s="5" t="str" cm="1">
        <f t="array" aca="1" ref="BS52" ca="1">INDIRECT(ADDRESS($B52,BS$50+$A52,1,1,$C52))</f>
        <v>2020-03-28</v>
      </c>
      <c r="BT52" s="5" t="str" cm="1">
        <f t="array" aca="1" ref="BT52" ca="1">INDIRECT(ADDRESS($B52,BT$50+$A52,1,1,$C52))</f>
        <v>2020-03-29</v>
      </c>
      <c r="BU52" s="5" t="str" cm="1">
        <f t="array" aca="1" ref="BU52" ca="1">INDIRECT(ADDRESS($B52,BU$50+$A52,1,1,$C52))</f>
        <v>2020-03-30</v>
      </c>
      <c r="BV52" s="5" cm="1">
        <f t="array" aca="1" ref="BV52" ca="1">INDIRECT(ADDRESS($B52,BV$50+$A52,1,1,$C52))</f>
        <v>0</v>
      </c>
    </row>
    <row r="53" spans="1:74" x14ac:dyDescent="0.25">
      <c r="A53">
        <v>6</v>
      </c>
      <c r="B53">
        <f ca="1">MATCH($C53,INDIRECT("'"&amp;$C$52&amp;"'!A:A"),0)</f>
        <v>9</v>
      </c>
      <c r="C53" s="1" t="str">
        <f>C8</f>
        <v>Italy</v>
      </c>
      <c r="D53" t="str">
        <f>C52</f>
        <v>Tested</v>
      </c>
      <c r="E53" s="1" cm="1">
        <f t="array" aca="1" ref="E53" ca="1">INDIRECT(ADDRESS($B53,E$50+$A53,1,1,$D53))</f>
        <v>0</v>
      </c>
      <c r="F53" s="1" cm="1">
        <f t="array" aca="1" ref="F53" ca="1">INDIRECT(ADDRESS($B53,F$50+$A53,1,1,$D53))</f>
        <v>0</v>
      </c>
      <c r="G53" s="1" cm="1">
        <f t="array" aca="1" ref="G53" ca="1">INDIRECT(ADDRESS($B53,G$50+$A53,1,1,$D53))</f>
        <v>0</v>
      </c>
      <c r="H53" s="1" cm="1">
        <f t="array" aca="1" ref="H53" ca="1">INDIRECT(ADDRESS($B53,H$50+$A53,1,1,$D53))</f>
        <v>0</v>
      </c>
      <c r="I53" s="1" cm="1">
        <f t="array" aca="1" ref="I53" ca="1">INDIRECT(ADDRESS($B53,I$50+$A53,1,1,$D53))</f>
        <v>0</v>
      </c>
      <c r="J53" s="1" cm="1">
        <f t="array" aca="1" ref="J53" ca="1">INDIRECT(ADDRESS($B53,J$50+$A53,1,1,$D53))</f>
        <v>0</v>
      </c>
      <c r="K53" s="1" cm="1">
        <f t="array" aca="1" ref="K53" ca="1">INDIRECT(ADDRESS($B53,K$50+$A53,1,1,$D53))</f>
        <v>0</v>
      </c>
      <c r="L53" s="1" cm="1">
        <f t="array" aca="1" ref="L53" ca="1">INDIRECT(ADDRESS($B53,L$50+$A53,1,1,$D53))</f>
        <v>0</v>
      </c>
      <c r="M53" s="1" cm="1">
        <f t="array" aca="1" ref="M53" ca="1">INDIRECT(ADDRESS($B53,M$50+$A53,1,1,$D53))</f>
        <v>0</v>
      </c>
      <c r="N53" s="1" cm="1">
        <f t="array" aca="1" ref="N53" ca="1">INDIRECT(ADDRESS($B53,N$50+$A53,1,1,$D53))</f>
        <v>0</v>
      </c>
      <c r="O53" s="1" cm="1">
        <f t="array" aca="1" ref="O53" ca="1">INDIRECT(ADDRESS($B53,O$50+$A53,1,1,$D53))</f>
        <v>0</v>
      </c>
      <c r="P53" s="1" cm="1">
        <f t="array" aca="1" ref="P53" ca="1">INDIRECT(ADDRESS($B53,P$50+$A53,1,1,$D53))</f>
        <v>0</v>
      </c>
      <c r="Q53" s="1" cm="1">
        <f t="array" aca="1" ref="Q53" ca="1">INDIRECT(ADDRESS($B53,Q$50+$A53,1,1,$D53))</f>
        <v>0</v>
      </c>
      <c r="R53" s="1" cm="1">
        <f t="array" aca="1" ref="R53" ca="1">INDIRECT(ADDRESS($B53,R$50+$A53,1,1,$D53))</f>
        <v>0</v>
      </c>
      <c r="S53" s="1" cm="1">
        <f t="array" aca="1" ref="S53" ca="1">INDIRECT(ADDRESS($B53,S$50+$A53,1,1,$D53))</f>
        <v>0</v>
      </c>
      <c r="T53" s="1" cm="1">
        <f t="array" aca="1" ref="T53" ca="1">INDIRECT(ADDRESS($B53,T$50+$A53,1,1,$D53))</f>
        <v>0</v>
      </c>
      <c r="U53" s="1" cm="1">
        <f t="array" aca="1" ref="U53" ca="1">INDIRECT(ADDRESS($B53,U$50+$A53,1,1,$D53))</f>
        <v>0</v>
      </c>
      <c r="V53" s="1" cm="1">
        <f t="array" aca="1" ref="V53" ca="1">INDIRECT(ADDRESS($B53,V$50+$A53,1,1,$D53))</f>
        <v>0</v>
      </c>
      <c r="W53" s="1" cm="1">
        <f t="array" aca="1" ref="W53" ca="1">INDIRECT(ADDRESS($B53,W$50+$A53,1,1,$D53))</f>
        <v>0</v>
      </c>
      <c r="X53" s="1" cm="1">
        <f t="array" aca="1" ref="X53" ca="1">INDIRECT(ADDRESS($B53,X$50+$A53,1,1,$D53))</f>
        <v>0</v>
      </c>
      <c r="Y53" s="1" cm="1">
        <f t="array" aca="1" ref="Y53" ca="1">INDIRECT(ADDRESS($B53,Y$50+$A53,1,1,$D53))</f>
        <v>0</v>
      </c>
      <c r="Z53" s="1" cm="1">
        <f t="array" aca="1" ref="Z53" ca="1">INDIRECT(ADDRESS($B53,Z$50+$A53,1,1,$D53))</f>
        <v>0</v>
      </c>
      <c r="AA53" s="1" cm="1">
        <f t="array" aca="1" ref="AA53" ca="1">INDIRECT(ADDRESS($B53,AA$50+$A53,1,1,$D53))</f>
        <v>0</v>
      </c>
      <c r="AB53" s="1" cm="1">
        <f t="array" aca="1" ref="AB53" ca="1">INDIRECT(ADDRESS($B53,AB$50+$A53,1,1,$D53))</f>
        <v>0</v>
      </c>
      <c r="AC53" s="1" cm="1">
        <f t="array" aca="1" ref="AC53" ca="1">INDIRECT(ADDRESS($B53,AC$50+$A53,1,1,$D53))</f>
        <v>0</v>
      </c>
      <c r="AD53" s="1" cm="1">
        <f t="array" aca="1" ref="AD53" ca="1">INDIRECT(ADDRESS($B53,AD$50+$A53,1,1,$D53))</f>
        <v>0</v>
      </c>
      <c r="AE53" s="1" cm="1">
        <f t="array" aca="1" ref="AE53" ca="1">INDIRECT(ADDRESS($B53,AE$50+$A53,1,1,$D53))</f>
        <v>0</v>
      </c>
      <c r="AF53" s="1" cm="1">
        <f t="array" aca="1" ref="AF53" ca="1">INDIRECT(ADDRESS($B53,AF$50+$A53,1,1,$D53))</f>
        <v>0</v>
      </c>
      <c r="AG53" s="1" cm="1">
        <f t="array" aca="1" ref="AG53" ca="1">INDIRECT(ADDRESS($B53,AG$50+$A53,1,1,$D53))</f>
        <v>0</v>
      </c>
      <c r="AH53" s="1" cm="1">
        <f t="array" aca="1" ref="AH53" ca="1">INDIRECT(ADDRESS($B53,AH$50+$A53,1,1,$D53))</f>
        <v>0</v>
      </c>
      <c r="AI53" s="1" cm="1">
        <f t="array" aca="1" ref="AI53" ca="1">INDIRECT(ADDRESS($B53,AI$50+$A53,1,1,$D53))</f>
        <v>0</v>
      </c>
      <c r="AJ53" s="1" cm="1">
        <f t="array" aca="1" ref="AJ53" ca="1">INDIRECT(ADDRESS($B53,AJ$50+$A53,1,1,$D53))</f>
        <v>0</v>
      </c>
      <c r="AK53" s="1" cm="1">
        <f t="array" aca="1" ref="AK53" ca="1">INDIRECT(ADDRESS($B53,AK$50+$A53,1,1,$D53))</f>
        <v>0</v>
      </c>
      <c r="AL53" s="1" cm="1">
        <f t="array" aca="1" ref="AL53" ca="1">INDIRECT(ADDRESS($B53,AL$50+$A53,1,1,$D53))</f>
        <v>0</v>
      </c>
      <c r="AM53" s="1" cm="1">
        <f t="array" aca="1" ref="AM53" ca="1">INDIRECT(ADDRESS($B53,AM$50+$A53,1,1,$D53))</f>
        <v>0</v>
      </c>
      <c r="AN53" s="1" cm="1">
        <f t="array" aca="1" ref="AN53" ca="1">INDIRECT(ADDRESS($B53,AN$50+$A53,1,1,$D53))</f>
        <v>0</v>
      </c>
      <c r="AO53" s="1" cm="1">
        <f t="array" aca="1" ref="AO53" ca="1">INDIRECT(ADDRESS($B53,AO$50+$A53,1,1,$D53))</f>
        <v>0</v>
      </c>
      <c r="AP53" s="1" cm="1">
        <f t="array" aca="1" ref="AP53" ca="1">INDIRECT(ADDRESS($B53,AP$50+$A53,1,1,$D53))</f>
        <v>0</v>
      </c>
      <c r="AQ53" s="1" cm="1">
        <f t="array" aca="1" ref="AQ53" ca="1">INDIRECT(ADDRESS($B53,AQ$50+$A53,1,1,$D53))</f>
        <v>0</v>
      </c>
      <c r="AR53" s="1" cm="1">
        <f t="array" aca="1" ref="AR53" ca="1">INDIRECT(ADDRESS($B53,AR$50+$A53,1,1,$D53))</f>
        <v>0</v>
      </c>
      <c r="AS53" s="1" cm="1">
        <f t="array" aca="1" ref="AS53" ca="1">INDIRECT(ADDRESS($B53,AS$50+$A53,1,1,$D53))</f>
        <v>0</v>
      </c>
      <c r="AT53" s="1" cm="1">
        <f t="array" aca="1" ref="AT53" ca="1">INDIRECT(ADDRESS($B53,AT$50+$A53,1,1,$D53))</f>
        <v>0</v>
      </c>
      <c r="AU53" s="1" cm="1">
        <f t="array" aca="1" ref="AU53" ca="1">INDIRECT(ADDRESS($B53,AU$50+$A53,1,1,$D53))</f>
        <v>0</v>
      </c>
      <c r="AV53" s="1" cm="1">
        <f t="array" aca="1" ref="AV53" ca="1">INDIRECT(ADDRESS($B53,AV$50+$A53,1,1,$D53))</f>
        <v>0</v>
      </c>
      <c r="AW53" s="1" cm="1">
        <f t="array" aca="1" ref="AW53" ca="1">INDIRECT(ADDRESS($B53,AW$50+$A53,1,1,$D53))</f>
        <v>0</v>
      </c>
      <c r="AX53" s="1" cm="1">
        <f t="array" aca="1" ref="AX53" ca="1">INDIRECT(ADDRESS($B53,AX$50+$A53,1,1,$D53))</f>
        <v>0</v>
      </c>
      <c r="AY53" s="1" cm="1">
        <f t="array" aca="1" ref="AY53" ca="1">INDIRECT(ADDRESS($B53,AY$50+$A53,1,1,$D53))</f>
        <v>0</v>
      </c>
      <c r="AZ53" s="1" cm="1">
        <f t="array" aca="1" ref="AZ53" ca="1">INDIRECT(ADDRESS($B53,AZ$50+$A53,1,1,$D53))</f>
        <v>0</v>
      </c>
      <c r="BA53" s="1" cm="1">
        <f t="array" aca="1" ref="BA53" ca="1">INDIRECT(ADDRESS($B53,BA$50+$A53,1,1,$D53))</f>
        <v>0</v>
      </c>
      <c r="BB53" s="1" cm="1">
        <f t="array" aca="1" ref="BB53" ca="1">INDIRECT(ADDRESS($B53,BB$50+$A53,1,1,$D53))</f>
        <v>0</v>
      </c>
      <c r="BC53" s="1" cm="1">
        <f t="array" aca="1" ref="BC53" ca="1">INDIRECT(ADDRESS($B53,BC$50+$A53,1,1,$D53))</f>
        <v>0</v>
      </c>
      <c r="BD53" s="1" cm="1">
        <f t="array" aca="1" ref="BD53" ca="1">INDIRECT(ADDRESS($B53,BD$50+$A53,1,1,$D53))</f>
        <v>0</v>
      </c>
      <c r="BE53" s="1" cm="1">
        <f t="array" aca="1" ref="BE53" ca="1">INDIRECT(ADDRESS($B53,BE$50+$A53,1,1,$D53))</f>
        <v>0</v>
      </c>
      <c r="BF53" s="1" cm="1">
        <f t="array" aca="1" ref="BF53" ca="1">INDIRECT(ADDRESS($B53,BF$50+$A53,1,1,$D53))</f>
        <v>0</v>
      </c>
      <c r="BG53" s="1" cm="1">
        <f t="array" aca="1" ref="BG53" ca="1">INDIRECT(ADDRESS($B53,BG$50+$A53,1,1,$D53))</f>
        <v>0</v>
      </c>
      <c r="BH53" s="1" cm="1">
        <f t="array" aca="1" ref="BH53" ca="1">INDIRECT(ADDRESS($B53,BH$50+$A53,1,1,$D53))</f>
        <v>0</v>
      </c>
      <c r="BI53" s="1" cm="1">
        <f t="array" aca="1" ref="BI53" ca="1">INDIRECT(ADDRESS($B53,BI$50+$A53,1,1,$D53))</f>
        <v>0</v>
      </c>
      <c r="BJ53" s="1" cm="1">
        <f t="array" aca="1" ref="BJ53" ca="1">INDIRECT(ADDRESS($B53,BJ$50+$A53,1,1,$D53))</f>
        <v>0</v>
      </c>
      <c r="BK53" s="1" cm="1">
        <f t="array" aca="1" ref="BK53" ca="1">INDIRECT(ADDRESS($B53,BK$50+$A53,1,1,$D53))</f>
        <v>0</v>
      </c>
      <c r="BL53" s="1" cm="1">
        <f t="array" aca="1" ref="BL53" ca="1">INDIRECT(ADDRESS($B53,BL$50+$A53,1,1,$D53))</f>
        <v>0</v>
      </c>
      <c r="BM53" s="1" cm="1">
        <f t="array" aca="1" ref="BM53" ca="1">INDIRECT(ADDRESS($B53,BM$50+$A53,1,1,$D53))</f>
        <v>0</v>
      </c>
      <c r="BN53" s="1" cm="1">
        <f t="array" aca="1" ref="BN53" ca="1">INDIRECT(ADDRESS($B53,BN$50+$A53,1,1,$D53))</f>
        <v>0</v>
      </c>
      <c r="BO53" s="1" cm="1">
        <f t="array" aca="1" ref="BO53" ca="1">INDIRECT(ADDRESS($B53,BO$50+$A53,1,1,$D53))</f>
        <v>0</v>
      </c>
      <c r="BP53" s="1" cm="1">
        <f t="array" aca="1" ref="BP53" ca="1">INDIRECT(ADDRESS($B53,BP$50+$A53,1,1,$D53))</f>
        <v>0</v>
      </c>
      <c r="BQ53" s="1" cm="1">
        <f t="array" aca="1" ref="BQ53" ca="1">INDIRECT(ADDRESS($B53,BQ$50+$A53,1,1,$D53))</f>
        <v>0</v>
      </c>
      <c r="BR53" s="1" cm="1">
        <f t="array" aca="1" ref="BR53" ca="1">INDIRECT(ADDRESS($B53,BR$50+$A53,1,1,$D53))</f>
        <v>0</v>
      </c>
      <c r="BS53" s="1" cm="1">
        <f t="array" aca="1" ref="BS53" ca="1">INDIRECT(ADDRESS($B53,BS$50+$A53,1,1,$D53))</f>
        <v>0</v>
      </c>
      <c r="BT53" s="1" cm="1">
        <f t="array" aca="1" ref="BT53" ca="1">INDIRECT(ADDRESS($B53,BT$50+$A53,1,1,$D53))</f>
        <v>0</v>
      </c>
      <c r="BU53" s="1" cm="1">
        <f t="array" aca="1" ref="BU53" ca="1">INDIRECT(ADDRESS($B53,BU$50+$A53,1,1,$D53))</f>
        <v>0</v>
      </c>
      <c r="BV53" s="1" cm="1">
        <f t="array" aca="1" ref="BV53" ca="1">INDIRECT(ADDRESS($B53,BV$50+$A53,1,1,$D53))</f>
        <v>0</v>
      </c>
    </row>
    <row r="54" spans="1:74" x14ac:dyDescent="0.25">
      <c r="A54">
        <v>6</v>
      </c>
      <c r="B54">
        <f t="shared" ref="B54:B56" ca="1" si="6">MATCH($C54,INDIRECT("'"&amp;$C$52&amp;"'!A:A"),0)</f>
        <v>12</v>
      </c>
      <c r="C54" s="1" t="str">
        <f>C9</f>
        <v>Spain</v>
      </c>
      <c r="D54" t="str">
        <f>D53</f>
        <v>Tested</v>
      </c>
      <c r="E54" s="1" cm="1">
        <f t="array" aca="1" ref="E54" ca="1">INDIRECT(ADDRESS($B54,E$50+$A54,1,1,$D54))</f>
        <v>0</v>
      </c>
      <c r="F54" s="1" cm="1">
        <f t="array" aca="1" ref="F54" ca="1">INDIRECT(ADDRESS($B54,F$50+$A54,1,1,$D54))</f>
        <v>0</v>
      </c>
      <c r="G54" s="1" cm="1">
        <f t="array" aca="1" ref="G54" ca="1">INDIRECT(ADDRESS($B54,G$50+$A54,1,1,$D54))</f>
        <v>0</v>
      </c>
      <c r="H54" s="1" cm="1">
        <f t="array" aca="1" ref="H54" ca="1">INDIRECT(ADDRESS($B54,H$50+$A54,1,1,$D54))</f>
        <v>0</v>
      </c>
      <c r="I54" s="1" cm="1">
        <f t="array" aca="1" ref="I54" ca="1">INDIRECT(ADDRESS($B54,I$50+$A54,1,1,$D54))</f>
        <v>0</v>
      </c>
      <c r="J54" s="1" cm="1">
        <f t="array" aca="1" ref="J54" ca="1">INDIRECT(ADDRESS($B54,J$50+$A54,1,1,$D54))</f>
        <v>0</v>
      </c>
      <c r="K54" s="1" cm="1">
        <f t="array" aca="1" ref="K54" ca="1">INDIRECT(ADDRESS($B54,K$50+$A54,1,1,$D54))</f>
        <v>0</v>
      </c>
      <c r="L54" s="1" cm="1">
        <f t="array" aca="1" ref="L54" ca="1">INDIRECT(ADDRESS($B54,L$50+$A54,1,1,$D54))</f>
        <v>0</v>
      </c>
      <c r="M54" s="1" cm="1">
        <f t="array" aca="1" ref="M54" ca="1">INDIRECT(ADDRESS($B54,M$50+$A54,1,1,$D54))</f>
        <v>0</v>
      </c>
      <c r="N54" s="1" cm="1">
        <f t="array" aca="1" ref="N54" ca="1">INDIRECT(ADDRESS($B54,N$50+$A54,1,1,$D54))</f>
        <v>0</v>
      </c>
      <c r="O54" s="1" cm="1">
        <f t="array" aca="1" ref="O54" ca="1">INDIRECT(ADDRESS($B54,O$50+$A54,1,1,$D54))</f>
        <v>0</v>
      </c>
      <c r="P54" s="1" cm="1">
        <f t="array" aca="1" ref="P54" ca="1">INDIRECT(ADDRESS($B54,P$50+$A54,1,1,$D54))</f>
        <v>0</v>
      </c>
      <c r="Q54" s="1" cm="1">
        <f t="array" aca="1" ref="Q54" ca="1">INDIRECT(ADDRESS($B54,Q$50+$A54,1,1,$D54))</f>
        <v>0</v>
      </c>
      <c r="R54" s="1" cm="1">
        <f t="array" aca="1" ref="R54" ca="1">INDIRECT(ADDRESS($B54,R$50+$A54,1,1,$D54))</f>
        <v>0</v>
      </c>
      <c r="S54" s="1" cm="1">
        <f t="array" aca="1" ref="S54" ca="1">INDIRECT(ADDRESS($B54,S$50+$A54,1,1,$D54))</f>
        <v>0</v>
      </c>
      <c r="T54" s="1" cm="1">
        <f t="array" aca="1" ref="T54" ca="1">INDIRECT(ADDRESS($B54,T$50+$A54,1,1,$D54))</f>
        <v>0</v>
      </c>
      <c r="U54" s="1" cm="1">
        <f t="array" aca="1" ref="U54" ca="1">INDIRECT(ADDRESS($B54,U$50+$A54,1,1,$D54))</f>
        <v>0</v>
      </c>
      <c r="V54" s="1" cm="1">
        <f t="array" aca="1" ref="V54" ca="1">INDIRECT(ADDRESS($B54,V$50+$A54,1,1,$D54))</f>
        <v>0</v>
      </c>
      <c r="W54" s="1" cm="1">
        <f t="array" aca="1" ref="W54" ca="1">INDIRECT(ADDRESS($B54,W$50+$A54,1,1,$D54))</f>
        <v>0</v>
      </c>
      <c r="X54" s="1" cm="1">
        <f t="array" aca="1" ref="X54" ca="1">INDIRECT(ADDRESS($B54,X$50+$A54,1,1,$D54))</f>
        <v>0</v>
      </c>
      <c r="Y54" s="1" cm="1">
        <f t="array" aca="1" ref="Y54" ca="1">INDIRECT(ADDRESS($B54,Y$50+$A54,1,1,$D54))</f>
        <v>0</v>
      </c>
      <c r="Z54" s="1" cm="1">
        <f t="array" aca="1" ref="Z54" ca="1">INDIRECT(ADDRESS($B54,Z$50+$A54,1,1,$D54))</f>
        <v>0</v>
      </c>
      <c r="AA54" s="1" cm="1">
        <f t="array" aca="1" ref="AA54" ca="1">INDIRECT(ADDRESS($B54,AA$50+$A54,1,1,$D54))</f>
        <v>0</v>
      </c>
      <c r="AB54" s="1" cm="1">
        <f t="array" aca="1" ref="AB54" ca="1">INDIRECT(ADDRESS($B54,AB$50+$A54,1,1,$D54))</f>
        <v>0</v>
      </c>
      <c r="AC54" s="1" cm="1">
        <f t="array" aca="1" ref="AC54" ca="1">INDIRECT(ADDRESS($B54,AC$50+$A54,1,1,$D54))</f>
        <v>0</v>
      </c>
      <c r="AD54" s="1" cm="1">
        <f t="array" aca="1" ref="AD54" ca="1">INDIRECT(ADDRESS($B54,AD$50+$A54,1,1,$D54))</f>
        <v>0</v>
      </c>
      <c r="AE54" s="1" cm="1">
        <f t="array" aca="1" ref="AE54" ca="1">INDIRECT(ADDRESS($B54,AE$50+$A54,1,1,$D54))</f>
        <v>0</v>
      </c>
      <c r="AF54" s="1" cm="1">
        <f t="array" aca="1" ref="AF54" ca="1">INDIRECT(ADDRESS($B54,AF$50+$A54,1,1,$D54))</f>
        <v>0</v>
      </c>
      <c r="AG54" s="1" cm="1">
        <f t="array" aca="1" ref="AG54" ca="1">INDIRECT(ADDRESS($B54,AG$50+$A54,1,1,$D54))</f>
        <v>0</v>
      </c>
      <c r="AH54" s="1" cm="1">
        <f t="array" aca="1" ref="AH54" ca="1">INDIRECT(ADDRESS($B54,AH$50+$A54,1,1,$D54))</f>
        <v>0</v>
      </c>
      <c r="AI54" s="1" cm="1">
        <f t="array" aca="1" ref="AI54" ca="1">INDIRECT(ADDRESS($B54,AI$50+$A54,1,1,$D54))</f>
        <v>0</v>
      </c>
      <c r="AJ54" s="1" cm="1">
        <f t="array" aca="1" ref="AJ54" ca="1">INDIRECT(ADDRESS($B54,AJ$50+$A54,1,1,$D54))</f>
        <v>0</v>
      </c>
      <c r="AK54" s="1" cm="1">
        <f t="array" aca="1" ref="AK54" ca="1">INDIRECT(ADDRESS($B54,AK$50+$A54,1,1,$D54))</f>
        <v>0</v>
      </c>
      <c r="AL54" s="1" cm="1">
        <f t="array" aca="1" ref="AL54" ca="1">INDIRECT(ADDRESS($B54,AL$50+$A54,1,1,$D54))</f>
        <v>0</v>
      </c>
      <c r="AM54" s="1" cm="1">
        <f t="array" aca="1" ref="AM54" ca="1">INDIRECT(ADDRESS($B54,AM$50+$A54,1,1,$D54))</f>
        <v>0</v>
      </c>
      <c r="AN54" s="1" cm="1">
        <f t="array" aca="1" ref="AN54" ca="1">INDIRECT(ADDRESS($B54,AN$50+$A54,1,1,$D54))</f>
        <v>0</v>
      </c>
      <c r="AO54" s="1" cm="1">
        <f t="array" aca="1" ref="AO54" ca="1">INDIRECT(ADDRESS($B54,AO$50+$A54,1,1,$D54))</f>
        <v>0</v>
      </c>
      <c r="AP54" s="1" cm="1">
        <f t="array" aca="1" ref="AP54" ca="1">INDIRECT(ADDRESS($B54,AP$50+$A54,1,1,$D54))</f>
        <v>0</v>
      </c>
      <c r="AQ54" s="1" cm="1">
        <f t="array" aca="1" ref="AQ54" ca="1">INDIRECT(ADDRESS($B54,AQ$50+$A54,1,1,$D54))</f>
        <v>0</v>
      </c>
      <c r="AR54" s="1" cm="1">
        <f t="array" aca="1" ref="AR54" ca="1">INDIRECT(ADDRESS($B54,AR$50+$A54,1,1,$D54))</f>
        <v>0</v>
      </c>
      <c r="AS54" s="1" cm="1">
        <f t="array" aca="1" ref="AS54" ca="1">INDIRECT(ADDRESS($B54,AS$50+$A54,1,1,$D54))</f>
        <v>0</v>
      </c>
      <c r="AT54" s="1" cm="1">
        <f t="array" aca="1" ref="AT54" ca="1">INDIRECT(ADDRESS($B54,AT$50+$A54,1,1,$D54))</f>
        <v>0</v>
      </c>
      <c r="AU54" s="1" cm="1">
        <f t="array" aca="1" ref="AU54" ca="1">INDIRECT(ADDRESS($B54,AU$50+$A54,1,1,$D54))</f>
        <v>0</v>
      </c>
      <c r="AV54" s="1" cm="1">
        <f t="array" aca="1" ref="AV54" ca="1">INDIRECT(ADDRESS($B54,AV$50+$A54,1,1,$D54))</f>
        <v>0</v>
      </c>
      <c r="AW54" s="1" cm="1">
        <f t="array" aca="1" ref="AW54" ca="1">INDIRECT(ADDRESS($B54,AW$50+$A54,1,1,$D54))</f>
        <v>0</v>
      </c>
      <c r="AX54" s="1" cm="1">
        <f t="array" aca="1" ref="AX54" ca="1">INDIRECT(ADDRESS($B54,AX$50+$A54,1,1,$D54))</f>
        <v>0</v>
      </c>
      <c r="AY54" s="1" cm="1">
        <f t="array" aca="1" ref="AY54" ca="1">INDIRECT(ADDRESS($B54,AY$50+$A54,1,1,$D54))</f>
        <v>0</v>
      </c>
      <c r="AZ54" s="1" cm="1">
        <f t="array" aca="1" ref="AZ54" ca="1">INDIRECT(ADDRESS($B54,AZ$50+$A54,1,1,$D54))</f>
        <v>0</v>
      </c>
      <c r="BA54" s="1" cm="1">
        <f t="array" aca="1" ref="BA54" ca="1">INDIRECT(ADDRESS($B54,BA$50+$A54,1,1,$D54))</f>
        <v>0</v>
      </c>
      <c r="BB54" s="1" cm="1">
        <f t="array" aca="1" ref="BB54" ca="1">INDIRECT(ADDRESS($B54,BB$50+$A54,1,1,$D54))</f>
        <v>0</v>
      </c>
      <c r="BC54" s="1" cm="1">
        <f t="array" aca="1" ref="BC54" ca="1">INDIRECT(ADDRESS($B54,BC$50+$A54,1,1,$D54))</f>
        <v>0</v>
      </c>
      <c r="BD54" s="1" cm="1">
        <f t="array" aca="1" ref="BD54" ca="1">INDIRECT(ADDRESS($B54,BD$50+$A54,1,1,$D54))</f>
        <v>0</v>
      </c>
      <c r="BE54" s="1" cm="1">
        <f t="array" aca="1" ref="BE54" ca="1">INDIRECT(ADDRESS($B54,BE$50+$A54,1,1,$D54))</f>
        <v>0</v>
      </c>
      <c r="BF54" s="1" cm="1">
        <f t="array" aca="1" ref="BF54" ca="1">INDIRECT(ADDRESS($B54,BF$50+$A54,1,1,$D54))</f>
        <v>0</v>
      </c>
      <c r="BG54" s="1" cm="1">
        <f t="array" aca="1" ref="BG54" ca="1">INDIRECT(ADDRESS($B54,BG$50+$A54,1,1,$D54))</f>
        <v>0</v>
      </c>
      <c r="BH54" s="1" cm="1">
        <f t="array" aca="1" ref="BH54" ca="1">INDIRECT(ADDRESS($B54,BH$50+$A54,1,1,$D54))</f>
        <v>0</v>
      </c>
      <c r="BI54" s="1" cm="1">
        <f t="array" aca="1" ref="BI54" ca="1">INDIRECT(ADDRESS($B54,BI$50+$A54,1,1,$D54))</f>
        <v>0</v>
      </c>
      <c r="BJ54" s="1" cm="1">
        <f t="array" aca="1" ref="BJ54" ca="1">INDIRECT(ADDRESS($B54,BJ$50+$A54,1,1,$D54))</f>
        <v>0</v>
      </c>
      <c r="BK54" s="1" cm="1">
        <f t="array" aca="1" ref="BK54" ca="1">INDIRECT(ADDRESS($B54,BK$50+$A54,1,1,$D54))</f>
        <v>0</v>
      </c>
      <c r="BL54" s="1" cm="1">
        <f t="array" aca="1" ref="BL54" ca="1">INDIRECT(ADDRESS($B54,BL$50+$A54,1,1,$D54))</f>
        <v>0</v>
      </c>
      <c r="BM54" s="1" cm="1">
        <f t="array" aca="1" ref="BM54" ca="1">INDIRECT(ADDRESS($B54,BM$50+$A54,1,1,$D54))</f>
        <v>0</v>
      </c>
      <c r="BN54" s="1" cm="1">
        <f t="array" aca="1" ref="BN54" ca="1">INDIRECT(ADDRESS($B54,BN$50+$A54,1,1,$D54))</f>
        <v>0</v>
      </c>
      <c r="BO54" s="1" cm="1">
        <f t="array" aca="1" ref="BO54" ca="1">INDIRECT(ADDRESS($B54,BO$50+$A54,1,1,$D54))</f>
        <v>0</v>
      </c>
      <c r="BP54" s="1" cm="1">
        <f t="array" aca="1" ref="BP54" ca="1">INDIRECT(ADDRESS($B54,BP$50+$A54,1,1,$D54))</f>
        <v>0</v>
      </c>
      <c r="BQ54" s="1" cm="1">
        <f t="array" aca="1" ref="BQ54" ca="1">INDIRECT(ADDRESS($B54,BQ$50+$A54,1,1,$D54))</f>
        <v>0</v>
      </c>
      <c r="BR54" s="1" cm="1">
        <f t="array" aca="1" ref="BR54" ca="1">INDIRECT(ADDRESS($B54,BR$50+$A54,1,1,$D54))</f>
        <v>0</v>
      </c>
      <c r="BS54" s="1" cm="1">
        <f t="array" aca="1" ref="BS54" ca="1">INDIRECT(ADDRESS($B54,BS$50+$A54,1,1,$D54))</f>
        <v>0</v>
      </c>
      <c r="BT54" s="1" cm="1">
        <f t="array" aca="1" ref="BT54" ca="1">INDIRECT(ADDRESS($B54,BT$50+$A54,1,1,$D54))</f>
        <v>0</v>
      </c>
      <c r="BU54" s="1" cm="1">
        <f t="array" aca="1" ref="BU54" ca="1">INDIRECT(ADDRESS($B54,BU$50+$A54,1,1,$D54))</f>
        <v>0</v>
      </c>
      <c r="BV54" s="1" cm="1">
        <f t="array" aca="1" ref="BV54" ca="1">INDIRECT(ADDRESS($B54,BV$50+$A54,1,1,$D54))</f>
        <v>0</v>
      </c>
    </row>
    <row r="55" spans="1:74" x14ac:dyDescent="0.25">
      <c r="A55">
        <v>6</v>
      </c>
      <c r="B55">
        <f t="shared" ca="1" si="6"/>
        <v>15</v>
      </c>
      <c r="C55" s="1" t="str">
        <f>C10</f>
        <v>US</v>
      </c>
      <c r="D55" t="str">
        <f>D54</f>
        <v>Tested</v>
      </c>
      <c r="E55" s="1" cm="1">
        <f t="array" aca="1" ref="E55" ca="1">INDIRECT(ADDRESS($B55,E$50+$A55,1,1,$D55))</f>
        <v>0</v>
      </c>
      <c r="F55" s="1" cm="1">
        <f t="array" aca="1" ref="F55" ca="1">INDIRECT(ADDRESS($B55,F$50+$A55,1,1,$D55))</f>
        <v>0</v>
      </c>
      <c r="G55" s="1" cm="1">
        <f t="array" aca="1" ref="G55" ca="1">INDIRECT(ADDRESS($B55,G$50+$A55,1,1,$D55))</f>
        <v>0</v>
      </c>
      <c r="H55" s="1" cm="1">
        <f t="array" aca="1" ref="H55" ca="1">INDIRECT(ADDRESS($B55,H$50+$A55,1,1,$D55))</f>
        <v>0</v>
      </c>
      <c r="I55" s="1" cm="1">
        <f t="array" aca="1" ref="I55" ca="1">INDIRECT(ADDRESS($B55,I$50+$A55,1,1,$D55))</f>
        <v>0</v>
      </c>
      <c r="J55" s="1" cm="1">
        <f t="array" aca="1" ref="J55" ca="1">INDIRECT(ADDRESS($B55,J$50+$A55,1,1,$D55))</f>
        <v>0</v>
      </c>
      <c r="K55" s="1" cm="1">
        <f t="array" aca="1" ref="K55" ca="1">INDIRECT(ADDRESS($B55,K$50+$A55,1,1,$D55))</f>
        <v>0</v>
      </c>
      <c r="L55" s="1" cm="1">
        <f t="array" aca="1" ref="L55" ca="1">INDIRECT(ADDRESS($B55,L$50+$A55,1,1,$D55))</f>
        <v>0</v>
      </c>
      <c r="M55" s="1" cm="1">
        <f t="array" aca="1" ref="M55" ca="1">INDIRECT(ADDRESS($B55,M$50+$A55,1,1,$D55))</f>
        <v>0</v>
      </c>
      <c r="N55" s="1" cm="1">
        <f t="array" aca="1" ref="N55" ca="1">INDIRECT(ADDRESS($B55,N$50+$A55,1,1,$D55))</f>
        <v>0</v>
      </c>
      <c r="O55" s="1" cm="1">
        <f t="array" aca="1" ref="O55" ca="1">INDIRECT(ADDRESS($B55,O$50+$A55,1,1,$D55))</f>
        <v>0</v>
      </c>
      <c r="P55" s="1" cm="1">
        <f t="array" aca="1" ref="P55" ca="1">INDIRECT(ADDRESS($B55,P$50+$A55,1,1,$D55))</f>
        <v>0</v>
      </c>
      <c r="Q55" s="1" cm="1">
        <f t="array" aca="1" ref="Q55" ca="1">INDIRECT(ADDRESS($B55,Q$50+$A55,1,1,$D55))</f>
        <v>0</v>
      </c>
      <c r="R55" s="1" cm="1">
        <f t="array" aca="1" ref="R55" ca="1">INDIRECT(ADDRESS($B55,R$50+$A55,1,1,$D55))</f>
        <v>0</v>
      </c>
      <c r="S55" s="1" cm="1">
        <f t="array" aca="1" ref="S55" ca="1">INDIRECT(ADDRESS($B55,S$50+$A55,1,1,$D55))</f>
        <v>0</v>
      </c>
      <c r="T55" s="1" cm="1">
        <f t="array" aca="1" ref="T55" ca="1">INDIRECT(ADDRESS($B55,T$50+$A55,1,1,$D55))</f>
        <v>0</v>
      </c>
      <c r="U55" s="1" cm="1">
        <f t="array" aca="1" ref="U55" ca="1">INDIRECT(ADDRESS($B55,U$50+$A55,1,1,$D55))</f>
        <v>0</v>
      </c>
      <c r="V55" s="1" cm="1">
        <f t="array" aca="1" ref="V55" ca="1">INDIRECT(ADDRESS($B55,V$50+$A55,1,1,$D55))</f>
        <v>0</v>
      </c>
      <c r="W55" s="1" cm="1">
        <f t="array" aca="1" ref="W55" ca="1">INDIRECT(ADDRESS($B55,W$50+$A55,1,1,$D55))</f>
        <v>0</v>
      </c>
      <c r="X55" s="1" cm="1">
        <f t="array" aca="1" ref="X55" ca="1">INDIRECT(ADDRESS($B55,X$50+$A55,1,1,$D55))</f>
        <v>0</v>
      </c>
      <c r="Y55" s="1" cm="1">
        <f t="array" aca="1" ref="Y55" ca="1">INDIRECT(ADDRESS($B55,Y$50+$A55,1,1,$D55))</f>
        <v>0</v>
      </c>
      <c r="Z55" s="1" cm="1">
        <f t="array" aca="1" ref="Z55" ca="1">INDIRECT(ADDRESS($B55,Z$50+$A55,1,1,$D55))</f>
        <v>0</v>
      </c>
      <c r="AA55" s="1" cm="1">
        <f t="array" aca="1" ref="AA55" ca="1">INDIRECT(ADDRESS($B55,AA$50+$A55,1,1,$D55))</f>
        <v>0</v>
      </c>
      <c r="AB55" s="1" cm="1">
        <f t="array" aca="1" ref="AB55" ca="1">INDIRECT(ADDRESS($B55,AB$50+$A55,1,1,$D55))</f>
        <v>0</v>
      </c>
      <c r="AC55" s="1" cm="1">
        <f t="array" aca="1" ref="AC55" ca="1">INDIRECT(ADDRESS($B55,AC$50+$A55,1,1,$D55))</f>
        <v>0</v>
      </c>
      <c r="AD55" s="1" cm="1">
        <f t="array" aca="1" ref="AD55" ca="1">INDIRECT(ADDRESS($B55,AD$50+$A55,1,1,$D55))</f>
        <v>0</v>
      </c>
      <c r="AE55" s="1" cm="1">
        <f t="array" aca="1" ref="AE55" ca="1">INDIRECT(ADDRESS($B55,AE$50+$A55,1,1,$D55))</f>
        <v>0</v>
      </c>
      <c r="AF55" s="1" cm="1">
        <f t="array" aca="1" ref="AF55" ca="1">INDIRECT(ADDRESS($B55,AF$50+$A55,1,1,$D55))</f>
        <v>0</v>
      </c>
      <c r="AG55" s="1" cm="1">
        <f t="array" aca="1" ref="AG55" ca="1">INDIRECT(ADDRESS($B55,AG$50+$A55,1,1,$D55))</f>
        <v>0</v>
      </c>
      <c r="AH55" s="1" cm="1">
        <f t="array" aca="1" ref="AH55" ca="1">INDIRECT(ADDRESS($B55,AH$50+$A55,1,1,$D55))</f>
        <v>0</v>
      </c>
      <c r="AI55" s="1" cm="1">
        <f t="array" aca="1" ref="AI55" ca="1">INDIRECT(ADDRESS($B55,AI$50+$A55,1,1,$D55))</f>
        <v>0</v>
      </c>
      <c r="AJ55" s="1" cm="1">
        <f t="array" aca="1" ref="AJ55" ca="1">INDIRECT(ADDRESS($B55,AJ$50+$A55,1,1,$D55))</f>
        <v>0</v>
      </c>
      <c r="AK55" s="1" cm="1">
        <f t="array" aca="1" ref="AK55" ca="1">INDIRECT(ADDRESS($B55,AK$50+$A55,1,1,$D55))</f>
        <v>0</v>
      </c>
      <c r="AL55" s="1" cm="1">
        <f t="array" aca="1" ref="AL55" ca="1">INDIRECT(ADDRESS($B55,AL$50+$A55,1,1,$D55))</f>
        <v>0</v>
      </c>
      <c r="AM55" s="1" cm="1">
        <f t="array" aca="1" ref="AM55" ca="1">INDIRECT(ADDRESS($B55,AM$50+$A55,1,1,$D55))</f>
        <v>0</v>
      </c>
      <c r="AN55" s="1" cm="1">
        <f t="array" aca="1" ref="AN55" ca="1">INDIRECT(ADDRESS($B55,AN$50+$A55,1,1,$D55))</f>
        <v>0</v>
      </c>
      <c r="AO55" s="1" cm="1">
        <f t="array" aca="1" ref="AO55" ca="1">INDIRECT(ADDRESS($B55,AO$50+$A55,1,1,$D55))</f>
        <v>0</v>
      </c>
      <c r="AP55" s="1" cm="1">
        <f t="array" aca="1" ref="AP55" ca="1">INDIRECT(ADDRESS($B55,AP$50+$A55,1,1,$D55))</f>
        <v>0</v>
      </c>
      <c r="AQ55" s="1" cm="1">
        <f t="array" aca="1" ref="AQ55" ca="1">INDIRECT(ADDRESS($B55,AQ$50+$A55,1,1,$D55))</f>
        <v>0</v>
      </c>
      <c r="AR55" s="1" cm="1">
        <f t="array" aca="1" ref="AR55" ca="1">INDIRECT(ADDRESS($B55,AR$50+$A55,1,1,$D55))</f>
        <v>0</v>
      </c>
      <c r="AS55" s="1" cm="1">
        <f t="array" aca="1" ref="AS55" ca="1">INDIRECT(ADDRESS($B55,AS$50+$A55,1,1,$D55))</f>
        <v>0</v>
      </c>
      <c r="AT55" s="1" cm="1">
        <f t="array" aca="1" ref="AT55" ca="1">INDIRECT(ADDRESS($B55,AT$50+$A55,1,1,$D55))</f>
        <v>0</v>
      </c>
      <c r="AU55" s="1" cm="1">
        <f t="array" aca="1" ref="AU55" ca="1">INDIRECT(ADDRESS($B55,AU$50+$A55,1,1,$D55))</f>
        <v>0</v>
      </c>
      <c r="AV55" s="1" cm="1">
        <f t="array" aca="1" ref="AV55" ca="1">INDIRECT(ADDRESS($B55,AV$50+$A55,1,1,$D55))</f>
        <v>0</v>
      </c>
      <c r="AW55" s="1" cm="1">
        <f t="array" aca="1" ref="AW55" ca="1">INDIRECT(ADDRESS($B55,AW$50+$A55,1,1,$D55))</f>
        <v>0</v>
      </c>
      <c r="AX55" s="1" cm="1">
        <f t="array" aca="1" ref="AX55" ca="1">INDIRECT(ADDRESS($B55,AX$50+$A55,1,1,$D55))</f>
        <v>0</v>
      </c>
      <c r="AY55" s="1" cm="1">
        <f t="array" aca="1" ref="AY55" ca="1">INDIRECT(ADDRESS($B55,AY$50+$A55,1,1,$D55))</f>
        <v>0</v>
      </c>
      <c r="AZ55" s="1" cm="1">
        <f t="array" aca="1" ref="AZ55" ca="1">INDIRECT(ADDRESS($B55,AZ$50+$A55,1,1,$D55))</f>
        <v>0</v>
      </c>
      <c r="BA55" s="1" cm="1">
        <f t="array" aca="1" ref="BA55" ca="1">INDIRECT(ADDRESS($B55,BA$50+$A55,1,1,$D55))</f>
        <v>0</v>
      </c>
      <c r="BB55" s="1" cm="1">
        <f t="array" aca="1" ref="BB55" ca="1">INDIRECT(ADDRESS($B55,BB$50+$A55,1,1,$D55))</f>
        <v>0</v>
      </c>
      <c r="BC55" s="1" cm="1">
        <f t="array" aca="1" ref="BC55" ca="1">INDIRECT(ADDRESS($B55,BC$50+$A55,1,1,$D55))</f>
        <v>0</v>
      </c>
      <c r="BD55" s="1" cm="1">
        <f t="array" aca="1" ref="BD55" ca="1">INDIRECT(ADDRESS($B55,BD$50+$A55,1,1,$D55))</f>
        <v>0</v>
      </c>
      <c r="BE55" s="1" cm="1">
        <f t="array" aca="1" ref="BE55" ca="1">INDIRECT(ADDRESS($B55,BE$50+$A55,1,1,$D55))</f>
        <v>0</v>
      </c>
      <c r="BF55" s="1" cm="1">
        <f t="array" aca="1" ref="BF55" ca="1">INDIRECT(ADDRESS($B55,BF$50+$A55,1,1,$D55))</f>
        <v>0</v>
      </c>
      <c r="BG55" s="1" cm="1">
        <f t="array" aca="1" ref="BG55" ca="1">INDIRECT(ADDRESS($B55,BG$50+$A55,1,1,$D55))</f>
        <v>0</v>
      </c>
      <c r="BH55" s="1" cm="1">
        <f t="array" aca="1" ref="BH55" ca="1">INDIRECT(ADDRESS($B55,BH$50+$A55,1,1,$D55))</f>
        <v>0</v>
      </c>
      <c r="BI55" s="1" cm="1">
        <f t="array" aca="1" ref="BI55" ca="1">INDIRECT(ADDRESS($B55,BI$50+$A55,1,1,$D55))</f>
        <v>0</v>
      </c>
      <c r="BJ55" s="1" cm="1">
        <f t="array" aca="1" ref="BJ55" ca="1">INDIRECT(ADDRESS($B55,BJ$50+$A55,1,1,$D55))</f>
        <v>0</v>
      </c>
      <c r="BK55" s="1" cm="1">
        <f t="array" aca="1" ref="BK55" ca="1">INDIRECT(ADDRESS($B55,BK$50+$A55,1,1,$D55))</f>
        <v>0</v>
      </c>
      <c r="BL55" s="1" cm="1">
        <f t="array" aca="1" ref="BL55" ca="1">INDIRECT(ADDRESS($B55,BL$50+$A55,1,1,$D55))</f>
        <v>0</v>
      </c>
      <c r="BM55" s="1" cm="1">
        <f t="array" aca="1" ref="BM55" ca="1">INDIRECT(ADDRESS($B55,BM$50+$A55,1,1,$D55))</f>
        <v>0</v>
      </c>
      <c r="BN55" s="1" cm="1">
        <f t="array" aca="1" ref="BN55" ca="1">INDIRECT(ADDRESS($B55,BN$50+$A55,1,1,$D55))</f>
        <v>0</v>
      </c>
      <c r="BO55" s="1" cm="1">
        <f t="array" aca="1" ref="BO55" ca="1">INDIRECT(ADDRESS($B55,BO$50+$A55,1,1,$D55))</f>
        <v>0</v>
      </c>
      <c r="BP55" s="1" cm="1">
        <f t="array" aca="1" ref="BP55" ca="1">INDIRECT(ADDRESS($B55,BP$50+$A55,1,1,$D55))</f>
        <v>0</v>
      </c>
      <c r="BQ55" s="1" cm="1">
        <f t="array" aca="1" ref="BQ55" ca="1">INDIRECT(ADDRESS($B55,BQ$50+$A55,1,1,$D55))</f>
        <v>0</v>
      </c>
      <c r="BR55" s="1" cm="1">
        <f t="array" aca="1" ref="BR55" ca="1">INDIRECT(ADDRESS($B55,BR$50+$A55,1,1,$D55))</f>
        <v>0</v>
      </c>
      <c r="BS55" s="1" cm="1">
        <f t="array" aca="1" ref="BS55" ca="1">INDIRECT(ADDRESS($B55,BS$50+$A55,1,1,$D55))</f>
        <v>0</v>
      </c>
      <c r="BT55" s="1" cm="1">
        <f t="array" aca="1" ref="BT55" ca="1">INDIRECT(ADDRESS($B55,BT$50+$A55,1,1,$D55))</f>
        <v>0</v>
      </c>
      <c r="BU55" s="1" cm="1">
        <f t="array" aca="1" ref="BU55" ca="1">INDIRECT(ADDRESS($B55,BU$50+$A55,1,1,$D55))</f>
        <v>0</v>
      </c>
      <c r="BV55" s="1" cm="1">
        <f t="array" aca="1" ref="BV55" ca="1">INDIRECT(ADDRESS($B55,BV$50+$A55,1,1,$D55))</f>
        <v>0</v>
      </c>
    </row>
    <row r="56" spans="1:74" x14ac:dyDescent="0.25">
      <c r="A56">
        <v>6</v>
      </c>
      <c r="B56">
        <f t="shared" ca="1" si="6"/>
        <v>14</v>
      </c>
      <c r="C56" s="1" t="str">
        <f>C11</f>
        <v>Switzerland</v>
      </c>
      <c r="D56" t="str">
        <f>D55</f>
        <v>Tested</v>
      </c>
      <c r="E56" s="1" cm="1">
        <f t="array" aca="1" ref="E56" ca="1">INDIRECT(ADDRESS($B56,E$50+$A56,1,1,$D56))</f>
        <v>0</v>
      </c>
      <c r="F56" s="1" cm="1">
        <f t="array" aca="1" ref="F56" ca="1">INDIRECT(ADDRESS($B56,F$50+$A56,1,1,$D56))</f>
        <v>0</v>
      </c>
      <c r="G56" s="1" cm="1">
        <f t="array" aca="1" ref="G56" ca="1">INDIRECT(ADDRESS($B56,G$50+$A56,1,1,$D56))</f>
        <v>0</v>
      </c>
      <c r="H56" s="1" cm="1">
        <f t="array" aca="1" ref="H56" ca="1">INDIRECT(ADDRESS($B56,H$50+$A56,1,1,$D56))</f>
        <v>0</v>
      </c>
      <c r="I56" s="1" cm="1">
        <f t="array" aca="1" ref="I56" ca="1">INDIRECT(ADDRESS($B56,I$50+$A56,1,1,$D56))</f>
        <v>0</v>
      </c>
      <c r="J56" s="1" cm="1">
        <f t="array" aca="1" ref="J56" ca="1">INDIRECT(ADDRESS($B56,J$50+$A56,1,1,$D56))</f>
        <v>0</v>
      </c>
      <c r="K56" s="1" cm="1">
        <f t="array" aca="1" ref="K56" ca="1">INDIRECT(ADDRESS($B56,K$50+$A56,1,1,$D56))</f>
        <v>0</v>
      </c>
      <c r="L56" s="1" cm="1">
        <f t="array" aca="1" ref="L56" ca="1">INDIRECT(ADDRESS($B56,L$50+$A56,1,1,$D56))</f>
        <v>0</v>
      </c>
      <c r="M56" s="1" cm="1">
        <f t="array" aca="1" ref="M56" ca="1">INDIRECT(ADDRESS($B56,M$50+$A56,1,1,$D56))</f>
        <v>0</v>
      </c>
      <c r="N56" s="1" cm="1">
        <f t="array" aca="1" ref="N56" ca="1">INDIRECT(ADDRESS($B56,N$50+$A56,1,1,$D56))</f>
        <v>0</v>
      </c>
      <c r="O56" s="1" cm="1">
        <f t="array" aca="1" ref="O56" ca="1">INDIRECT(ADDRESS($B56,O$50+$A56,1,1,$D56))</f>
        <v>0</v>
      </c>
      <c r="P56" s="1" cm="1">
        <f t="array" aca="1" ref="P56" ca="1">INDIRECT(ADDRESS($B56,P$50+$A56,1,1,$D56))</f>
        <v>0</v>
      </c>
      <c r="Q56" s="1" cm="1">
        <f t="array" aca="1" ref="Q56" ca="1">INDIRECT(ADDRESS($B56,Q$50+$A56,1,1,$D56))</f>
        <v>0</v>
      </c>
      <c r="R56" s="1" cm="1">
        <f t="array" aca="1" ref="R56" ca="1">INDIRECT(ADDRESS($B56,R$50+$A56,1,1,$D56))</f>
        <v>0</v>
      </c>
      <c r="S56" s="1" cm="1">
        <f t="array" aca="1" ref="S56" ca="1">INDIRECT(ADDRESS($B56,S$50+$A56,1,1,$D56))</f>
        <v>0</v>
      </c>
      <c r="T56" s="1" cm="1">
        <f t="array" aca="1" ref="T56" ca="1">INDIRECT(ADDRESS($B56,T$50+$A56,1,1,$D56))</f>
        <v>0</v>
      </c>
      <c r="U56" s="1" cm="1">
        <f t="array" aca="1" ref="U56" ca="1">INDIRECT(ADDRESS($B56,U$50+$A56,1,1,$D56))</f>
        <v>0</v>
      </c>
      <c r="V56" s="1" cm="1">
        <f t="array" aca="1" ref="V56" ca="1">INDIRECT(ADDRESS($B56,V$50+$A56,1,1,$D56))</f>
        <v>0</v>
      </c>
      <c r="W56" s="1" cm="1">
        <f t="array" aca="1" ref="W56" ca="1">INDIRECT(ADDRESS($B56,W$50+$A56,1,1,$D56))</f>
        <v>0</v>
      </c>
      <c r="X56" s="1" cm="1">
        <f t="array" aca="1" ref="X56" ca="1">INDIRECT(ADDRESS($B56,X$50+$A56,1,1,$D56))</f>
        <v>0</v>
      </c>
      <c r="Y56" s="1" cm="1">
        <f t="array" aca="1" ref="Y56" ca="1">INDIRECT(ADDRESS($B56,Y$50+$A56,1,1,$D56))</f>
        <v>0</v>
      </c>
      <c r="Z56" s="1" cm="1">
        <f t="array" aca="1" ref="Z56" ca="1">INDIRECT(ADDRESS($B56,Z$50+$A56,1,1,$D56))</f>
        <v>0</v>
      </c>
      <c r="AA56" s="1" cm="1">
        <f t="array" aca="1" ref="AA56" ca="1">INDIRECT(ADDRESS($B56,AA$50+$A56,1,1,$D56))</f>
        <v>0</v>
      </c>
      <c r="AB56" s="1" cm="1">
        <f t="array" aca="1" ref="AB56" ca="1">INDIRECT(ADDRESS($B56,AB$50+$A56,1,1,$D56))</f>
        <v>0</v>
      </c>
      <c r="AC56" s="1" cm="1">
        <f t="array" aca="1" ref="AC56" ca="1">INDIRECT(ADDRESS($B56,AC$50+$A56,1,1,$D56))</f>
        <v>0</v>
      </c>
      <c r="AD56" s="1" cm="1">
        <f t="array" aca="1" ref="AD56" ca="1">INDIRECT(ADDRESS($B56,AD$50+$A56,1,1,$D56))</f>
        <v>0</v>
      </c>
      <c r="AE56" s="1" cm="1">
        <f t="array" aca="1" ref="AE56" ca="1">INDIRECT(ADDRESS($B56,AE$50+$A56,1,1,$D56))</f>
        <v>0</v>
      </c>
      <c r="AF56" s="1" cm="1">
        <f t="array" aca="1" ref="AF56" ca="1">INDIRECT(ADDRESS($B56,AF$50+$A56,1,1,$D56))</f>
        <v>0</v>
      </c>
      <c r="AG56" s="1" cm="1">
        <f t="array" aca="1" ref="AG56" ca="1">INDIRECT(ADDRESS($B56,AG$50+$A56,1,1,$D56))</f>
        <v>0</v>
      </c>
      <c r="AH56" s="1" cm="1">
        <f t="array" aca="1" ref="AH56" ca="1">INDIRECT(ADDRESS($B56,AH$50+$A56,1,1,$D56))</f>
        <v>0</v>
      </c>
      <c r="AI56" s="1" cm="1">
        <f t="array" aca="1" ref="AI56" ca="1">INDIRECT(ADDRESS($B56,AI$50+$A56,1,1,$D56))</f>
        <v>0</v>
      </c>
      <c r="AJ56" s="1" cm="1">
        <f t="array" aca="1" ref="AJ56" ca="1">INDIRECT(ADDRESS($B56,AJ$50+$A56,1,1,$D56))</f>
        <v>0</v>
      </c>
      <c r="AK56" s="1" cm="1">
        <f t="array" aca="1" ref="AK56" ca="1">INDIRECT(ADDRESS($B56,AK$50+$A56,1,1,$D56))</f>
        <v>0</v>
      </c>
      <c r="AL56" s="1" cm="1">
        <f t="array" aca="1" ref="AL56" ca="1">INDIRECT(ADDRESS($B56,AL$50+$A56,1,1,$D56))</f>
        <v>0</v>
      </c>
      <c r="AM56" s="1" cm="1">
        <f t="array" aca="1" ref="AM56" ca="1">INDIRECT(ADDRESS($B56,AM$50+$A56,1,1,$D56))</f>
        <v>0</v>
      </c>
      <c r="AN56" s="1" cm="1">
        <f t="array" aca="1" ref="AN56" ca="1">INDIRECT(ADDRESS($B56,AN$50+$A56,1,1,$D56))</f>
        <v>0</v>
      </c>
      <c r="AO56" s="1" cm="1">
        <f t="array" aca="1" ref="AO56" ca="1">INDIRECT(ADDRESS($B56,AO$50+$A56,1,1,$D56))</f>
        <v>0</v>
      </c>
      <c r="AP56" s="1" cm="1">
        <f t="array" aca="1" ref="AP56" ca="1">INDIRECT(ADDRESS($B56,AP$50+$A56,1,1,$D56))</f>
        <v>0</v>
      </c>
      <c r="AQ56" s="1" cm="1">
        <f t="array" aca="1" ref="AQ56" ca="1">INDIRECT(ADDRESS($B56,AQ$50+$A56,1,1,$D56))</f>
        <v>0</v>
      </c>
      <c r="AR56" s="1" cm="1">
        <f t="array" aca="1" ref="AR56" ca="1">INDIRECT(ADDRESS($B56,AR$50+$A56,1,1,$D56))</f>
        <v>0</v>
      </c>
      <c r="AS56" s="1" cm="1">
        <f t="array" aca="1" ref="AS56" ca="1">INDIRECT(ADDRESS($B56,AS$50+$A56,1,1,$D56))</f>
        <v>0</v>
      </c>
      <c r="AT56" s="1" cm="1">
        <f t="array" aca="1" ref="AT56" ca="1">INDIRECT(ADDRESS($B56,AT$50+$A56,1,1,$D56))</f>
        <v>0</v>
      </c>
      <c r="AU56" s="1" cm="1">
        <f t="array" aca="1" ref="AU56" ca="1">INDIRECT(ADDRESS($B56,AU$50+$A56,1,1,$D56))</f>
        <v>0</v>
      </c>
      <c r="AV56" s="1" cm="1">
        <f t="array" aca="1" ref="AV56" ca="1">INDIRECT(ADDRESS($B56,AV$50+$A56,1,1,$D56))</f>
        <v>0</v>
      </c>
      <c r="AW56" s="1" cm="1">
        <f t="array" aca="1" ref="AW56" ca="1">INDIRECT(ADDRESS($B56,AW$50+$A56,1,1,$D56))</f>
        <v>0</v>
      </c>
      <c r="AX56" s="1" cm="1">
        <f t="array" aca="1" ref="AX56" ca="1">INDIRECT(ADDRESS($B56,AX$50+$A56,1,1,$D56))</f>
        <v>0</v>
      </c>
      <c r="AY56" s="1" cm="1">
        <f t="array" aca="1" ref="AY56" ca="1">INDIRECT(ADDRESS($B56,AY$50+$A56,1,1,$D56))</f>
        <v>0</v>
      </c>
      <c r="AZ56" s="1" cm="1">
        <f t="array" aca="1" ref="AZ56" ca="1">INDIRECT(ADDRESS($B56,AZ$50+$A56,1,1,$D56))</f>
        <v>0</v>
      </c>
      <c r="BA56" s="1" cm="1">
        <f t="array" aca="1" ref="BA56" ca="1">INDIRECT(ADDRESS($B56,BA$50+$A56,1,1,$D56))</f>
        <v>0</v>
      </c>
      <c r="BB56" s="1" cm="1">
        <f t="array" aca="1" ref="BB56" ca="1">INDIRECT(ADDRESS($B56,BB$50+$A56,1,1,$D56))</f>
        <v>0</v>
      </c>
      <c r="BC56" s="1" cm="1">
        <f t="array" aca="1" ref="BC56" ca="1">INDIRECT(ADDRESS($B56,BC$50+$A56,1,1,$D56))</f>
        <v>0</v>
      </c>
      <c r="BD56" s="1" cm="1">
        <f t="array" aca="1" ref="BD56" ca="1">INDIRECT(ADDRESS($B56,BD$50+$A56,1,1,$D56))</f>
        <v>0</v>
      </c>
      <c r="BE56" s="1" cm="1">
        <f t="array" aca="1" ref="BE56" ca="1">INDIRECT(ADDRESS($B56,BE$50+$A56,1,1,$D56))</f>
        <v>0</v>
      </c>
      <c r="BF56" s="1" cm="1">
        <f t="array" aca="1" ref="BF56" ca="1">INDIRECT(ADDRESS($B56,BF$50+$A56,1,1,$D56))</f>
        <v>0</v>
      </c>
      <c r="BG56" s="1" cm="1">
        <f t="array" aca="1" ref="BG56" ca="1">INDIRECT(ADDRESS($B56,BG$50+$A56,1,1,$D56))</f>
        <v>0</v>
      </c>
      <c r="BH56" s="1" cm="1">
        <f t="array" aca="1" ref="BH56" ca="1">INDIRECT(ADDRESS($B56,BH$50+$A56,1,1,$D56))</f>
        <v>0</v>
      </c>
      <c r="BI56" s="1" cm="1">
        <f t="array" aca="1" ref="BI56" ca="1">INDIRECT(ADDRESS($B56,BI$50+$A56,1,1,$D56))</f>
        <v>0</v>
      </c>
      <c r="BJ56" s="1" cm="1">
        <f t="array" aca="1" ref="BJ56" ca="1">INDIRECT(ADDRESS($B56,BJ$50+$A56,1,1,$D56))</f>
        <v>0</v>
      </c>
      <c r="BK56" s="1" cm="1">
        <f t="array" aca="1" ref="BK56" ca="1">INDIRECT(ADDRESS($B56,BK$50+$A56,1,1,$D56))</f>
        <v>0</v>
      </c>
      <c r="BL56" s="1" cm="1">
        <f t="array" aca="1" ref="BL56" ca="1">INDIRECT(ADDRESS($B56,BL$50+$A56,1,1,$D56))</f>
        <v>0</v>
      </c>
      <c r="BM56" s="1" cm="1">
        <f t="array" aca="1" ref="BM56" ca="1">INDIRECT(ADDRESS($B56,BM$50+$A56,1,1,$D56))</f>
        <v>0</v>
      </c>
      <c r="BN56" s="1" cm="1">
        <f t="array" aca="1" ref="BN56" ca="1">INDIRECT(ADDRESS($B56,BN$50+$A56,1,1,$D56))</f>
        <v>0</v>
      </c>
      <c r="BO56" s="1" cm="1">
        <f t="array" aca="1" ref="BO56" ca="1">INDIRECT(ADDRESS($B56,BO$50+$A56,1,1,$D56))</f>
        <v>0</v>
      </c>
      <c r="BP56" s="1" cm="1">
        <f t="array" aca="1" ref="BP56" ca="1">INDIRECT(ADDRESS($B56,BP$50+$A56,1,1,$D56))</f>
        <v>0</v>
      </c>
      <c r="BQ56" s="1" cm="1">
        <f t="array" aca="1" ref="BQ56" ca="1">INDIRECT(ADDRESS($B56,BQ$50+$A56,1,1,$D56))</f>
        <v>0</v>
      </c>
      <c r="BR56" s="1" cm="1">
        <f t="array" aca="1" ref="BR56" ca="1">INDIRECT(ADDRESS($B56,BR$50+$A56,1,1,$D56))</f>
        <v>0</v>
      </c>
      <c r="BS56" s="1" cm="1">
        <f t="array" aca="1" ref="BS56" ca="1">INDIRECT(ADDRESS($B56,BS$50+$A56,1,1,$D56))</f>
        <v>0</v>
      </c>
      <c r="BT56" s="1" cm="1">
        <f t="array" aca="1" ref="BT56" ca="1">INDIRECT(ADDRESS($B56,BT$50+$A56,1,1,$D56))</f>
        <v>0</v>
      </c>
      <c r="BU56" s="1" cm="1">
        <f t="array" aca="1" ref="BU56" ca="1">INDIRECT(ADDRESS($B56,BU$50+$A56,1,1,$D56))</f>
        <v>0</v>
      </c>
      <c r="BV56" s="1" cm="1">
        <f t="array" aca="1" ref="BV56" ca="1">INDIRECT(ADDRESS($B56,BV$50+$A56,1,1,$D56))</f>
        <v>0</v>
      </c>
    </row>
    <row r="57" spans="1:74" x14ac:dyDescent="0.25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</row>
    <row r="58" spans="1:74" x14ac:dyDescent="0.25">
      <c r="A58">
        <v>6</v>
      </c>
      <c r="B58">
        <f ca="1">MATCH("Country/Region",INDIRECT("'Confirmed'!A:A"),0)</f>
        <v>1</v>
      </c>
      <c r="C58" s="4" t="s">
        <v>134</v>
      </c>
      <c r="D58" s="4"/>
      <c r="E58" s="5" t="str" cm="1">
        <f t="array" aca="1" ref="E58" ca="1">INDIRECT(ADDRESS($B58,E$50+$A58,1,1,$C58))</f>
        <v>2020-01-22</v>
      </c>
      <c r="F58" s="5" t="str" cm="1">
        <f t="array" aca="1" ref="F58" ca="1">INDIRECT(ADDRESS($B58,F$50+$A58,1,1,$C58))</f>
        <v>2020-01-23</v>
      </c>
      <c r="G58" s="5" t="str" cm="1">
        <f t="array" aca="1" ref="G58" ca="1">INDIRECT(ADDRESS($B58,G$50+$A58,1,1,$C58))</f>
        <v>2020-01-24</v>
      </c>
      <c r="H58" s="5" t="str" cm="1">
        <f t="array" aca="1" ref="H58" ca="1">INDIRECT(ADDRESS($B58,H$50+$A58,1,1,$C58))</f>
        <v>2020-01-25</v>
      </c>
      <c r="I58" s="5" t="str" cm="1">
        <f t="array" aca="1" ref="I58" ca="1">INDIRECT(ADDRESS($B58,I$50+$A58,1,1,$C58))</f>
        <v>2020-01-26</v>
      </c>
      <c r="J58" s="5" t="str" cm="1">
        <f t="array" aca="1" ref="J58" ca="1">INDIRECT(ADDRESS($B58,J$50+$A58,1,1,$C58))</f>
        <v>2020-01-27</v>
      </c>
      <c r="K58" s="5" t="str" cm="1">
        <f t="array" aca="1" ref="K58" ca="1">INDIRECT(ADDRESS($B58,K$50+$A58,1,1,$C58))</f>
        <v>2020-01-28</v>
      </c>
      <c r="L58" s="5" t="str" cm="1">
        <f t="array" aca="1" ref="L58" ca="1">INDIRECT(ADDRESS($B58,L$50+$A58,1,1,$C58))</f>
        <v>2020-01-29</v>
      </c>
      <c r="M58" s="5" t="str" cm="1">
        <f t="array" aca="1" ref="M58" ca="1">INDIRECT(ADDRESS($B58,M$50+$A58,1,1,$C58))</f>
        <v>2020-01-30</v>
      </c>
      <c r="N58" s="5" t="str" cm="1">
        <f t="array" aca="1" ref="N58" ca="1">INDIRECT(ADDRESS($B58,N$50+$A58,1,1,$C58))</f>
        <v>2020-01-31</v>
      </c>
      <c r="O58" s="5" t="str" cm="1">
        <f t="array" aca="1" ref="O58" ca="1">INDIRECT(ADDRESS($B58,O$50+$A58,1,1,$C58))</f>
        <v>2020-02-01</v>
      </c>
      <c r="P58" s="5" t="str" cm="1">
        <f t="array" aca="1" ref="P58" ca="1">INDIRECT(ADDRESS($B58,P$50+$A58,1,1,$C58))</f>
        <v>2020-02-02</v>
      </c>
      <c r="Q58" s="5" t="str" cm="1">
        <f t="array" aca="1" ref="Q58" ca="1">INDIRECT(ADDRESS($B58,Q$50+$A58,1,1,$C58))</f>
        <v>2020-02-03</v>
      </c>
      <c r="R58" s="5" t="str" cm="1">
        <f t="array" aca="1" ref="R58" ca="1">INDIRECT(ADDRESS($B58,R$50+$A58,1,1,$C58))</f>
        <v>2020-02-04</v>
      </c>
      <c r="S58" s="5" t="str" cm="1">
        <f t="array" aca="1" ref="S58" ca="1">INDIRECT(ADDRESS($B58,S$50+$A58,1,1,$C58))</f>
        <v>2020-02-05</v>
      </c>
      <c r="T58" s="5" t="str" cm="1">
        <f t="array" aca="1" ref="T58" ca="1">INDIRECT(ADDRESS($B58,T$50+$A58,1,1,$C58))</f>
        <v>2020-02-06</v>
      </c>
      <c r="U58" s="5" t="str" cm="1">
        <f t="array" aca="1" ref="U58" ca="1">INDIRECT(ADDRESS($B58,U$50+$A58,1,1,$C58))</f>
        <v>2020-02-07</v>
      </c>
      <c r="V58" s="5" t="str" cm="1">
        <f t="array" aca="1" ref="V58" ca="1">INDIRECT(ADDRESS($B58,V$50+$A58,1,1,$C58))</f>
        <v>2020-02-08</v>
      </c>
      <c r="W58" s="5" t="str" cm="1">
        <f t="array" aca="1" ref="W58" ca="1">INDIRECT(ADDRESS($B58,W$50+$A58,1,1,$C58))</f>
        <v>2020-02-09</v>
      </c>
      <c r="X58" s="5" t="str" cm="1">
        <f t="array" aca="1" ref="X58" ca="1">INDIRECT(ADDRESS($B58,X$50+$A58,1,1,$C58))</f>
        <v>2020-02-10</v>
      </c>
      <c r="Y58" s="5" t="str" cm="1">
        <f t="array" aca="1" ref="Y58" ca="1">INDIRECT(ADDRESS($B58,Y$50+$A58,1,1,$C58))</f>
        <v>2020-02-11</v>
      </c>
      <c r="Z58" s="5" t="str" cm="1">
        <f t="array" aca="1" ref="Z58" ca="1">INDIRECT(ADDRESS($B58,Z$50+$A58,1,1,$C58))</f>
        <v>2020-02-12</v>
      </c>
      <c r="AA58" s="5" t="str" cm="1">
        <f t="array" aca="1" ref="AA58" ca="1">INDIRECT(ADDRESS($B58,AA$50+$A58,1,1,$C58))</f>
        <v>2020-02-13</v>
      </c>
      <c r="AB58" s="5" t="str" cm="1">
        <f t="array" aca="1" ref="AB58" ca="1">INDIRECT(ADDRESS($B58,AB$50+$A58,1,1,$C58))</f>
        <v>2020-02-14</v>
      </c>
      <c r="AC58" s="5" t="str" cm="1">
        <f t="array" aca="1" ref="AC58" ca="1">INDIRECT(ADDRESS($B58,AC$50+$A58,1,1,$C58))</f>
        <v>2020-02-15</v>
      </c>
      <c r="AD58" s="5" t="str" cm="1">
        <f t="array" aca="1" ref="AD58" ca="1">INDIRECT(ADDRESS($B58,AD$50+$A58,1,1,$C58))</f>
        <v>2020-02-16</v>
      </c>
      <c r="AE58" s="5" t="str" cm="1">
        <f t="array" aca="1" ref="AE58" ca="1">INDIRECT(ADDRESS($B58,AE$50+$A58,1,1,$C58))</f>
        <v>2020-02-17</v>
      </c>
      <c r="AF58" s="5" t="str" cm="1">
        <f t="array" aca="1" ref="AF58" ca="1">INDIRECT(ADDRESS($B58,AF$50+$A58,1,1,$C58))</f>
        <v>2020-02-18</v>
      </c>
      <c r="AG58" s="5" t="str" cm="1">
        <f t="array" aca="1" ref="AG58" ca="1">INDIRECT(ADDRESS($B58,AG$50+$A58,1,1,$C58))</f>
        <v>2020-02-19</v>
      </c>
      <c r="AH58" s="5" t="str" cm="1">
        <f t="array" aca="1" ref="AH58" ca="1">INDIRECT(ADDRESS($B58,AH$50+$A58,1,1,$C58))</f>
        <v>2020-02-20</v>
      </c>
      <c r="AI58" s="5" t="str" cm="1">
        <f t="array" aca="1" ref="AI58" ca="1">INDIRECT(ADDRESS($B58,AI$50+$A58,1,1,$C58))</f>
        <v>2020-02-21</v>
      </c>
      <c r="AJ58" s="5" t="str" cm="1">
        <f t="array" aca="1" ref="AJ58" ca="1">INDIRECT(ADDRESS($B58,AJ$50+$A58,1,1,$C58))</f>
        <v>2020-02-22</v>
      </c>
      <c r="AK58" s="5" t="str" cm="1">
        <f t="array" aca="1" ref="AK58" ca="1">INDIRECT(ADDRESS($B58,AK$50+$A58,1,1,$C58))</f>
        <v>2020-02-23</v>
      </c>
      <c r="AL58" s="5" t="str" cm="1">
        <f t="array" aca="1" ref="AL58" ca="1">INDIRECT(ADDRESS($B58,AL$50+$A58,1,1,$C58))</f>
        <v>2020-02-24</v>
      </c>
      <c r="AM58" s="5" t="str" cm="1">
        <f t="array" aca="1" ref="AM58" ca="1">INDIRECT(ADDRESS($B58,AM$50+$A58,1,1,$C58))</f>
        <v>2020-02-25</v>
      </c>
      <c r="AN58" s="5" t="str" cm="1">
        <f t="array" aca="1" ref="AN58" ca="1">INDIRECT(ADDRESS($B58,AN$50+$A58,1,1,$C58))</f>
        <v>2020-02-26</v>
      </c>
      <c r="AO58" s="5" t="str" cm="1">
        <f t="array" aca="1" ref="AO58" ca="1">INDIRECT(ADDRESS($B58,AO$50+$A58,1,1,$C58))</f>
        <v>2020-02-27</v>
      </c>
      <c r="AP58" s="5" t="str" cm="1">
        <f t="array" aca="1" ref="AP58" ca="1">INDIRECT(ADDRESS($B58,AP$50+$A58,1,1,$C58))</f>
        <v>2020-02-28</v>
      </c>
      <c r="AQ58" s="5" t="str" cm="1">
        <f t="array" aca="1" ref="AQ58" ca="1">INDIRECT(ADDRESS($B58,AQ$50+$A58,1,1,$C58))</f>
        <v>2020-02-29</v>
      </c>
      <c r="AR58" s="5" t="str" cm="1">
        <f t="array" aca="1" ref="AR58" ca="1">INDIRECT(ADDRESS($B58,AR$50+$A58,1,1,$C58))</f>
        <v>2020-03-01</v>
      </c>
      <c r="AS58" s="5" t="str" cm="1">
        <f t="array" aca="1" ref="AS58" ca="1">INDIRECT(ADDRESS($B58,AS$50+$A58,1,1,$C58))</f>
        <v>2020-03-02</v>
      </c>
      <c r="AT58" s="5" t="str" cm="1">
        <f t="array" aca="1" ref="AT58" ca="1">INDIRECT(ADDRESS($B58,AT$50+$A58,1,1,$C58))</f>
        <v>2020-03-03</v>
      </c>
      <c r="AU58" s="5" t="str" cm="1">
        <f t="array" aca="1" ref="AU58" ca="1">INDIRECT(ADDRESS($B58,AU$50+$A58,1,1,$C58))</f>
        <v>2020-03-04</v>
      </c>
      <c r="AV58" s="5" t="str" cm="1">
        <f t="array" aca="1" ref="AV58" ca="1">INDIRECT(ADDRESS($B58,AV$50+$A58,1,1,$C58))</f>
        <v>2020-03-05</v>
      </c>
      <c r="AW58" s="5" t="str" cm="1">
        <f t="array" aca="1" ref="AW58" ca="1">INDIRECT(ADDRESS($B58,AW$50+$A58,1,1,$C58))</f>
        <v>2020-03-06</v>
      </c>
      <c r="AX58" s="5" t="str" cm="1">
        <f t="array" aca="1" ref="AX58" ca="1">INDIRECT(ADDRESS($B58,AX$50+$A58,1,1,$C58))</f>
        <v>2020-03-07</v>
      </c>
      <c r="AY58" s="5" t="str" cm="1">
        <f t="array" aca="1" ref="AY58" ca="1">INDIRECT(ADDRESS($B58,AY$50+$A58,1,1,$C58))</f>
        <v>2020-03-08</v>
      </c>
      <c r="AZ58" s="5" t="str" cm="1">
        <f t="array" aca="1" ref="AZ58" ca="1">INDIRECT(ADDRESS($B58,AZ$50+$A58,1,1,$C58))</f>
        <v>2020-03-09</v>
      </c>
      <c r="BA58" s="5" t="str" cm="1">
        <f t="array" aca="1" ref="BA58" ca="1">INDIRECT(ADDRESS($B58,BA$50+$A58,1,1,$C58))</f>
        <v>2020-03-10</v>
      </c>
      <c r="BB58" s="5" t="str" cm="1">
        <f t="array" aca="1" ref="BB58" ca="1">INDIRECT(ADDRESS($B58,BB$50+$A58,1,1,$C58))</f>
        <v>2020-03-11</v>
      </c>
      <c r="BC58" s="5" t="str" cm="1">
        <f t="array" aca="1" ref="BC58" ca="1">INDIRECT(ADDRESS($B58,BC$50+$A58,1,1,$C58))</f>
        <v>2020-03-12</v>
      </c>
      <c r="BD58" s="5" t="str" cm="1">
        <f t="array" aca="1" ref="BD58" ca="1">INDIRECT(ADDRESS($B58,BD$50+$A58,1,1,$C58))</f>
        <v>2020-03-13</v>
      </c>
      <c r="BE58" s="5" t="str" cm="1">
        <f t="array" aca="1" ref="BE58" ca="1">INDIRECT(ADDRESS($B58,BE$50+$A58,1,1,$C58))</f>
        <v>2020-03-14</v>
      </c>
      <c r="BF58" s="5" t="str" cm="1">
        <f t="array" aca="1" ref="BF58" ca="1">INDIRECT(ADDRESS($B58,BF$50+$A58,1,1,$C58))</f>
        <v>2020-03-15</v>
      </c>
      <c r="BG58" s="5" t="str" cm="1">
        <f t="array" aca="1" ref="BG58" ca="1">INDIRECT(ADDRESS($B58,BG$50+$A58,1,1,$C58))</f>
        <v>2020-03-16</v>
      </c>
      <c r="BH58" s="5" t="str" cm="1">
        <f t="array" aca="1" ref="BH58" ca="1">INDIRECT(ADDRESS($B58,BH$50+$A58,1,1,$C58))</f>
        <v>2020-03-17</v>
      </c>
      <c r="BI58" s="5" t="str" cm="1">
        <f t="array" aca="1" ref="BI58" ca="1">INDIRECT(ADDRESS($B58,BI$50+$A58,1,1,$C58))</f>
        <v>2020-03-18</v>
      </c>
      <c r="BJ58" s="5" t="str" cm="1">
        <f t="array" aca="1" ref="BJ58" ca="1">INDIRECT(ADDRESS($B58,BJ$50+$A58,1,1,$C58))</f>
        <v>2020-03-19</v>
      </c>
      <c r="BK58" s="5" t="str" cm="1">
        <f t="array" aca="1" ref="BK58" ca="1">INDIRECT(ADDRESS($B58,BK$50+$A58,1,1,$C58))</f>
        <v>2020-03-20</v>
      </c>
      <c r="BL58" s="5" t="str" cm="1">
        <f t="array" aca="1" ref="BL58" ca="1">INDIRECT(ADDRESS($B58,BL$50+$A58,1,1,$C58))</f>
        <v>2020-03-21</v>
      </c>
      <c r="BM58" s="5" t="str" cm="1">
        <f t="array" aca="1" ref="BM58" ca="1">INDIRECT(ADDRESS($B58,BM$50+$A58,1,1,$C58))</f>
        <v>2020-03-22</v>
      </c>
      <c r="BN58" s="5" t="str" cm="1">
        <f t="array" aca="1" ref="BN58" ca="1">INDIRECT(ADDRESS($B58,BN$50+$A58,1,1,$C58))</f>
        <v>2020-03-23</v>
      </c>
      <c r="BO58" s="5" t="str" cm="1">
        <f t="array" aca="1" ref="BO58" ca="1">INDIRECT(ADDRESS($B58,BO$50+$A58,1,1,$C58))</f>
        <v>2020-03-24</v>
      </c>
      <c r="BP58" s="5" t="str" cm="1">
        <f t="array" aca="1" ref="BP58" ca="1">INDIRECT(ADDRESS($B58,BP$50+$A58,1,1,$C58))</f>
        <v>2020-03-25</v>
      </c>
      <c r="BQ58" s="5" t="str" cm="1">
        <f t="array" aca="1" ref="BQ58" ca="1">INDIRECT(ADDRESS($B58,BQ$50+$A58,1,1,$C58))</f>
        <v>2020-03-26</v>
      </c>
      <c r="BR58" s="5" t="str" cm="1">
        <f t="array" aca="1" ref="BR58" ca="1">INDIRECT(ADDRESS($B58,BR$50+$A58,1,1,$C58))</f>
        <v>2020-03-27</v>
      </c>
      <c r="BS58" s="5" t="str" cm="1">
        <f t="array" aca="1" ref="BS58" ca="1">INDIRECT(ADDRESS($B58,BS$50+$A58,1,1,$C58))</f>
        <v>2020-03-28</v>
      </c>
      <c r="BT58" s="5" t="str" cm="1">
        <f t="array" aca="1" ref="BT58" ca="1">INDIRECT(ADDRESS($B58,BT$50+$A58,1,1,$C58))</f>
        <v>2020-03-29</v>
      </c>
      <c r="BU58" s="5" t="str" cm="1">
        <f t="array" aca="1" ref="BU58" ca="1">INDIRECT(ADDRESS($B58,BU$50+$A58,1,1,$C58))</f>
        <v>2020-03-30</v>
      </c>
      <c r="BV58" s="5" cm="1">
        <f t="array" aca="1" ref="BV58" ca="1">INDIRECT(ADDRESS($B58,BV$50+$A58,1,1,$C58))</f>
        <v>0</v>
      </c>
    </row>
    <row r="59" spans="1:74" x14ac:dyDescent="0.25">
      <c r="A59">
        <v>6</v>
      </c>
      <c r="B59">
        <f ca="1">MATCH($C59,INDIRECT("'"&amp;$C$58&amp;"'!A:A"),0)</f>
        <v>9</v>
      </c>
      <c r="C59" s="1" t="str">
        <f>C8</f>
        <v>Italy</v>
      </c>
      <c r="D59" t="str">
        <f>C58</f>
        <v>Confirmed</v>
      </c>
      <c r="E59" s="1" cm="1">
        <f t="array" aca="1" ref="E59" ca="1">INDIRECT(ADDRESS($B59,E$50+$A59,1,1,$D59))</f>
        <v>0</v>
      </c>
      <c r="F59" s="1" cm="1">
        <f t="array" aca="1" ref="F59" ca="1">INDIRECT(ADDRESS($B59,F$50+$A59,1,1,$D59))</f>
        <v>0</v>
      </c>
      <c r="G59" s="1" cm="1">
        <f t="array" aca="1" ref="G59" ca="1">INDIRECT(ADDRESS($B59,G$50+$A59,1,1,$D59))</f>
        <v>0</v>
      </c>
      <c r="H59" s="1" cm="1">
        <f t="array" aca="1" ref="H59" ca="1">INDIRECT(ADDRESS($B59,H$50+$A59,1,1,$D59))</f>
        <v>0</v>
      </c>
      <c r="I59" s="1" cm="1">
        <f t="array" aca="1" ref="I59" ca="1">INDIRECT(ADDRESS($B59,I$50+$A59,1,1,$D59))</f>
        <v>0</v>
      </c>
      <c r="J59" s="1" cm="1">
        <f t="array" aca="1" ref="J59" ca="1">INDIRECT(ADDRESS($B59,J$50+$A59,1,1,$D59))</f>
        <v>0</v>
      </c>
      <c r="K59" s="1" cm="1">
        <f t="array" aca="1" ref="K59" ca="1">INDIRECT(ADDRESS($B59,K$50+$A59,1,1,$D59))</f>
        <v>0</v>
      </c>
      <c r="L59" s="1" cm="1">
        <f t="array" aca="1" ref="L59" ca="1">INDIRECT(ADDRESS($B59,L$50+$A59,1,1,$D59))</f>
        <v>0</v>
      </c>
      <c r="M59" s="1" cm="1">
        <f t="array" aca="1" ref="M59" ca="1">INDIRECT(ADDRESS($B59,M$50+$A59,1,1,$D59))</f>
        <v>0</v>
      </c>
      <c r="N59" s="1" cm="1">
        <f t="array" aca="1" ref="N59" ca="1">INDIRECT(ADDRESS($B59,N$50+$A59,1,1,$D59))</f>
        <v>2</v>
      </c>
      <c r="O59" s="1" cm="1">
        <f t="array" aca="1" ref="O59" ca="1">INDIRECT(ADDRESS($B59,O$50+$A59,1,1,$D59))</f>
        <v>2</v>
      </c>
      <c r="P59" s="1" cm="1">
        <f t="array" aca="1" ref="P59" ca="1">INDIRECT(ADDRESS($B59,P$50+$A59,1,1,$D59))</f>
        <v>2</v>
      </c>
      <c r="Q59" s="1" cm="1">
        <f t="array" aca="1" ref="Q59" ca="1">INDIRECT(ADDRESS($B59,Q$50+$A59,1,1,$D59))</f>
        <v>2</v>
      </c>
      <c r="R59" s="1" cm="1">
        <f t="array" aca="1" ref="R59" ca="1">INDIRECT(ADDRESS($B59,R$50+$A59,1,1,$D59))</f>
        <v>2</v>
      </c>
      <c r="S59" s="1" cm="1">
        <f t="array" aca="1" ref="S59" ca="1">INDIRECT(ADDRESS($B59,S$50+$A59,1,1,$D59))</f>
        <v>2</v>
      </c>
      <c r="T59" s="1" cm="1">
        <f t="array" aca="1" ref="T59" ca="1">INDIRECT(ADDRESS($B59,T$50+$A59,1,1,$D59))</f>
        <v>2</v>
      </c>
      <c r="U59" s="1" cm="1">
        <f t="array" aca="1" ref="U59" ca="1">INDIRECT(ADDRESS($B59,U$50+$A59,1,1,$D59))</f>
        <v>3</v>
      </c>
      <c r="V59" s="1" cm="1">
        <f t="array" aca="1" ref="V59" ca="1">INDIRECT(ADDRESS($B59,V$50+$A59,1,1,$D59))</f>
        <v>3</v>
      </c>
      <c r="W59" s="1" cm="1">
        <f t="array" aca="1" ref="W59" ca="1">INDIRECT(ADDRESS($B59,W$50+$A59,1,1,$D59))</f>
        <v>3</v>
      </c>
      <c r="X59" s="1" cm="1">
        <f t="array" aca="1" ref="X59" ca="1">INDIRECT(ADDRESS($B59,X$50+$A59,1,1,$D59))</f>
        <v>3</v>
      </c>
      <c r="Y59" s="1" cm="1">
        <f t="array" aca="1" ref="Y59" ca="1">INDIRECT(ADDRESS($B59,Y$50+$A59,1,1,$D59))</f>
        <v>3</v>
      </c>
      <c r="Z59" s="1" cm="1">
        <f t="array" aca="1" ref="Z59" ca="1">INDIRECT(ADDRESS($B59,Z$50+$A59,1,1,$D59))</f>
        <v>3</v>
      </c>
      <c r="AA59" s="1" cm="1">
        <f t="array" aca="1" ref="AA59" ca="1">INDIRECT(ADDRESS($B59,AA$50+$A59,1,1,$D59))</f>
        <v>3</v>
      </c>
      <c r="AB59" s="1" cm="1">
        <f t="array" aca="1" ref="AB59" ca="1">INDIRECT(ADDRESS($B59,AB$50+$A59,1,1,$D59))</f>
        <v>3</v>
      </c>
      <c r="AC59" s="1" cm="1">
        <f t="array" aca="1" ref="AC59" ca="1">INDIRECT(ADDRESS($B59,AC$50+$A59,1,1,$D59))</f>
        <v>3</v>
      </c>
      <c r="AD59" s="1" cm="1">
        <f t="array" aca="1" ref="AD59" ca="1">INDIRECT(ADDRESS($B59,AD$50+$A59,1,1,$D59))</f>
        <v>3</v>
      </c>
      <c r="AE59" s="1" cm="1">
        <f t="array" aca="1" ref="AE59" ca="1">INDIRECT(ADDRESS($B59,AE$50+$A59,1,1,$D59))</f>
        <v>3</v>
      </c>
      <c r="AF59" s="1" cm="1">
        <f t="array" aca="1" ref="AF59" ca="1">INDIRECT(ADDRESS($B59,AF$50+$A59,1,1,$D59))</f>
        <v>3</v>
      </c>
      <c r="AG59" s="1" cm="1">
        <f t="array" aca="1" ref="AG59" ca="1">INDIRECT(ADDRESS($B59,AG$50+$A59,1,1,$D59))</f>
        <v>3</v>
      </c>
      <c r="AH59" s="1" cm="1">
        <f t="array" aca="1" ref="AH59" ca="1">INDIRECT(ADDRESS($B59,AH$50+$A59,1,1,$D59))</f>
        <v>3</v>
      </c>
      <c r="AI59" s="1" cm="1">
        <f t="array" aca="1" ref="AI59" ca="1">INDIRECT(ADDRESS($B59,AI$50+$A59,1,1,$D59))</f>
        <v>20</v>
      </c>
      <c r="AJ59" s="1" cm="1">
        <f t="array" aca="1" ref="AJ59" ca="1">INDIRECT(ADDRESS($B59,AJ$50+$A59,1,1,$D59))</f>
        <v>62</v>
      </c>
      <c r="AK59" s="1" cm="1">
        <f t="array" aca="1" ref="AK59" ca="1">INDIRECT(ADDRESS($B59,AK$50+$A59,1,1,$D59))</f>
        <v>155</v>
      </c>
      <c r="AL59" s="1" cm="1">
        <f t="array" aca="1" ref="AL59" ca="1">INDIRECT(ADDRESS($B59,AL$50+$A59,1,1,$D59))</f>
        <v>229</v>
      </c>
      <c r="AM59" s="1" cm="1">
        <f t="array" aca="1" ref="AM59" ca="1">INDIRECT(ADDRESS($B59,AM$50+$A59,1,1,$D59))</f>
        <v>322</v>
      </c>
      <c r="AN59" s="1" cm="1">
        <f t="array" aca="1" ref="AN59" ca="1">INDIRECT(ADDRESS($B59,AN$50+$A59,1,1,$D59))</f>
        <v>453</v>
      </c>
      <c r="AO59" s="1" cm="1">
        <f t="array" aca="1" ref="AO59" ca="1">INDIRECT(ADDRESS($B59,AO$50+$A59,1,1,$D59))</f>
        <v>655</v>
      </c>
      <c r="AP59" s="1" cm="1">
        <f t="array" aca="1" ref="AP59" ca="1">INDIRECT(ADDRESS($B59,AP$50+$A59,1,1,$D59))</f>
        <v>888</v>
      </c>
      <c r="AQ59" s="1" cm="1">
        <f t="array" aca="1" ref="AQ59" ca="1">INDIRECT(ADDRESS($B59,AQ$50+$A59,1,1,$D59))</f>
        <v>1128</v>
      </c>
      <c r="AR59" s="1" cm="1">
        <f t="array" aca="1" ref="AR59" ca="1">INDIRECT(ADDRESS($B59,AR$50+$A59,1,1,$D59))</f>
        <v>1694</v>
      </c>
      <c r="AS59" s="1" cm="1">
        <f t="array" aca="1" ref="AS59" ca="1">INDIRECT(ADDRESS($B59,AS$50+$A59,1,1,$D59))</f>
        <v>2036</v>
      </c>
      <c r="AT59" s="1" cm="1">
        <f t="array" aca="1" ref="AT59" ca="1">INDIRECT(ADDRESS($B59,AT$50+$A59,1,1,$D59))</f>
        <v>2502</v>
      </c>
      <c r="AU59" s="1" cm="1">
        <f t="array" aca="1" ref="AU59" ca="1">INDIRECT(ADDRESS($B59,AU$50+$A59,1,1,$D59))</f>
        <v>3089</v>
      </c>
      <c r="AV59" s="1" cm="1">
        <f t="array" aca="1" ref="AV59" ca="1">INDIRECT(ADDRESS($B59,AV$50+$A59,1,1,$D59))</f>
        <v>3858</v>
      </c>
      <c r="AW59" s="1" cm="1">
        <f t="array" aca="1" ref="AW59" ca="1">INDIRECT(ADDRESS($B59,AW$50+$A59,1,1,$D59))</f>
        <v>4636</v>
      </c>
      <c r="AX59" s="1" cm="1">
        <f t="array" aca="1" ref="AX59" ca="1">INDIRECT(ADDRESS($B59,AX$50+$A59,1,1,$D59))</f>
        <v>5883</v>
      </c>
      <c r="AY59" s="1" cm="1">
        <f t="array" aca="1" ref="AY59" ca="1">INDIRECT(ADDRESS($B59,AY$50+$A59,1,1,$D59))</f>
        <v>7375</v>
      </c>
      <c r="AZ59" s="1" cm="1">
        <f t="array" aca="1" ref="AZ59" ca="1">INDIRECT(ADDRESS($B59,AZ$50+$A59,1,1,$D59))</f>
        <v>9172</v>
      </c>
      <c r="BA59" s="1" cm="1">
        <f t="array" aca="1" ref="BA59" ca="1">INDIRECT(ADDRESS($B59,BA$50+$A59,1,1,$D59))</f>
        <v>10149</v>
      </c>
      <c r="BB59" s="1" cm="1">
        <f t="array" aca="1" ref="BB59" ca="1">INDIRECT(ADDRESS($B59,BB$50+$A59,1,1,$D59))</f>
        <v>12462</v>
      </c>
      <c r="BC59" s="1" cm="1">
        <f t="array" aca="1" ref="BC59" ca="1">INDIRECT(ADDRESS($B59,BC$50+$A59,1,1,$D59))</f>
        <v>12462</v>
      </c>
      <c r="BD59" s="1" cm="1">
        <f t="array" aca="1" ref="BD59" ca="1">INDIRECT(ADDRESS($B59,BD$50+$A59,1,1,$D59))</f>
        <v>17660</v>
      </c>
      <c r="BE59" s="1" cm="1">
        <f t="array" aca="1" ref="BE59" ca="1">INDIRECT(ADDRESS($B59,BE$50+$A59,1,1,$D59))</f>
        <v>21157</v>
      </c>
      <c r="BF59" s="1" cm="1">
        <f t="array" aca="1" ref="BF59" ca="1">INDIRECT(ADDRESS($B59,BF$50+$A59,1,1,$D59))</f>
        <v>24747</v>
      </c>
      <c r="BG59" s="1" cm="1">
        <f t="array" aca="1" ref="BG59" ca="1">INDIRECT(ADDRESS($B59,BG$50+$A59,1,1,$D59))</f>
        <v>27980</v>
      </c>
      <c r="BH59" s="1" cm="1">
        <f t="array" aca="1" ref="BH59" ca="1">INDIRECT(ADDRESS($B59,BH$50+$A59,1,1,$D59))</f>
        <v>31506</v>
      </c>
      <c r="BI59" s="1" cm="1">
        <f t="array" aca="1" ref="BI59" ca="1">INDIRECT(ADDRESS($B59,BI$50+$A59,1,1,$D59))</f>
        <v>35713</v>
      </c>
      <c r="BJ59" s="1" cm="1">
        <f t="array" aca="1" ref="BJ59" ca="1">INDIRECT(ADDRESS($B59,BJ$50+$A59,1,1,$D59))</f>
        <v>41035</v>
      </c>
      <c r="BK59" s="1" cm="1">
        <f t="array" aca="1" ref="BK59" ca="1">INDIRECT(ADDRESS($B59,BK$50+$A59,1,1,$D59))</f>
        <v>47021</v>
      </c>
      <c r="BL59" s="1" cm="1">
        <f t="array" aca="1" ref="BL59" ca="1">INDIRECT(ADDRESS($B59,BL$50+$A59,1,1,$D59))</f>
        <v>53578</v>
      </c>
      <c r="BM59" s="1" cm="1">
        <f t="array" aca="1" ref="BM59" ca="1">INDIRECT(ADDRESS($B59,BM$50+$A59,1,1,$D59))</f>
        <v>59138</v>
      </c>
      <c r="BN59" s="1" cm="1">
        <f t="array" aca="1" ref="BN59" ca="1">INDIRECT(ADDRESS($B59,BN$50+$A59,1,1,$D59))</f>
        <v>63927</v>
      </c>
      <c r="BO59" s="1" cm="1">
        <f t="array" aca="1" ref="BO59" ca="1">INDIRECT(ADDRESS($B59,BO$50+$A59,1,1,$D59))</f>
        <v>69176</v>
      </c>
      <c r="BP59" s="1" cm="1">
        <f t="array" aca="1" ref="BP59" ca="1">INDIRECT(ADDRESS($B59,BP$50+$A59,1,1,$D59))</f>
        <v>74386</v>
      </c>
      <c r="BQ59" s="1" cm="1">
        <f t="array" aca="1" ref="BQ59" ca="1">INDIRECT(ADDRESS($B59,BQ$50+$A59,1,1,$D59))</f>
        <v>80589</v>
      </c>
      <c r="BR59" s="1" cm="1">
        <f t="array" aca="1" ref="BR59" ca="1">INDIRECT(ADDRESS($B59,BR$50+$A59,1,1,$D59))</f>
        <v>86498</v>
      </c>
      <c r="BS59" s="1" cm="1">
        <f t="array" aca="1" ref="BS59" ca="1">INDIRECT(ADDRESS($B59,BS$50+$A59,1,1,$D59))</f>
        <v>92472</v>
      </c>
      <c r="BT59" s="1" cm="1">
        <f t="array" aca="1" ref="BT59" ca="1">INDIRECT(ADDRESS($B59,BT$50+$A59,1,1,$D59))</f>
        <v>97689</v>
      </c>
      <c r="BU59" s="1" cm="1">
        <f t="array" aca="1" ref="BU59" ca="1">INDIRECT(ADDRESS($B59,BU$50+$A59,1,1,$D59))</f>
        <v>101739</v>
      </c>
      <c r="BV59" s="1" cm="1">
        <f t="array" aca="1" ref="BV59" ca="1">INDIRECT(ADDRESS($B59,BV$50+$A59,1,1,$D59))</f>
        <v>0</v>
      </c>
    </row>
    <row r="60" spans="1:74" x14ac:dyDescent="0.25">
      <c r="A60">
        <v>6</v>
      </c>
      <c r="B60">
        <f ca="1">MATCH($C60,INDIRECT("'"&amp;$C$100&amp;"'!A:A"),0)</f>
        <v>12</v>
      </c>
      <c r="C60" s="1" t="str">
        <f>C9</f>
        <v>Spain</v>
      </c>
      <c r="D60" t="str">
        <f>D59</f>
        <v>Confirmed</v>
      </c>
      <c r="E60" s="1" cm="1">
        <f t="array" aca="1" ref="E60" ca="1">INDIRECT(ADDRESS($B60,E$50+$A60,1,1,$D60))</f>
        <v>0</v>
      </c>
      <c r="F60" s="1" cm="1">
        <f t="array" aca="1" ref="F60" ca="1">INDIRECT(ADDRESS($B60,F$50+$A60,1,1,$D60))</f>
        <v>0</v>
      </c>
      <c r="G60" s="1" cm="1">
        <f t="array" aca="1" ref="G60" ca="1">INDIRECT(ADDRESS($B60,G$50+$A60,1,1,$D60))</f>
        <v>0</v>
      </c>
      <c r="H60" s="1" cm="1">
        <f t="array" aca="1" ref="H60" ca="1">INDIRECT(ADDRESS($B60,H$50+$A60,1,1,$D60))</f>
        <v>0</v>
      </c>
      <c r="I60" s="1" cm="1">
        <f t="array" aca="1" ref="I60" ca="1">INDIRECT(ADDRESS($B60,I$50+$A60,1,1,$D60))</f>
        <v>0</v>
      </c>
      <c r="J60" s="1" cm="1">
        <f t="array" aca="1" ref="J60" ca="1">INDIRECT(ADDRESS($B60,J$50+$A60,1,1,$D60))</f>
        <v>0</v>
      </c>
      <c r="K60" s="1" cm="1">
        <f t="array" aca="1" ref="K60" ca="1">INDIRECT(ADDRESS($B60,K$50+$A60,1,1,$D60))</f>
        <v>0</v>
      </c>
      <c r="L60" s="1" cm="1">
        <f t="array" aca="1" ref="L60" ca="1">INDIRECT(ADDRESS($B60,L$50+$A60,1,1,$D60))</f>
        <v>0</v>
      </c>
      <c r="M60" s="1" cm="1">
        <f t="array" aca="1" ref="M60" ca="1">INDIRECT(ADDRESS($B60,M$50+$A60,1,1,$D60))</f>
        <v>0</v>
      </c>
      <c r="N60" s="1" cm="1">
        <f t="array" aca="1" ref="N60" ca="1">INDIRECT(ADDRESS($B60,N$50+$A60,1,1,$D60))</f>
        <v>0</v>
      </c>
      <c r="O60" s="1" cm="1">
        <f t="array" aca="1" ref="O60" ca="1">INDIRECT(ADDRESS($B60,O$50+$A60,1,1,$D60))</f>
        <v>1</v>
      </c>
      <c r="P60" s="1" cm="1">
        <f t="array" aca="1" ref="P60" ca="1">INDIRECT(ADDRESS($B60,P$50+$A60,1,1,$D60))</f>
        <v>1</v>
      </c>
      <c r="Q60" s="1" cm="1">
        <f t="array" aca="1" ref="Q60" ca="1">INDIRECT(ADDRESS($B60,Q$50+$A60,1,1,$D60))</f>
        <v>1</v>
      </c>
      <c r="R60" s="1" cm="1">
        <f t="array" aca="1" ref="R60" ca="1">INDIRECT(ADDRESS($B60,R$50+$A60,1,1,$D60))</f>
        <v>1</v>
      </c>
      <c r="S60" s="1" cm="1">
        <f t="array" aca="1" ref="S60" ca="1">INDIRECT(ADDRESS($B60,S$50+$A60,1,1,$D60))</f>
        <v>1</v>
      </c>
      <c r="T60" s="1" cm="1">
        <f t="array" aca="1" ref="T60" ca="1">INDIRECT(ADDRESS($B60,T$50+$A60,1,1,$D60))</f>
        <v>1</v>
      </c>
      <c r="U60" s="1" cm="1">
        <f t="array" aca="1" ref="U60" ca="1">INDIRECT(ADDRESS($B60,U$50+$A60,1,1,$D60))</f>
        <v>1</v>
      </c>
      <c r="V60" s="1" cm="1">
        <f t="array" aca="1" ref="V60" ca="1">INDIRECT(ADDRESS($B60,V$50+$A60,1,1,$D60))</f>
        <v>1</v>
      </c>
      <c r="W60" s="1" cm="1">
        <f t="array" aca="1" ref="W60" ca="1">INDIRECT(ADDRESS($B60,W$50+$A60,1,1,$D60))</f>
        <v>2</v>
      </c>
      <c r="X60" s="1" cm="1">
        <f t="array" aca="1" ref="X60" ca="1">INDIRECT(ADDRESS($B60,X$50+$A60,1,1,$D60))</f>
        <v>2</v>
      </c>
      <c r="Y60" s="1" cm="1">
        <f t="array" aca="1" ref="Y60" ca="1">INDIRECT(ADDRESS($B60,Y$50+$A60,1,1,$D60))</f>
        <v>2</v>
      </c>
      <c r="Z60" s="1" cm="1">
        <f t="array" aca="1" ref="Z60" ca="1">INDIRECT(ADDRESS($B60,Z$50+$A60,1,1,$D60))</f>
        <v>2</v>
      </c>
      <c r="AA60" s="1" cm="1">
        <f t="array" aca="1" ref="AA60" ca="1">INDIRECT(ADDRESS($B60,AA$50+$A60,1,1,$D60))</f>
        <v>2</v>
      </c>
      <c r="AB60" s="1" cm="1">
        <f t="array" aca="1" ref="AB60" ca="1">INDIRECT(ADDRESS($B60,AB$50+$A60,1,1,$D60))</f>
        <v>2</v>
      </c>
      <c r="AC60" s="1" cm="1">
        <f t="array" aca="1" ref="AC60" ca="1">INDIRECT(ADDRESS($B60,AC$50+$A60,1,1,$D60))</f>
        <v>2</v>
      </c>
      <c r="AD60" s="1" cm="1">
        <f t="array" aca="1" ref="AD60" ca="1">INDIRECT(ADDRESS($B60,AD$50+$A60,1,1,$D60))</f>
        <v>2</v>
      </c>
      <c r="AE60" s="1" cm="1">
        <f t="array" aca="1" ref="AE60" ca="1">INDIRECT(ADDRESS($B60,AE$50+$A60,1,1,$D60))</f>
        <v>2</v>
      </c>
      <c r="AF60" s="1" cm="1">
        <f t="array" aca="1" ref="AF60" ca="1">INDIRECT(ADDRESS($B60,AF$50+$A60,1,1,$D60))</f>
        <v>2</v>
      </c>
      <c r="AG60" s="1" cm="1">
        <f t="array" aca="1" ref="AG60" ca="1">INDIRECT(ADDRESS($B60,AG$50+$A60,1,1,$D60))</f>
        <v>2</v>
      </c>
      <c r="AH60" s="1" cm="1">
        <f t="array" aca="1" ref="AH60" ca="1">INDIRECT(ADDRESS($B60,AH$50+$A60,1,1,$D60))</f>
        <v>2</v>
      </c>
      <c r="AI60" s="1" cm="1">
        <f t="array" aca="1" ref="AI60" ca="1">INDIRECT(ADDRESS($B60,AI$50+$A60,1,1,$D60))</f>
        <v>2</v>
      </c>
      <c r="AJ60" s="1" cm="1">
        <f t="array" aca="1" ref="AJ60" ca="1">INDIRECT(ADDRESS($B60,AJ$50+$A60,1,1,$D60))</f>
        <v>2</v>
      </c>
      <c r="AK60" s="1" cm="1">
        <f t="array" aca="1" ref="AK60" ca="1">INDIRECT(ADDRESS($B60,AK$50+$A60,1,1,$D60))</f>
        <v>2</v>
      </c>
      <c r="AL60" s="1" cm="1">
        <f t="array" aca="1" ref="AL60" ca="1">INDIRECT(ADDRESS($B60,AL$50+$A60,1,1,$D60))</f>
        <v>2</v>
      </c>
      <c r="AM60" s="1" cm="1">
        <f t="array" aca="1" ref="AM60" ca="1">INDIRECT(ADDRESS($B60,AM$50+$A60,1,1,$D60))</f>
        <v>6</v>
      </c>
      <c r="AN60" s="1" cm="1">
        <f t="array" aca="1" ref="AN60" ca="1">INDIRECT(ADDRESS($B60,AN$50+$A60,1,1,$D60))</f>
        <v>13</v>
      </c>
      <c r="AO60" s="1" cm="1">
        <f t="array" aca="1" ref="AO60" ca="1">INDIRECT(ADDRESS($B60,AO$50+$A60,1,1,$D60))</f>
        <v>15</v>
      </c>
      <c r="AP60" s="1" cm="1">
        <f t="array" aca="1" ref="AP60" ca="1">INDIRECT(ADDRESS($B60,AP$50+$A60,1,1,$D60))</f>
        <v>32</v>
      </c>
      <c r="AQ60" s="1" cm="1">
        <f t="array" aca="1" ref="AQ60" ca="1">INDIRECT(ADDRESS($B60,AQ$50+$A60,1,1,$D60))</f>
        <v>45</v>
      </c>
      <c r="AR60" s="1" cm="1">
        <f t="array" aca="1" ref="AR60" ca="1">INDIRECT(ADDRESS($B60,AR$50+$A60,1,1,$D60))</f>
        <v>84</v>
      </c>
      <c r="AS60" s="1" cm="1">
        <f t="array" aca="1" ref="AS60" ca="1">INDIRECT(ADDRESS($B60,AS$50+$A60,1,1,$D60))</f>
        <v>120</v>
      </c>
      <c r="AT60" s="1" cm="1">
        <f t="array" aca="1" ref="AT60" ca="1">INDIRECT(ADDRESS($B60,AT$50+$A60,1,1,$D60))</f>
        <v>165</v>
      </c>
      <c r="AU60" s="1" cm="1">
        <f t="array" aca="1" ref="AU60" ca="1">INDIRECT(ADDRESS($B60,AU$50+$A60,1,1,$D60))</f>
        <v>222</v>
      </c>
      <c r="AV60" s="1" cm="1">
        <f t="array" aca="1" ref="AV60" ca="1">INDIRECT(ADDRESS($B60,AV$50+$A60,1,1,$D60))</f>
        <v>259</v>
      </c>
      <c r="AW60" s="1" cm="1">
        <f t="array" aca="1" ref="AW60" ca="1">INDIRECT(ADDRESS($B60,AW$50+$A60,1,1,$D60))</f>
        <v>400</v>
      </c>
      <c r="AX60" s="1" cm="1">
        <f t="array" aca="1" ref="AX60" ca="1">INDIRECT(ADDRESS($B60,AX$50+$A60,1,1,$D60))</f>
        <v>500</v>
      </c>
      <c r="AY60" s="1" cm="1">
        <f t="array" aca="1" ref="AY60" ca="1">INDIRECT(ADDRESS($B60,AY$50+$A60,1,1,$D60))</f>
        <v>673</v>
      </c>
      <c r="AZ60" s="1" cm="1">
        <f t="array" aca="1" ref="AZ60" ca="1">INDIRECT(ADDRESS($B60,AZ$50+$A60,1,1,$D60))</f>
        <v>1073</v>
      </c>
      <c r="BA60" s="1" cm="1">
        <f t="array" aca="1" ref="BA60" ca="1">INDIRECT(ADDRESS($B60,BA$50+$A60,1,1,$D60))</f>
        <v>1695</v>
      </c>
      <c r="BB60" s="1" cm="1">
        <f t="array" aca="1" ref="BB60" ca="1">INDIRECT(ADDRESS($B60,BB$50+$A60,1,1,$D60))</f>
        <v>2277</v>
      </c>
      <c r="BC60" s="1" cm="1">
        <f t="array" aca="1" ref="BC60" ca="1">INDIRECT(ADDRESS($B60,BC$50+$A60,1,1,$D60))</f>
        <v>2277</v>
      </c>
      <c r="BD60" s="1" cm="1">
        <f t="array" aca="1" ref="BD60" ca="1">INDIRECT(ADDRESS($B60,BD$50+$A60,1,1,$D60))</f>
        <v>5232</v>
      </c>
      <c r="BE60" s="1" cm="1">
        <f t="array" aca="1" ref="BE60" ca="1">INDIRECT(ADDRESS($B60,BE$50+$A60,1,1,$D60))</f>
        <v>6391</v>
      </c>
      <c r="BF60" s="1" cm="1">
        <f t="array" aca="1" ref="BF60" ca="1">INDIRECT(ADDRESS($B60,BF$50+$A60,1,1,$D60))</f>
        <v>7798</v>
      </c>
      <c r="BG60" s="1" cm="1">
        <f t="array" aca="1" ref="BG60" ca="1">INDIRECT(ADDRESS($B60,BG$50+$A60,1,1,$D60))</f>
        <v>9942</v>
      </c>
      <c r="BH60" s="1" cm="1">
        <f t="array" aca="1" ref="BH60" ca="1">INDIRECT(ADDRESS($B60,BH$50+$A60,1,1,$D60))</f>
        <v>11748</v>
      </c>
      <c r="BI60" s="1" cm="1">
        <f t="array" aca="1" ref="BI60" ca="1">INDIRECT(ADDRESS($B60,BI$50+$A60,1,1,$D60))</f>
        <v>13910</v>
      </c>
      <c r="BJ60" s="1" cm="1">
        <f t="array" aca="1" ref="BJ60" ca="1">INDIRECT(ADDRESS($B60,BJ$50+$A60,1,1,$D60))</f>
        <v>17963</v>
      </c>
      <c r="BK60" s="1" cm="1">
        <f t="array" aca="1" ref="BK60" ca="1">INDIRECT(ADDRESS($B60,BK$50+$A60,1,1,$D60))</f>
        <v>20410</v>
      </c>
      <c r="BL60" s="1" cm="1">
        <f t="array" aca="1" ref="BL60" ca="1">INDIRECT(ADDRESS($B60,BL$50+$A60,1,1,$D60))</f>
        <v>25374</v>
      </c>
      <c r="BM60" s="1" cm="1">
        <f t="array" aca="1" ref="BM60" ca="1">INDIRECT(ADDRESS($B60,BM$50+$A60,1,1,$D60))</f>
        <v>28768</v>
      </c>
      <c r="BN60" s="1" cm="1">
        <f t="array" aca="1" ref="BN60" ca="1">INDIRECT(ADDRESS($B60,BN$50+$A60,1,1,$D60))</f>
        <v>35136</v>
      </c>
      <c r="BO60" s="1" cm="1">
        <f t="array" aca="1" ref="BO60" ca="1">INDIRECT(ADDRESS($B60,BO$50+$A60,1,1,$D60))</f>
        <v>39885</v>
      </c>
      <c r="BP60" s="1" cm="1">
        <f t="array" aca="1" ref="BP60" ca="1">INDIRECT(ADDRESS($B60,BP$50+$A60,1,1,$D60))</f>
        <v>49515</v>
      </c>
      <c r="BQ60" s="1" cm="1">
        <f t="array" aca="1" ref="BQ60" ca="1">INDIRECT(ADDRESS($B60,BQ$50+$A60,1,1,$D60))</f>
        <v>57786</v>
      </c>
      <c r="BR60" s="1" cm="1">
        <f t="array" aca="1" ref="BR60" ca="1">INDIRECT(ADDRESS($B60,BR$50+$A60,1,1,$D60))</f>
        <v>65719</v>
      </c>
      <c r="BS60" s="1" cm="1">
        <f t="array" aca="1" ref="BS60" ca="1">INDIRECT(ADDRESS($B60,BS$50+$A60,1,1,$D60))</f>
        <v>73235</v>
      </c>
      <c r="BT60" s="1" cm="1">
        <f t="array" aca="1" ref="BT60" ca="1">INDIRECT(ADDRESS($B60,BT$50+$A60,1,1,$D60))</f>
        <v>80110</v>
      </c>
      <c r="BU60" s="1" cm="1">
        <f t="array" aca="1" ref="BU60" ca="1">INDIRECT(ADDRESS($B60,BU$50+$A60,1,1,$D60))</f>
        <v>87956</v>
      </c>
      <c r="BV60" s="1" cm="1">
        <f t="array" aca="1" ref="BV60" ca="1">INDIRECT(ADDRESS($B60,BV$50+$A60,1,1,$D60))</f>
        <v>0</v>
      </c>
    </row>
    <row r="61" spans="1:74" x14ac:dyDescent="0.25">
      <c r="A61">
        <v>6</v>
      </c>
      <c r="B61">
        <f ca="1">MATCH($C61,INDIRECT("'"&amp;$C$100&amp;"'!A:A"),0)</f>
        <v>15</v>
      </c>
      <c r="C61" s="1" t="str">
        <f>C10</f>
        <v>US</v>
      </c>
      <c r="D61" t="str">
        <f>D60</f>
        <v>Confirmed</v>
      </c>
      <c r="E61" s="1" cm="1">
        <f t="array" aca="1" ref="E61" ca="1">INDIRECT(ADDRESS($B61,E$50+$A61,1,1,$D61))</f>
        <v>1</v>
      </c>
      <c r="F61" s="1" cm="1">
        <f t="array" aca="1" ref="F61" ca="1">INDIRECT(ADDRESS($B61,F$50+$A61,1,1,$D61))</f>
        <v>1</v>
      </c>
      <c r="G61" s="1" cm="1">
        <f t="array" aca="1" ref="G61" ca="1">INDIRECT(ADDRESS($B61,G$50+$A61,1,1,$D61))</f>
        <v>2</v>
      </c>
      <c r="H61" s="1" cm="1">
        <f t="array" aca="1" ref="H61" ca="1">INDIRECT(ADDRESS($B61,H$50+$A61,1,1,$D61))</f>
        <v>2</v>
      </c>
      <c r="I61" s="1" cm="1">
        <f t="array" aca="1" ref="I61" ca="1">INDIRECT(ADDRESS($B61,I$50+$A61,1,1,$D61))</f>
        <v>5</v>
      </c>
      <c r="J61" s="1" cm="1">
        <f t="array" aca="1" ref="J61" ca="1">INDIRECT(ADDRESS($B61,J$50+$A61,1,1,$D61))</f>
        <v>5</v>
      </c>
      <c r="K61" s="1" cm="1">
        <f t="array" aca="1" ref="K61" ca="1">INDIRECT(ADDRESS($B61,K$50+$A61,1,1,$D61))</f>
        <v>5</v>
      </c>
      <c r="L61" s="1" cm="1">
        <f t="array" aca="1" ref="L61" ca="1">INDIRECT(ADDRESS($B61,L$50+$A61,1,1,$D61))</f>
        <v>5</v>
      </c>
      <c r="M61" s="1" cm="1">
        <f t="array" aca="1" ref="M61" ca="1">INDIRECT(ADDRESS($B61,M$50+$A61,1,1,$D61))</f>
        <v>5</v>
      </c>
      <c r="N61" s="1" cm="1">
        <f t="array" aca="1" ref="N61" ca="1">INDIRECT(ADDRESS($B61,N$50+$A61,1,1,$D61))</f>
        <v>7</v>
      </c>
      <c r="O61" s="1" cm="1">
        <f t="array" aca="1" ref="O61" ca="1">INDIRECT(ADDRESS($B61,O$50+$A61,1,1,$D61))</f>
        <v>8</v>
      </c>
      <c r="P61" s="1" cm="1">
        <f t="array" aca="1" ref="P61" ca="1">INDIRECT(ADDRESS($B61,P$50+$A61,1,1,$D61))</f>
        <v>8</v>
      </c>
      <c r="Q61" s="1" cm="1">
        <f t="array" aca="1" ref="Q61" ca="1">INDIRECT(ADDRESS($B61,Q$50+$A61,1,1,$D61))</f>
        <v>11</v>
      </c>
      <c r="R61" s="1" cm="1">
        <f t="array" aca="1" ref="R61" ca="1">INDIRECT(ADDRESS($B61,R$50+$A61,1,1,$D61))</f>
        <v>11</v>
      </c>
      <c r="S61" s="1" cm="1">
        <f t="array" aca="1" ref="S61" ca="1">INDIRECT(ADDRESS($B61,S$50+$A61,1,1,$D61))</f>
        <v>11</v>
      </c>
      <c r="T61" s="1" cm="1">
        <f t="array" aca="1" ref="T61" ca="1">INDIRECT(ADDRESS($B61,T$50+$A61,1,1,$D61))</f>
        <v>11</v>
      </c>
      <c r="U61" s="1" cm="1">
        <f t="array" aca="1" ref="U61" ca="1">INDIRECT(ADDRESS($B61,U$50+$A61,1,1,$D61))</f>
        <v>11</v>
      </c>
      <c r="V61" s="1" cm="1">
        <f t="array" aca="1" ref="V61" ca="1">INDIRECT(ADDRESS($B61,V$50+$A61,1,1,$D61))</f>
        <v>11</v>
      </c>
      <c r="W61" s="1" cm="1">
        <f t="array" aca="1" ref="W61" ca="1">INDIRECT(ADDRESS($B61,W$50+$A61,1,1,$D61))</f>
        <v>11</v>
      </c>
      <c r="X61" s="1" cm="1">
        <f t="array" aca="1" ref="X61" ca="1">INDIRECT(ADDRESS($B61,X$50+$A61,1,1,$D61))</f>
        <v>11</v>
      </c>
      <c r="Y61" s="1" cm="1">
        <f t="array" aca="1" ref="Y61" ca="1">INDIRECT(ADDRESS($B61,Y$50+$A61,1,1,$D61))</f>
        <v>12</v>
      </c>
      <c r="Z61" s="1" cm="1">
        <f t="array" aca="1" ref="Z61" ca="1">INDIRECT(ADDRESS($B61,Z$50+$A61,1,1,$D61))</f>
        <v>12</v>
      </c>
      <c r="AA61" s="1" cm="1">
        <f t="array" aca="1" ref="AA61" ca="1">INDIRECT(ADDRESS($B61,AA$50+$A61,1,1,$D61))</f>
        <v>13</v>
      </c>
      <c r="AB61" s="1" cm="1">
        <f t="array" aca="1" ref="AB61" ca="1">INDIRECT(ADDRESS($B61,AB$50+$A61,1,1,$D61))</f>
        <v>13</v>
      </c>
      <c r="AC61" s="1" cm="1">
        <f t="array" aca="1" ref="AC61" ca="1">INDIRECT(ADDRESS($B61,AC$50+$A61,1,1,$D61))</f>
        <v>13</v>
      </c>
      <c r="AD61" s="1" cm="1">
        <f t="array" aca="1" ref="AD61" ca="1">INDIRECT(ADDRESS($B61,AD$50+$A61,1,1,$D61))</f>
        <v>13</v>
      </c>
      <c r="AE61" s="1" cm="1">
        <f t="array" aca="1" ref="AE61" ca="1">INDIRECT(ADDRESS($B61,AE$50+$A61,1,1,$D61))</f>
        <v>13</v>
      </c>
      <c r="AF61" s="1" cm="1">
        <f t="array" aca="1" ref="AF61" ca="1">INDIRECT(ADDRESS($B61,AF$50+$A61,1,1,$D61))</f>
        <v>13</v>
      </c>
      <c r="AG61" s="1" cm="1">
        <f t="array" aca="1" ref="AG61" ca="1">INDIRECT(ADDRESS($B61,AG$50+$A61,1,1,$D61))</f>
        <v>13</v>
      </c>
      <c r="AH61" s="1" cm="1">
        <f t="array" aca="1" ref="AH61" ca="1">INDIRECT(ADDRESS($B61,AH$50+$A61,1,1,$D61))</f>
        <v>13</v>
      </c>
      <c r="AI61" s="1" cm="1">
        <f t="array" aca="1" ref="AI61" ca="1">INDIRECT(ADDRESS($B61,AI$50+$A61,1,1,$D61))</f>
        <v>15</v>
      </c>
      <c r="AJ61" s="1" cm="1">
        <f t="array" aca="1" ref="AJ61" ca="1">INDIRECT(ADDRESS($B61,AJ$50+$A61,1,1,$D61))</f>
        <v>15</v>
      </c>
      <c r="AK61" s="1" cm="1">
        <f t="array" aca="1" ref="AK61" ca="1">INDIRECT(ADDRESS($B61,AK$50+$A61,1,1,$D61))</f>
        <v>15</v>
      </c>
      <c r="AL61" s="1" cm="1">
        <f t="array" aca="1" ref="AL61" ca="1">INDIRECT(ADDRESS($B61,AL$50+$A61,1,1,$D61))</f>
        <v>51</v>
      </c>
      <c r="AM61" s="1" cm="1">
        <f t="array" aca="1" ref="AM61" ca="1">INDIRECT(ADDRESS($B61,AM$50+$A61,1,1,$D61))</f>
        <v>51</v>
      </c>
      <c r="AN61" s="1" cm="1">
        <f t="array" aca="1" ref="AN61" ca="1">INDIRECT(ADDRESS($B61,AN$50+$A61,1,1,$D61))</f>
        <v>57</v>
      </c>
      <c r="AO61" s="1" cm="1">
        <f t="array" aca="1" ref="AO61" ca="1">INDIRECT(ADDRESS($B61,AO$50+$A61,1,1,$D61))</f>
        <v>58</v>
      </c>
      <c r="AP61" s="1" cm="1">
        <f t="array" aca="1" ref="AP61" ca="1">INDIRECT(ADDRESS($B61,AP$50+$A61,1,1,$D61))</f>
        <v>60</v>
      </c>
      <c r="AQ61" s="1" cm="1">
        <f t="array" aca="1" ref="AQ61" ca="1">INDIRECT(ADDRESS($B61,AQ$50+$A61,1,1,$D61))</f>
        <v>68</v>
      </c>
      <c r="AR61" s="1" cm="1">
        <f t="array" aca="1" ref="AR61" ca="1">INDIRECT(ADDRESS($B61,AR$50+$A61,1,1,$D61))</f>
        <v>74</v>
      </c>
      <c r="AS61" s="1" cm="1">
        <f t="array" aca="1" ref="AS61" ca="1">INDIRECT(ADDRESS($B61,AS$50+$A61,1,1,$D61))</f>
        <v>98</v>
      </c>
      <c r="AT61" s="1" cm="1">
        <f t="array" aca="1" ref="AT61" ca="1">INDIRECT(ADDRESS($B61,AT$50+$A61,1,1,$D61))</f>
        <v>118</v>
      </c>
      <c r="AU61" s="1" cm="1">
        <f t="array" aca="1" ref="AU61" ca="1">INDIRECT(ADDRESS($B61,AU$50+$A61,1,1,$D61))</f>
        <v>149</v>
      </c>
      <c r="AV61" s="1" cm="1">
        <f t="array" aca="1" ref="AV61" ca="1">INDIRECT(ADDRESS($B61,AV$50+$A61,1,1,$D61))</f>
        <v>217</v>
      </c>
      <c r="AW61" s="1" cm="1">
        <f t="array" aca="1" ref="AW61" ca="1">INDIRECT(ADDRESS($B61,AW$50+$A61,1,1,$D61))</f>
        <v>262</v>
      </c>
      <c r="AX61" s="1" cm="1">
        <f t="array" aca="1" ref="AX61" ca="1">INDIRECT(ADDRESS($B61,AX$50+$A61,1,1,$D61))</f>
        <v>402</v>
      </c>
      <c r="AY61" s="1" cm="1">
        <f t="array" aca="1" ref="AY61" ca="1">INDIRECT(ADDRESS($B61,AY$50+$A61,1,1,$D61))</f>
        <v>518</v>
      </c>
      <c r="AZ61" s="1" cm="1">
        <f t="array" aca="1" ref="AZ61" ca="1">INDIRECT(ADDRESS($B61,AZ$50+$A61,1,1,$D61))</f>
        <v>583</v>
      </c>
      <c r="BA61" s="1" cm="1">
        <f t="array" aca="1" ref="BA61" ca="1">INDIRECT(ADDRESS($B61,BA$50+$A61,1,1,$D61))</f>
        <v>959</v>
      </c>
      <c r="BB61" s="1" cm="1">
        <f t="array" aca="1" ref="BB61" ca="1">INDIRECT(ADDRESS($B61,BB$50+$A61,1,1,$D61))</f>
        <v>1281</v>
      </c>
      <c r="BC61" s="1" cm="1">
        <f t="array" aca="1" ref="BC61" ca="1">INDIRECT(ADDRESS($B61,BC$50+$A61,1,1,$D61))</f>
        <v>1663</v>
      </c>
      <c r="BD61" s="1" cm="1">
        <f t="array" aca="1" ref="BD61" ca="1">INDIRECT(ADDRESS($B61,BD$50+$A61,1,1,$D61))</f>
        <v>2179</v>
      </c>
      <c r="BE61" s="1" cm="1">
        <f t="array" aca="1" ref="BE61" ca="1">INDIRECT(ADDRESS($B61,BE$50+$A61,1,1,$D61))</f>
        <v>2727</v>
      </c>
      <c r="BF61" s="1" cm="1">
        <f t="array" aca="1" ref="BF61" ca="1">INDIRECT(ADDRESS($B61,BF$50+$A61,1,1,$D61))</f>
        <v>3499</v>
      </c>
      <c r="BG61" s="1" cm="1">
        <f t="array" aca="1" ref="BG61" ca="1">INDIRECT(ADDRESS($B61,BG$50+$A61,1,1,$D61))</f>
        <v>4632</v>
      </c>
      <c r="BH61" s="1" cm="1">
        <f t="array" aca="1" ref="BH61" ca="1">INDIRECT(ADDRESS($B61,BH$50+$A61,1,1,$D61))</f>
        <v>6421</v>
      </c>
      <c r="BI61" s="1" cm="1">
        <f t="array" aca="1" ref="BI61" ca="1">INDIRECT(ADDRESS($B61,BI$50+$A61,1,1,$D61))</f>
        <v>7783</v>
      </c>
      <c r="BJ61" s="1" cm="1">
        <f t="array" aca="1" ref="BJ61" ca="1">INDIRECT(ADDRESS($B61,BJ$50+$A61,1,1,$D61))</f>
        <v>13677</v>
      </c>
      <c r="BK61" s="1" cm="1">
        <f t="array" aca="1" ref="BK61" ca="1">INDIRECT(ADDRESS($B61,BK$50+$A61,1,1,$D61))</f>
        <v>19100</v>
      </c>
      <c r="BL61" s="1" cm="1">
        <f t="array" aca="1" ref="BL61" ca="1">INDIRECT(ADDRESS($B61,BL$50+$A61,1,1,$D61))</f>
        <v>25489</v>
      </c>
      <c r="BM61" s="1" cm="1">
        <f t="array" aca="1" ref="BM61" ca="1">INDIRECT(ADDRESS($B61,BM$50+$A61,1,1,$D61))</f>
        <v>33276</v>
      </c>
      <c r="BN61" s="1" cm="1">
        <f t="array" aca="1" ref="BN61" ca="1">INDIRECT(ADDRESS($B61,BN$50+$A61,1,1,$D61))</f>
        <v>43847</v>
      </c>
      <c r="BO61" s="1" cm="1">
        <f t="array" aca="1" ref="BO61" ca="1">INDIRECT(ADDRESS($B61,BO$50+$A61,1,1,$D61))</f>
        <v>53740</v>
      </c>
      <c r="BP61" s="1" cm="1">
        <f t="array" aca="1" ref="BP61" ca="1">INDIRECT(ADDRESS($B61,BP$50+$A61,1,1,$D61))</f>
        <v>65778</v>
      </c>
      <c r="BQ61" s="1" cm="1">
        <f t="array" aca="1" ref="BQ61" ca="1">INDIRECT(ADDRESS($B61,BQ$50+$A61,1,1,$D61))</f>
        <v>83836</v>
      </c>
      <c r="BR61" s="1" cm="1">
        <f t="array" aca="1" ref="BR61" ca="1">INDIRECT(ADDRESS($B61,BR$50+$A61,1,1,$D61))</f>
        <v>101657</v>
      </c>
      <c r="BS61" s="1" cm="1">
        <f t="array" aca="1" ref="BS61" ca="1">INDIRECT(ADDRESS($B61,BS$50+$A61,1,1,$D61))</f>
        <v>121478</v>
      </c>
      <c r="BT61" s="1" cm="1">
        <f t="array" aca="1" ref="BT61" ca="1">INDIRECT(ADDRESS($B61,BT$50+$A61,1,1,$D61))</f>
        <v>140886</v>
      </c>
      <c r="BU61" s="1" cm="1">
        <f t="array" aca="1" ref="BU61" ca="1">INDIRECT(ADDRESS($B61,BU$50+$A61,1,1,$D61))</f>
        <v>161807</v>
      </c>
      <c r="BV61" s="1" cm="1">
        <f t="array" aca="1" ref="BV61" ca="1">INDIRECT(ADDRESS($B61,BV$50+$A61,1,1,$D61))</f>
        <v>0</v>
      </c>
    </row>
    <row r="62" spans="1:74" x14ac:dyDescent="0.25">
      <c r="A62">
        <v>6</v>
      </c>
      <c r="B62">
        <f ca="1">MATCH($C62,INDIRECT("'"&amp;$C$100&amp;"'!A:A"),0)</f>
        <v>14</v>
      </c>
      <c r="C62" s="1" t="str">
        <f>C11</f>
        <v>Switzerland</v>
      </c>
      <c r="D62" t="str">
        <f>D61</f>
        <v>Confirmed</v>
      </c>
      <c r="E62" s="1" cm="1">
        <f t="array" aca="1" ref="E62" ca="1">INDIRECT(ADDRESS($B62,E$50+$A62,1,1,$D62))</f>
        <v>0</v>
      </c>
      <c r="F62" s="1" cm="1">
        <f t="array" aca="1" ref="F62" ca="1">INDIRECT(ADDRESS($B62,F$50+$A62,1,1,$D62))</f>
        <v>0</v>
      </c>
      <c r="G62" s="1" cm="1">
        <f t="array" aca="1" ref="G62" ca="1">INDIRECT(ADDRESS($B62,G$50+$A62,1,1,$D62))</f>
        <v>0</v>
      </c>
      <c r="H62" s="1" cm="1">
        <f t="array" aca="1" ref="H62" ca="1">INDIRECT(ADDRESS($B62,H$50+$A62,1,1,$D62))</f>
        <v>0</v>
      </c>
      <c r="I62" s="1" cm="1">
        <f t="array" aca="1" ref="I62" ca="1">INDIRECT(ADDRESS($B62,I$50+$A62,1,1,$D62))</f>
        <v>0</v>
      </c>
      <c r="J62" s="1" cm="1">
        <f t="array" aca="1" ref="J62" ca="1">INDIRECT(ADDRESS($B62,J$50+$A62,1,1,$D62))</f>
        <v>0</v>
      </c>
      <c r="K62" s="1" cm="1">
        <f t="array" aca="1" ref="K62" ca="1">INDIRECT(ADDRESS($B62,K$50+$A62,1,1,$D62))</f>
        <v>0</v>
      </c>
      <c r="L62" s="1" cm="1">
        <f t="array" aca="1" ref="L62" ca="1">INDIRECT(ADDRESS($B62,L$50+$A62,1,1,$D62))</f>
        <v>0</v>
      </c>
      <c r="M62" s="1" cm="1">
        <f t="array" aca="1" ref="M62" ca="1">INDIRECT(ADDRESS($B62,M$50+$A62,1,1,$D62))</f>
        <v>0</v>
      </c>
      <c r="N62" s="1" cm="1">
        <f t="array" aca="1" ref="N62" ca="1">INDIRECT(ADDRESS($B62,N$50+$A62,1,1,$D62))</f>
        <v>0</v>
      </c>
      <c r="O62" s="1" cm="1">
        <f t="array" aca="1" ref="O62" ca="1">INDIRECT(ADDRESS($B62,O$50+$A62,1,1,$D62))</f>
        <v>0</v>
      </c>
      <c r="P62" s="1" cm="1">
        <f t="array" aca="1" ref="P62" ca="1">INDIRECT(ADDRESS($B62,P$50+$A62,1,1,$D62))</f>
        <v>0</v>
      </c>
      <c r="Q62" s="1" cm="1">
        <f t="array" aca="1" ref="Q62" ca="1">INDIRECT(ADDRESS($B62,Q$50+$A62,1,1,$D62))</f>
        <v>0</v>
      </c>
      <c r="R62" s="1" cm="1">
        <f t="array" aca="1" ref="R62" ca="1">INDIRECT(ADDRESS($B62,R$50+$A62,1,1,$D62))</f>
        <v>0</v>
      </c>
      <c r="S62" s="1" cm="1">
        <f t="array" aca="1" ref="S62" ca="1">INDIRECT(ADDRESS($B62,S$50+$A62,1,1,$D62))</f>
        <v>0</v>
      </c>
      <c r="T62" s="1" cm="1">
        <f t="array" aca="1" ref="T62" ca="1">INDIRECT(ADDRESS($B62,T$50+$A62,1,1,$D62))</f>
        <v>0</v>
      </c>
      <c r="U62" s="1" cm="1">
        <f t="array" aca="1" ref="U62" ca="1">INDIRECT(ADDRESS($B62,U$50+$A62,1,1,$D62))</f>
        <v>0</v>
      </c>
      <c r="V62" s="1" cm="1">
        <f t="array" aca="1" ref="V62" ca="1">INDIRECT(ADDRESS($B62,V$50+$A62,1,1,$D62))</f>
        <v>0</v>
      </c>
      <c r="W62" s="1" cm="1">
        <f t="array" aca="1" ref="W62" ca="1">INDIRECT(ADDRESS($B62,W$50+$A62,1,1,$D62))</f>
        <v>0</v>
      </c>
      <c r="X62" s="1" cm="1">
        <f t="array" aca="1" ref="X62" ca="1">INDIRECT(ADDRESS($B62,X$50+$A62,1,1,$D62))</f>
        <v>0</v>
      </c>
      <c r="Y62" s="1" cm="1">
        <f t="array" aca="1" ref="Y62" ca="1">INDIRECT(ADDRESS($B62,Y$50+$A62,1,1,$D62))</f>
        <v>0</v>
      </c>
      <c r="Z62" s="1" cm="1">
        <f t="array" aca="1" ref="Z62" ca="1">INDIRECT(ADDRESS($B62,Z$50+$A62,1,1,$D62))</f>
        <v>0</v>
      </c>
      <c r="AA62" s="1" cm="1">
        <f t="array" aca="1" ref="AA62" ca="1">INDIRECT(ADDRESS($B62,AA$50+$A62,1,1,$D62))</f>
        <v>0</v>
      </c>
      <c r="AB62" s="1" cm="1">
        <f t="array" aca="1" ref="AB62" ca="1">INDIRECT(ADDRESS($B62,AB$50+$A62,1,1,$D62))</f>
        <v>0</v>
      </c>
      <c r="AC62" s="1" cm="1">
        <f t="array" aca="1" ref="AC62" ca="1">INDIRECT(ADDRESS($B62,AC$50+$A62,1,1,$D62))</f>
        <v>0</v>
      </c>
      <c r="AD62" s="1" cm="1">
        <f t="array" aca="1" ref="AD62" ca="1">INDIRECT(ADDRESS($B62,AD$50+$A62,1,1,$D62))</f>
        <v>0</v>
      </c>
      <c r="AE62" s="1" cm="1">
        <f t="array" aca="1" ref="AE62" ca="1">INDIRECT(ADDRESS($B62,AE$50+$A62,1,1,$D62))</f>
        <v>0</v>
      </c>
      <c r="AF62" s="1" cm="1">
        <f t="array" aca="1" ref="AF62" ca="1">INDIRECT(ADDRESS($B62,AF$50+$A62,1,1,$D62))</f>
        <v>0</v>
      </c>
      <c r="AG62" s="1" cm="1">
        <f t="array" aca="1" ref="AG62" ca="1">INDIRECT(ADDRESS($B62,AG$50+$A62,1,1,$D62))</f>
        <v>0</v>
      </c>
      <c r="AH62" s="1" cm="1">
        <f t="array" aca="1" ref="AH62" ca="1">INDIRECT(ADDRESS($B62,AH$50+$A62,1,1,$D62))</f>
        <v>0</v>
      </c>
      <c r="AI62" s="1" cm="1">
        <f t="array" aca="1" ref="AI62" ca="1">INDIRECT(ADDRESS($B62,AI$50+$A62,1,1,$D62))</f>
        <v>0</v>
      </c>
      <c r="AJ62" s="1" cm="1">
        <f t="array" aca="1" ref="AJ62" ca="1">INDIRECT(ADDRESS($B62,AJ$50+$A62,1,1,$D62))</f>
        <v>0</v>
      </c>
      <c r="AK62" s="1" cm="1">
        <f t="array" aca="1" ref="AK62" ca="1">INDIRECT(ADDRESS($B62,AK$50+$A62,1,1,$D62))</f>
        <v>0</v>
      </c>
      <c r="AL62" s="1" cm="1">
        <f t="array" aca="1" ref="AL62" ca="1">INDIRECT(ADDRESS($B62,AL$50+$A62,1,1,$D62))</f>
        <v>0</v>
      </c>
      <c r="AM62" s="1" cm="1">
        <f t="array" aca="1" ref="AM62" ca="1">INDIRECT(ADDRESS($B62,AM$50+$A62,1,1,$D62))</f>
        <v>1</v>
      </c>
      <c r="AN62" s="1" cm="1">
        <f t="array" aca="1" ref="AN62" ca="1">INDIRECT(ADDRESS($B62,AN$50+$A62,1,1,$D62))</f>
        <v>1</v>
      </c>
      <c r="AO62" s="1" cm="1">
        <f t="array" aca="1" ref="AO62" ca="1">INDIRECT(ADDRESS($B62,AO$50+$A62,1,1,$D62))</f>
        <v>8</v>
      </c>
      <c r="AP62" s="1" cm="1">
        <f t="array" aca="1" ref="AP62" ca="1">INDIRECT(ADDRESS($B62,AP$50+$A62,1,1,$D62))</f>
        <v>8</v>
      </c>
      <c r="AQ62" s="1" cm="1">
        <f t="array" aca="1" ref="AQ62" ca="1">INDIRECT(ADDRESS($B62,AQ$50+$A62,1,1,$D62))</f>
        <v>18</v>
      </c>
      <c r="AR62" s="1" cm="1">
        <f t="array" aca="1" ref="AR62" ca="1">INDIRECT(ADDRESS($B62,AR$50+$A62,1,1,$D62))</f>
        <v>27</v>
      </c>
      <c r="AS62" s="1" cm="1">
        <f t="array" aca="1" ref="AS62" ca="1">INDIRECT(ADDRESS($B62,AS$50+$A62,1,1,$D62))</f>
        <v>42</v>
      </c>
      <c r="AT62" s="1" cm="1">
        <f t="array" aca="1" ref="AT62" ca="1">INDIRECT(ADDRESS($B62,AT$50+$A62,1,1,$D62))</f>
        <v>56</v>
      </c>
      <c r="AU62" s="1" cm="1">
        <f t="array" aca="1" ref="AU62" ca="1">INDIRECT(ADDRESS($B62,AU$50+$A62,1,1,$D62))</f>
        <v>90</v>
      </c>
      <c r="AV62" s="1" cm="1">
        <f t="array" aca="1" ref="AV62" ca="1">INDIRECT(ADDRESS($B62,AV$50+$A62,1,1,$D62))</f>
        <v>114</v>
      </c>
      <c r="AW62" s="1" cm="1">
        <f t="array" aca="1" ref="AW62" ca="1">INDIRECT(ADDRESS($B62,AW$50+$A62,1,1,$D62))</f>
        <v>214</v>
      </c>
      <c r="AX62" s="1" cm="1">
        <f t="array" aca="1" ref="AX62" ca="1">INDIRECT(ADDRESS($B62,AX$50+$A62,1,1,$D62))</f>
        <v>268</v>
      </c>
      <c r="AY62" s="1" cm="1">
        <f t="array" aca="1" ref="AY62" ca="1">INDIRECT(ADDRESS($B62,AY$50+$A62,1,1,$D62))</f>
        <v>337</v>
      </c>
      <c r="AZ62" s="1" cm="1">
        <f t="array" aca="1" ref="AZ62" ca="1">INDIRECT(ADDRESS($B62,AZ$50+$A62,1,1,$D62))</f>
        <v>374</v>
      </c>
      <c r="BA62" s="1" cm="1">
        <f t="array" aca="1" ref="BA62" ca="1">INDIRECT(ADDRESS($B62,BA$50+$A62,1,1,$D62))</f>
        <v>491</v>
      </c>
      <c r="BB62" s="1" cm="1">
        <f t="array" aca="1" ref="BB62" ca="1">INDIRECT(ADDRESS($B62,BB$50+$A62,1,1,$D62))</f>
        <v>652</v>
      </c>
      <c r="BC62" s="1" cm="1">
        <f t="array" aca="1" ref="BC62" ca="1">INDIRECT(ADDRESS($B62,BC$50+$A62,1,1,$D62))</f>
        <v>652</v>
      </c>
      <c r="BD62" s="1" cm="1">
        <f t="array" aca="1" ref="BD62" ca="1">INDIRECT(ADDRESS($B62,BD$50+$A62,1,1,$D62))</f>
        <v>1139</v>
      </c>
      <c r="BE62" s="1" cm="1">
        <f t="array" aca="1" ref="BE62" ca="1">INDIRECT(ADDRESS($B62,BE$50+$A62,1,1,$D62))</f>
        <v>1359</v>
      </c>
      <c r="BF62" s="1" cm="1">
        <f t="array" aca="1" ref="BF62" ca="1">INDIRECT(ADDRESS($B62,BF$50+$A62,1,1,$D62))</f>
        <v>2200</v>
      </c>
      <c r="BG62" s="1" cm="1">
        <f t="array" aca="1" ref="BG62" ca="1">INDIRECT(ADDRESS($B62,BG$50+$A62,1,1,$D62))</f>
        <v>2200</v>
      </c>
      <c r="BH62" s="1" cm="1">
        <f t="array" aca="1" ref="BH62" ca="1">INDIRECT(ADDRESS($B62,BH$50+$A62,1,1,$D62))</f>
        <v>2700</v>
      </c>
      <c r="BI62" s="1" cm="1">
        <f t="array" aca="1" ref="BI62" ca="1">INDIRECT(ADDRESS($B62,BI$50+$A62,1,1,$D62))</f>
        <v>3028</v>
      </c>
      <c r="BJ62" s="1" cm="1">
        <f t="array" aca="1" ref="BJ62" ca="1">INDIRECT(ADDRESS($B62,BJ$50+$A62,1,1,$D62))</f>
        <v>4075</v>
      </c>
      <c r="BK62" s="1" cm="1">
        <f t="array" aca="1" ref="BK62" ca="1">INDIRECT(ADDRESS($B62,BK$50+$A62,1,1,$D62))</f>
        <v>5294</v>
      </c>
      <c r="BL62" s="1" cm="1">
        <f t="array" aca="1" ref="BL62" ca="1">INDIRECT(ADDRESS($B62,BL$50+$A62,1,1,$D62))</f>
        <v>6575</v>
      </c>
      <c r="BM62" s="1" cm="1">
        <f t="array" aca="1" ref="BM62" ca="1">INDIRECT(ADDRESS($B62,BM$50+$A62,1,1,$D62))</f>
        <v>7474</v>
      </c>
      <c r="BN62" s="1" cm="1">
        <f t="array" aca="1" ref="BN62" ca="1">INDIRECT(ADDRESS($B62,BN$50+$A62,1,1,$D62))</f>
        <v>8795</v>
      </c>
      <c r="BO62" s="1" cm="1">
        <f t="array" aca="1" ref="BO62" ca="1">INDIRECT(ADDRESS($B62,BO$50+$A62,1,1,$D62))</f>
        <v>9877</v>
      </c>
      <c r="BP62" s="1" cm="1">
        <f t="array" aca="1" ref="BP62" ca="1">INDIRECT(ADDRESS($B62,BP$50+$A62,1,1,$D62))</f>
        <v>10897</v>
      </c>
      <c r="BQ62" s="1" cm="1">
        <f t="array" aca="1" ref="BQ62" ca="1">INDIRECT(ADDRESS($B62,BQ$50+$A62,1,1,$D62))</f>
        <v>11811</v>
      </c>
      <c r="BR62" s="1" cm="1">
        <f t="array" aca="1" ref="BR62" ca="1">INDIRECT(ADDRESS($B62,BR$50+$A62,1,1,$D62))</f>
        <v>12928</v>
      </c>
      <c r="BS62" s="1" cm="1">
        <f t="array" aca="1" ref="BS62" ca="1">INDIRECT(ADDRESS($B62,BS$50+$A62,1,1,$D62))</f>
        <v>14076</v>
      </c>
      <c r="BT62" s="1" cm="1">
        <f t="array" aca="1" ref="BT62" ca="1">INDIRECT(ADDRESS($B62,BT$50+$A62,1,1,$D62))</f>
        <v>14829</v>
      </c>
      <c r="BU62" s="1" cm="1">
        <f t="array" aca="1" ref="BU62" ca="1">INDIRECT(ADDRESS($B62,BU$50+$A62,1,1,$D62))</f>
        <v>15922</v>
      </c>
      <c r="BV62" s="1" cm="1">
        <f t="array" aca="1" ref="BV62" ca="1">INDIRECT(ADDRESS($B62,BV$50+$A62,1,1,$D62))</f>
        <v>0</v>
      </c>
    </row>
    <row r="63" spans="1:74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</row>
    <row r="64" spans="1:74" x14ac:dyDescent="0.25">
      <c r="A64">
        <v>6</v>
      </c>
      <c r="B64">
        <f ca="1">MATCH("Country/Region",INDIRECT("'Confirmed'!A:A"),0)</f>
        <v>1</v>
      </c>
      <c r="C64" s="4" t="s">
        <v>136</v>
      </c>
      <c r="D64" s="4"/>
      <c r="E64" s="5" t="str" cm="1">
        <f t="array" aca="1" ref="E64" ca="1">INDIRECT(ADDRESS($B64,E$50+$A64,1,1,$C64))</f>
        <v>2020-01-22</v>
      </c>
      <c r="F64" s="5" t="str" cm="1">
        <f t="array" aca="1" ref="F64" ca="1">INDIRECT(ADDRESS($B64,F$50+$A64,1,1,$C64))</f>
        <v>2020-01-23</v>
      </c>
      <c r="G64" s="5" t="str" cm="1">
        <f t="array" aca="1" ref="G64" ca="1">INDIRECT(ADDRESS($B64,G$50+$A64,1,1,$C64))</f>
        <v>2020-01-24</v>
      </c>
      <c r="H64" s="5" t="str" cm="1">
        <f t="array" aca="1" ref="H64" ca="1">INDIRECT(ADDRESS($B64,H$50+$A64,1,1,$C64))</f>
        <v>2020-01-25</v>
      </c>
      <c r="I64" s="5" t="str" cm="1">
        <f t="array" aca="1" ref="I64" ca="1">INDIRECT(ADDRESS($B64,I$50+$A64,1,1,$C64))</f>
        <v>2020-01-26</v>
      </c>
      <c r="J64" s="5" t="str" cm="1">
        <f t="array" aca="1" ref="J64" ca="1">INDIRECT(ADDRESS($B64,J$50+$A64,1,1,$C64))</f>
        <v>2020-01-27</v>
      </c>
      <c r="K64" s="5" t="str" cm="1">
        <f t="array" aca="1" ref="K64" ca="1">INDIRECT(ADDRESS($B64,K$50+$A64,1,1,$C64))</f>
        <v>2020-01-28</v>
      </c>
      <c r="L64" s="5" t="str" cm="1">
        <f t="array" aca="1" ref="L64" ca="1">INDIRECT(ADDRESS($B64,L$50+$A64,1,1,$C64))</f>
        <v>2020-01-29</v>
      </c>
      <c r="M64" s="5" t="str" cm="1">
        <f t="array" aca="1" ref="M64" ca="1">INDIRECT(ADDRESS($B64,M$50+$A64,1,1,$C64))</f>
        <v>2020-01-30</v>
      </c>
      <c r="N64" s="5" t="str" cm="1">
        <f t="array" aca="1" ref="N64" ca="1">INDIRECT(ADDRESS($B64,N$50+$A64,1,1,$C64))</f>
        <v>2020-01-31</v>
      </c>
      <c r="O64" s="5" t="str" cm="1">
        <f t="array" aca="1" ref="O64" ca="1">INDIRECT(ADDRESS($B64,O$50+$A64,1,1,$C64))</f>
        <v>2020-02-01</v>
      </c>
      <c r="P64" s="5" t="str" cm="1">
        <f t="array" aca="1" ref="P64" ca="1">INDIRECT(ADDRESS($B64,P$50+$A64,1,1,$C64))</f>
        <v>2020-02-02</v>
      </c>
      <c r="Q64" s="5" t="str" cm="1">
        <f t="array" aca="1" ref="Q64" ca="1">INDIRECT(ADDRESS($B64,Q$50+$A64,1,1,$C64))</f>
        <v>2020-02-03</v>
      </c>
      <c r="R64" s="5" t="str" cm="1">
        <f t="array" aca="1" ref="R64" ca="1">INDIRECT(ADDRESS($B64,R$50+$A64,1,1,$C64))</f>
        <v>2020-02-04</v>
      </c>
      <c r="S64" s="5" t="str" cm="1">
        <f t="array" aca="1" ref="S64" ca="1">INDIRECT(ADDRESS($B64,S$50+$A64,1,1,$C64))</f>
        <v>2020-02-05</v>
      </c>
      <c r="T64" s="5" t="str" cm="1">
        <f t="array" aca="1" ref="T64" ca="1">INDIRECT(ADDRESS($B64,T$50+$A64,1,1,$C64))</f>
        <v>2020-02-06</v>
      </c>
      <c r="U64" s="5" t="str" cm="1">
        <f t="array" aca="1" ref="U64" ca="1">INDIRECT(ADDRESS($B64,U$50+$A64,1,1,$C64))</f>
        <v>2020-02-07</v>
      </c>
      <c r="V64" s="5" t="str" cm="1">
        <f t="array" aca="1" ref="V64" ca="1">INDIRECT(ADDRESS($B64,V$50+$A64,1,1,$C64))</f>
        <v>2020-02-08</v>
      </c>
      <c r="W64" s="5" t="str" cm="1">
        <f t="array" aca="1" ref="W64" ca="1">INDIRECT(ADDRESS($B64,W$50+$A64,1,1,$C64))</f>
        <v>2020-02-09</v>
      </c>
      <c r="X64" s="5" t="str" cm="1">
        <f t="array" aca="1" ref="X64" ca="1">INDIRECT(ADDRESS($B64,X$50+$A64,1,1,$C64))</f>
        <v>2020-02-10</v>
      </c>
      <c r="Y64" s="5" t="str" cm="1">
        <f t="array" aca="1" ref="Y64" ca="1">INDIRECT(ADDRESS($B64,Y$50+$A64,1,1,$C64))</f>
        <v>2020-02-11</v>
      </c>
      <c r="Z64" s="5" t="str" cm="1">
        <f t="array" aca="1" ref="Z64" ca="1">INDIRECT(ADDRESS($B64,Z$50+$A64,1,1,$C64))</f>
        <v>2020-02-12</v>
      </c>
      <c r="AA64" s="5" t="str" cm="1">
        <f t="array" aca="1" ref="AA64" ca="1">INDIRECT(ADDRESS($B64,AA$50+$A64,1,1,$C64))</f>
        <v>2020-02-13</v>
      </c>
      <c r="AB64" s="5" t="str" cm="1">
        <f t="array" aca="1" ref="AB64" ca="1">INDIRECT(ADDRESS($B64,AB$50+$A64,1,1,$C64))</f>
        <v>2020-02-14</v>
      </c>
      <c r="AC64" s="5" t="str" cm="1">
        <f t="array" aca="1" ref="AC64" ca="1">INDIRECT(ADDRESS($B64,AC$50+$A64,1,1,$C64))</f>
        <v>2020-02-15</v>
      </c>
      <c r="AD64" s="5" t="str" cm="1">
        <f t="array" aca="1" ref="AD64" ca="1">INDIRECT(ADDRESS($B64,AD$50+$A64,1,1,$C64))</f>
        <v>2020-02-16</v>
      </c>
      <c r="AE64" s="5" t="str" cm="1">
        <f t="array" aca="1" ref="AE64" ca="1">INDIRECT(ADDRESS($B64,AE$50+$A64,1,1,$C64))</f>
        <v>2020-02-17</v>
      </c>
      <c r="AF64" s="5" t="str" cm="1">
        <f t="array" aca="1" ref="AF64" ca="1">INDIRECT(ADDRESS($B64,AF$50+$A64,1,1,$C64))</f>
        <v>2020-02-18</v>
      </c>
      <c r="AG64" s="5" t="str" cm="1">
        <f t="array" aca="1" ref="AG64" ca="1">INDIRECT(ADDRESS($B64,AG$50+$A64,1,1,$C64))</f>
        <v>2020-02-19</v>
      </c>
      <c r="AH64" s="5" t="str" cm="1">
        <f t="array" aca="1" ref="AH64" ca="1">INDIRECT(ADDRESS($B64,AH$50+$A64,1,1,$C64))</f>
        <v>2020-02-20</v>
      </c>
      <c r="AI64" s="5" t="str" cm="1">
        <f t="array" aca="1" ref="AI64" ca="1">INDIRECT(ADDRESS($B64,AI$50+$A64,1,1,$C64))</f>
        <v>2020-02-21</v>
      </c>
      <c r="AJ64" s="5" t="str" cm="1">
        <f t="array" aca="1" ref="AJ64" ca="1">INDIRECT(ADDRESS($B64,AJ$50+$A64,1,1,$C64))</f>
        <v>2020-02-22</v>
      </c>
      <c r="AK64" s="5" t="str" cm="1">
        <f t="array" aca="1" ref="AK64" ca="1">INDIRECT(ADDRESS($B64,AK$50+$A64,1,1,$C64))</f>
        <v>2020-02-23</v>
      </c>
      <c r="AL64" s="5" t="str" cm="1">
        <f t="array" aca="1" ref="AL64" ca="1">INDIRECT(ADDRESS($B64,AL$50+$A64,1,1,$C64))</f>
        <v>2020-02-24</v>
      </c>
      <c r="AM64" s="5" t="str" cm="1">
        <f t="array" aca="1" ref="AM64" ca="1">INDIRECT(ADDRESS($B64,AM$50+$A64,1,1,$C64))</f>
        <v>2020-02-25</v>
      </c>
      <c r="AN64" s="5" t="str" cm="1">
        <f t="array" aca="1" ref="AN64" ca="1">INDIRECT(ADDRESS($B64,AN$50+$A64,1,1,$C64))</f>
        <v>2020-02-26</v>
      </c>
      <c r="AO64" s="5" t="str" cm="1">
        <f t="array" aca="1" ref="AO64" ca="1">INDIRECT(ADDRESS($B64,AO$50+$A64,1,1,$C64))</f>
        <v>2020-02-27</v>
      </c>
      <c r="AP64" s="5" t="str" cm="1">
        <f t="array" aca="1" ref="AP64" ca="1">INDIRECT(ADDRESS($B64,AP$50+$A64,1,1,$C64))</f>
        <v>2020-02-28</v>
      </c>
      <c r="AQ64" s="5" t="str" cm="1">
        <f t="array" aca="1" ref="AQ64" ca="1">INDIRECT(ADDRESS($B64,AQ$50+$A64,1,1,$C64))</f>
        <v>2020-02-29</v>
      </c>
      <c r="AR64" s="5" t="str" cm="1">
        <f t="array" aca="1" ref="AR64" ca="1">INDIRECT(ADDRESS($B64,AR$50+$A64,1,1,$C64))</f>
        <v>2020-03-01</v>
      </c>
      <c r="AS64" s="5" t="str" cm="1">
        <f t="array" aca="1" ref="AS64" ca="1">INDIRECT(ADDRESS($B64,AS$50+$A64,1,1,$C64))</f>
        <v>2020-03-02</v>
      </c>
      <c r="AT64" s="5" t="str" cm="1">
        <f t="array" aca="1" ref="AT64" ca="1">INDIRECT(ADDRESS($B64,AT$50+$A64,1,1,$C64))</f>
        <v>2020-03-03</v>
      </c>
      <c r="AU64" s="5" t="str" cm="1">
        <f t="array" aca="1" ref="AU64" ca="1">INDIRECT(ADDRESS($B64,AU$50+$A64,1,1,$C64))</f>
        <v>2020-03-04</v>
      </c>
      <c r="AV64" s="5" t="str" cm="1">
        <f t="array" aca="1" ref="AV64" ca="1">INDIRECT(ADDRESS($B64,AV$50+$A64,1,1,$C64))</f>
        <v>2020-03-05</v>
      </c>
      <c r="AW64" s="5" t="str" cm="1">
        <f t="array" aca="1" ref="AW64" ca="1">INDIRECT(ADDRESS($B64,AW$50+$A64,1,1,$C64))</f>
        <v>2020-03-06</v>
      </c>
      <c r="AX64" s="5" t="str" cm="1">
        <f t="array" aca="1" ref="AX64" ca="1">INDIRECT(ADDRESS($B64,AX$50+$A64,1,1,$C64))</f>
        <v>2020-03-07</v>
      </c>
      <c r="AY64" s="5" t="str" cm="1">
        <f t="array" aca="1" ref="AY64" ca="1">INDIRECT(ADDRESS($B64,AY$50+$A64,1,1,$C64))</f>
        <v>2020-03-08</v>
      </c>
      <c r="AZ64" s="5" t="str" cm="1">
        <f t="array" aca="1" ref="AZ64" ca="1">INDIRECT(ADDRESS($B64,AZ$50+$A64,1,1,$C64))</f>
        <v>2020-03-09</v>
      </c>
      <c r="BA64" s="5" t="str" cm="1">
        <f t="array" aca="1" ref="BA64" ca="1">INDIRECT(ADDRESS($B64,BA$50+$A64,1,1,$C64))</f>
        <v>2020-03-10</v>
      </c>
      <c r="BB64" s="5" t="str" cm="1">
        <f t="array" aca="1" ref="BB64" ca="1">INDIRECT(ADDRESS($B64,BB$50+$A64,1,1,$C64))</f>
        <v>2020-03-11</v>
      </c>
      <c r="BC64" s="5" t="str" cm="1">
        <f t="array" aca="1" ref="BC64" ca="1">INDIRECT(ADDRESS($B64,BC$50+$A64,1,1,$C64))</f>
        <v>2020-03-12</v>
      </c>
      <c r="BD64" s="5" t="str" cm="1">
        <f t="array" aca="1" ref="BD64" ca="1">INDIRECT(ADDRESS($B64,BD$50+$A64,1,1,$C64))</f>
        <v>2020-03-13</v>
      </c>
      <c r="BE64" s="5" t="str" cm="1">
        <f t="array" aca="1" ref="BE64" ca="1">INDIRECT(ADDRESS($B64,BE$50+$A64,1,1,$C64))</f>
        <v>2020-03-14</v>
      </c>
      <c r="BF64" s="5" t="str" cm="1">
        <f t="array" aca="1" ref="BF64" ca="1">INDIRECT(ADDRESS($B64,BF$50+$A64,1,1,$C64))</f>
        <v>2020-03-15</v>
      </c>
      <c r="BG64" s="5" t="str" cm="1">
        <f t="array" aca="1" ref="BG64" ca="1">INDIRECT(ADDRESS($B64,BG$50+$A64,1,1,$C64))</f>
        <v>2020-03-16</v>
      </c>
      <c r="BH64" s="5" t="str" cm="1">
        <f t="array" aca="1" ref="BH64" ca="1">INDIRECT(ADDRESS($B64,BH$50+$A64,1,1,$C64))</f>
        <v>2020-03-17</v>
      </c>
      <c r="BI64" s="5" t="str" cm="1">
        <f t="array" aca="1" ref="BI64" ca="1">INDIRECT(ADDRESS($B64,BI$50+$A64,1,1,$C64))</f>
        <v>2020-03-18</v>
      </c>
      <c r="BJ64" s="5" t="str" cm="1">
        <f t="array" aca="1" ref="BJ64" ca="1">INDIRECT(ADDRESS($B64,BJ$50+$A64,1,1,$C64))</f>
        <v>2020-03-19</v>
      </c>
      <c r="BK64" s="5" t="str" cm="1">
        <f t="array" aca="1" ref="BK64" ca="1">INDIRECT(ADDRESS($B64,BK$50+$A64,1,1,$C64))</f>
        <v>2020-03-20</v>
      </c>
      <c r="BL64" s="5" t="str" cm="1">
        <f t="array" aca="1" ref="BL64" ca="1">INDIRECT(ADDRESS($B64,BL$50+$A64,1,1,$C64))</f>
        <v>2020-03-21</v>
      </c>
      <c r="BM64" s="5" t="str" cm="1">
        <f t="array" aca="1" ref="BM64" ca="1">INDIRECT(ADDRESS($B64,BM$50+$A64,1,1,$C64))</f>
        <v>2020-03-22</v>
      </c>
      <c r="BN64" s="5" t="str" cm="1">
        <f t="array" aca="1" ref="BN64" ca="1">INDIRECT(ADDRESS($B64,BN$50+$A64,1,1,$C64))</f>
        <v>2020-03-23</v>
      </c>
      <c r="BO64" s="5" t="str" cm="1">
        <f t="array" aca="1" ref="BO64" ca="1">INDIRECT(ADDRESS($B64,BO$50+$A64,1,1,$C64))</f>
        <v>2020-03-24</v>
      </c>
      <c r="BP64" s="5" t="str" cm="1">
        <f t="array" aca="1" ref="BP64" ca="1">INDIRECT(ADDRESS($B64,BP$50+$A64,1,1,$C64))</f>
        <v>2020-03-25</v>
      </c>
      <c r="BQ64" s="5" t="str" cm="1">
        <f t="array" aca="1" ref="BQ64" ca="1">INDIRECT(ADDRESS($B64,BQ$50+$A64,1,1,$C64))</f>
        <v>2020-03-26</v>
      </c>
      <c r="BR64" s="5" t="str" cm="1">
        <f t="array" aca="1" ref="BR64" ca="1">INDIRECT(ADDRESS($B64,BR$50+$A64,1,1,$C64))</f>
        <v>2020-03-27</v>
      </c>
      <c r="BS64" s="5" t="str" cm="1">
        <f t="array" aca="1" ref="BS64" ca="1">INDIRECT(ADDRESS($B64,BS$50+$A64,1,1,$C64))</f>
        <v>2020-03-28</v>
      </c>
      <c r="BT64" s="5" t="str" cm="1">
        <f t="array" aca="1" ref="BT64" ca="1">INDIRECT(ADDRESS($B64,BT$50+$A64,1,1,$C64))</f>
        <v>2020-03-29</v>
      </c>
      <c r="BU64" s="5" t="str" cm="1">
        <f t="array" aca="1" ref="BU64" ca="1">INDIRECT(ADDRESS($B64,BU$50+$A64,1,1,$C64))</f>
        <v>2020-03-30</v>
      </c>
      <c r="BV64" s="5" cm="1">
        <f t="array" aca="1" ref="BV64" ca="1">INDIRECT(ADDRESS($B64,BV$50+$A64,1,1,$C64))</f>
        <v>0</v>
      </c>
    </row>
    <row r="65" spans="1:74" x14ac:dyDescent="0.25">
      <c r="A65">
        <v>6</v>
      </c>
      <c r="B65">
        <f ca="1">MATCH($C65,INDIRECT("'"&amp;$C$64&amp;"'!A:A"),0)</f>
        <v>9</v>
      </c>
      <c r="C65" s="1" t="str">
        <f>C8</f>
        <v>Italy</v>
      </c>
      <c r="D65" t="str">
        <f>C64</f>
        <v>Recovered</v>
      </c>
      <c r="E65" s="1" cm="1">
        <f t="array" aca="1" ref="E65" ca="1">INDIRECT(ADDRESS($B65,E$50+$A65,1,1,$D65))</f>
        <v>0</v>
      </c>
      <c r="F65" s="1" cm="1">
        <f t="array" aca="1" ref="F65" ca="1">INDIRECT(ADDRESS($B65,F$50+$A65,1,1,$D65))</f>
        <v>0</v>
      </c>
      <c r="G65" s="1" cm="1">
        <f t="array" aca="1" ref="G65" ca="1">INDIRECT(ADDRESS($B65,G$50+$A65,1,1,$D65))</f>
        <v>0</v>
      </c>
      <c r="H65" s="1" cm="1">
        <f t="array" aca="1" ref="H65" ca="1">INDIRECT(ADDRESS($B65,H$50+$A65,1,1,$D65))</f>
        <v>0</v>
      </c>
      <c r="I65" s="1" cm="1">
        <f t="array" aca="1" ref="I65" ca="1">INDIRECT(ADDRESS($B65,I$50+$A65,1,1,$D65))</f>
        <v>0</v>
      </c>
      <c r="J65" s="1" cm="1">
        <f t="array" aca="1" ref="J65" ca="1">INDIRECT(ADDRESS($B65,J$50+$A65,1,1,$D65))</f>
        <v>0</v>
      </c>
      <c r="K65" s="1" cm="1">
        <f t="array" aca="1" ref="K65" ca="1">INDIRECT(ADDRESS($B65,K$50+$A65,1,1,$D65))</f>
        <v>0</v>
      </c>
      <c r="L65" s="1" cm="1">
        <f t="array" aca="1" ref="L65" ca="1">INDIRECT(ADDRESS($B65,L$50+$A65,1,1,$D65))</f>
        <v>0</v>
      </c>
      <c r="M65" s="1" cm="1">
        <f t="array" aca="1" ref="M65" ca="1">INDIRECT(ADDRESS($B65,M$50+$A65,1,1,$D65))</f>
        <v>0</v>
      </c>
      <c r="N65" s="1" cm="1">
        <f t="array" aca="1" ref="N65" ca="1">INDIRECT(ADDRESS($B65,N$50+$A65,1,1,$D65))</f>
        <v>0</v>
      </c>
      <c r="O65" s="1" cm="1">
        <f t="array" aca="1" ref="O65" ca="1">INDIRECT(ADDRESS($B65,O$50+$A65,1,1,$D65))</f>
        <v>0</v>
      </c>
      <c r="P65" s="1" cm="1">
        <f t="array" aca="1" ref="P65" ca="1">INDIRECT(ADDRESS($B65,P$50+$A65,1,1,$D65))</f>
        <v>0</v>
      </c>
      <c r="Q65" s="1" cm="1">
        <f t="array" aca="1" ref="Q65" ca="1">INDIRECT(ADDRESS($B65,Q$50+$A65,1,1,$D65))</f>
        <v>0</v>
      </c>
      <c r="R65" s="1" cm="1">
        <f t="array" aca="1" ref="R65" ca="1">INDIRECT(ADDRESS($B65,R$50+$A65,1,1,$D65))</f>
        <v>0</v>
      </c>
      <c r="S65" s="1" cm="1">
        <f t="array" aca="1" ref="S65" ca="1">INDIRECT(ADDRESS($B65,S$50+$A65,1,1,$D65))</f>
        <v>0</v>
      </c>
      <c r="T65" s="1" cm="1">
        <f t="array" aca="1" ref="T65" ca="1">INDIRECT(ADDRESS($B65,T$50+$A65,1,1,$D65))</f>
        <v>0</v>
      </c>
      <c r="U65" s="1" cm="1">
        <f t="array" aca="1" ref="U65" ca="1">INDIRECT(ADDRESS($B65,U$50+$A65,1,1,$D65))</f>
        <v>0</v>
      </c>
      <c r="V65" s="1" cm="1">
        <f t="array" aca="1" ref="V65" ca="1">INDIRECT(ADDRESS($B65,V$50+$A65,1,1,$D65))</f>
        <v>0</v>
      </c>
      <c r="W65" s="1" cm="1">
        <f t="array" aca="1" ref="W65" ca="1">INDIRECT(ADDRESS($B65,W$50+$A65,1,1,$D65))</f>
        <v>0</v>
      </c>
      <c r="X65" s="1" cm="1">
        <f t="array" aca="1" ref="X65" ca="1">INDIRECT(ADDRESS($B65,X$50+$A65,1,1,$D65))</f>
        <v>0</v>
      </c>
      <c r="Y65" s="1" cm="1">
        <f t="array" aca="1" ref="Y65" ca="1">INDIRECT(ADDRESS($B65,Y$50+$A65,1,1,$D65))</f>
        <v>0</v>
      </c>
      <c r="Z65" s="1" cm="1">
        <f t="array" aca="1" ref="Z65" ca="1">INDIRECT(ADDRESS($B65,Z$50+$A65,1,1,$D65))</f>
        <v>0</v>
      </c>
      <c r="AA65" s="1" cm="1">
        <f t="array" aca="1" ref="AA65" ca="1">INDIRECT(ADDRESS($B65,AA$50+$A65,1,1,$D65))</f>
        <v>0</v>
      </c>
      <c r="AB65" s="1" cm="1">
        <f t="array" aca="1" ref="AB65" ca="1">INDIRECT(ADDRESS($B65,AB$50+$A65,1,1,$D65))</f>
        <v>0</v>
      </c>
      <c r="AC65" s="1" cm="1">
        <f t="array" aca="1" ref="AC65" ca="1">INDIRECT(ADDRESS($B65,AC$50+$A65,1,1,$D65))</f>
        <v>0</v>
      </c>
      <c r="AD65" s="1" cm="1">
        <f t="array" aca="1" ref="AD65" ca="1">INDIRECT(ADDRESS($B65,AD$50+$A65,1,1,$D65))</f>
        <v>0</v>
      </c>
      <c r="AE65" s="1" cm="1">
        <f t="array" aca="1" ref="AE65" ca="1">INDIRECT(ADDRESS($B65,AE$50+$A65,1,1,$D65))</f>
        <v>0</v>
      </c>
      <c r="AF65" s="1" cm="1">
        <f t="array" aca="1" ref="AF65" ca="1">INDIRECT(ADDRESS($B65,AF$50+$A65,1,1,$D65))</f>
        <v>0</v>
      </c>
      <c r="AG65" s="1" cm="1">
        <f t="array" aca="1" ref="AG65" ca="1">INDIRECT(ADDRESS($B65,AG$50+$A65,1,1,$D65))</f>
        <v>0</v>
      </c>
      <c r="AH65" s="1" cm="1">
        <f t="array" aca="1" ref="AH65" ca="1">INDIRECT(ADDRESS($B65,AH$50+$A65,1,1,$D65))</f>
        <v>0</v>
      </c>
      <c r="AI65" s="1" cm="1">
        <f t="array" aca="1" ref="AI65" ca="1">INDIRECT(ADDRESS($B65,AI$50+$A65,1,1,$D65))</f>
        <v>0</v>
      </c>
      <c r="AJ65" s="1" cm="1">
        <f t="array" aca="1" ref="AJ65" ca="1">INDIRECT(ADDRESS($B65,AJ$50+$A65,1,1,$D65))</f>
        <v>0</v>
      </c>
      <c r="AK65" s="1" cm="1">
        <f t="array" aca="1" ref="AK65" ca="1">INDIRECT(ADDRESS($B65,AK$50+$A65,1,1,$D65))</f>
        <v>0</v>
      </c>
      <c r="AL65" s="1" cm="1">
        <f t="array" aca="1" ref="AL65" ca="1">INDIRECT(ADDRESS($B65,AL$50+$A65,1,1,$D65))</f>
        <v>0</v>
      </c>
      <c r="AM65" s="1" cm="1">
        <f t="array" aca="1" ref="AM65" ca="1">INDIRECT(ADDRESS($B65,AM$50+$A65,1,1,$D65))</f>
        <v>0</v>
      </c>
      <c r="AN65" s="1" cm="1">
        <f t="array" aca="1" ref="AN65" ca="1">INDIRECT(ADDRESS($B65,AN$50+$A65,1,1,$D65))</f>
        <v>0</v>
      </c>
      <c r="AO65" s="1" cm="1">
        <f t="array" aca="1" ref="AO65" ca="1">INDIRECT(ADDRESS($B65,AO$50+$A65,1,1,$D65))</f>
        <v>0</v>
      </c>
      <c r="AP65" s="1" cm="1">
        <f t="array" aca="1" ref="AP65" ca="1">INDIRECT(ADDRESS($B65,AP$50+$A65,1,1,$D65))</f>
        <v>0</v>
      </c>
      <c r="AQ65" s="1" cm="1">
        <f t="array" aca="1" ref="AQ65" ca="1">INDIRECT(ADDRESS($B65,AQ$50+$A65,1,1,$D65))</f>
        <v>0</v>
      </c>
      <c r="AR65" s="1" cm="1">
        <f t="array" aca="1" ref="AR65" ca="1">INDIRECT(ADDRESS($B65,AR$50+$A65,1,1,$D65))</f>
        <v>0</v>
      </c>
      <c r="AS65" s="1" cm="1">
        <f t="array" aca="1" ref="AS65" ca="1">INDIRECT(ADDRESS($B65,AS$50+$A65,1,1,$D65))</f>
        <v>0</v>
      </c>
      <c r="AT65" s="1" cm="1">
        <f t="array" aca="1" ref="AT65" ca="1">INDIRECT(ADDRESS($B65,AT$50+$A65,1,1,$D65))</f>
        <v>0</v>
      </c>
      <c r="AU65" s="1" cm="1">
        <f t="array" aca="1" ref="AU65" ca="1">INDIRECT(ADDRESS($B65,AU$50+$A65,1,1,$D65))</f>
        <v>0</v>
      </c>
      <c r="AV65" s="1" cm="1">
        <f t="array" aca="1" ref="AV65" ca="1">INDIRECT(ADDRESS($B65,AV$50+$A65,1,1,$D65))</f>
        <v>0</v>
      </c>
      <c r="AW65" s="1" cm="1">
        <f t="array" aca="1" ref="AW65" ca="1">INDIRECT(ADDRESS($B65,AW$50+$A65,1,1,$D65))</f>
        <v>0</v>
      </c>
      <c r="AX65" s="1" cm="1">
        <f t="array" aca="1" ref="AX65" ca="1">INDIRECT(ADDRESS($B65,AX$50+$A65,1,1,$D65))</f>
        <v>0</v>
      </c>
      <c r="AY65" s="1" cm="1">
        <f t="array" aca="1" ref="AY65" ca="1">INDIRECT(ADDRESS($B65,AY$50+$A65,1,1,$D65))</f>
        <v>0</v>
      </c>
      <c r="AZ65" s="1" cm="1">
        <f t="array" aca="1" ref="AZ65" ca="1">INDIRECT(ADDRESS($B65,AZ$50+$A65,1,1,$D65))</f>
        <v>0</v>
      </c>
      <c r="BA65" s="1" cm="1">
        <f t="array" aca="1" ref="BA65" ca="1">INDIRECT(ADDRESS($B65,BA$50+$A65,1,1,$D65))</f>
        <v>0</v>
      </c>
      <c r="BB65" s="1" cm="1">
        <f t="array" aca="1" ref="BB65" ca="1">INDIRECT(ADDRESS($B65,BB$50+$A65,1,1,$D65))</f>
        <v>0</v>
      </c>
      <c r="BC65" s="1" cm="1">
        <f t="array" aca="1" ref="BC65" ca="1">INDIRECT(ADDRESS($B65,BC$50+$A65,1,1,$D65))</f>
        <v>0</v>
      </c>
      <c r="BD65" s="1" cm="1">
        <f t="array" aca="1" ref="BD65" ca="1">INDIRECT(ADDRESS($B65,BD$50+$A65,1,1,$D65))</f>
        <v>0</v>
      </c>
      <c r="BE65" s="1" cm="1">
        <f t="array" aca="1" ref="BE65" ca="1">INDIRECT(ADDRESS($B65,BE$50+$A65,1,1,$D65))</f>
        <v>0</v>
      </c>
      <c r="BF65" s="1" cm="1">
        <f t="array" aca="1" ref="BF65" ca="1">INDIRECT(ADDRESS($B65,BF$50+$A65,1,1,$D65))</f>
        <v>0</v>
      </c>
      <c r="BG65" s="1" cm="1">
        <f t="array" aca="1" ref="BG65" ca="1">INDIRECT(ADDRESS($B65,BG$50+$A65,1,1,$D65))</f>
        <v>0</v>
      </c>
      <c r="BH65" s="1" cm="1">
        <f t="array" aca="1" ref="BH65" ca="1">INDIRECT(ADDRESS($B65,BH$50+$A65,1,1,$D65))</f>
        <v>0</v>
      </c>
      <c r="BI65" s="1" cm="1">
        <f t="array" aca="1" ref="BI65" ca="1">INDIRECT(ADDRESS($B65,BI$50+$A65,1,1,$D65))</f>
        <v>0</v>
      </c>
      <c r="BJ65" s="1" cm="1">
        <f t="array" aca="1" ref="BJ65" ca="1">INDIRECT(ADDRESS($B65,BJ$50+$A65,1,1,$D65))</f>
        <v>0</v>
      </c>
      <c r="BK65" s="1" cm="1">
        <f t="array" aca="1" ref="BK65" ca="1">INDIRECT(ADDRESS($B65,BK$50+$A65,1,1,$D65))</f>
        <v>0</v>
      </c>
      <c r="BL65" s="1" cm="1">
        <f t="array" aca="1" ref="BL65" ca="1">INDIRECT(ADDRESS($B65,BL$50+$A65,1,1,$D65))</f>
        <v>0</v>
      </c>
      <c r="BM65" s="1" cm="1">
        <f t="array" aca="1" ref="BM65" ca="1">INDIRECT(ADDRESS($B65,BM$50+$A65,1,1,$D65))</f>
        <v>0</v>
      </c>
      <c r="BN65" s="1" cm="1">
        <f t="array" aca="1" ref="BN65" ca="1">INDIRECT(ADDRESS($B65,BN$50+$A65,1,1,$D65))</f>
        <v>0</v>
      </c>
      <c r="BO65" s="1" cm="1">
        <f t="array" aca="1" ref="BO65" ca="1">INDIRECT(ADDRESS($B65,BO$50+$A65,1,1,$D65))</f>
        <v>0</v>
      </c>
      <c r="BP65" s="1" cm="1">
        <f t="array" aca="1" ref="BP65" ca="1">INDIRECT(ADDRESS($B65,BP$50+$A65,1,1,$D65))</f>
        <v>0</v>
      </c>
      <c r="BQ65" s="1" cm="1">
        <f t="array" aca="1" ref="BQ65" ca="1">INDIRECT(ADDRESS($B65,BQ$50+$A65,1,1,$D65))</f>
        <v>0</v>
      </c>
      <c r="BR65" s="1" cm="1">
        <f t="array" aca="1" ref="BR65" ca="1">INDIRECT(ADDRESS($B65,BR$50+$A65,1,1,$D65))</f>
        <v>0</v>
      </c>
      <c r="BS65" s="1" cm="1">
        <f t="array" aca="1" ref="BS65" ca="1">INDIRECT(ADDRESS($B65,BS$50+$A65,1,1,$D65))</f>
        <v>0</v>
      </c>
      <c r="BT65" s="1" cm="1">
        <f t="array" aca="1" ref="BT65" ca="1">INDIRECT(ADDRESS($B65,BT$50+$A65,1,1,$D65))</f>
        <v>0</v>
      </c>
      <c r="BU65" s="1" cm="1">
        <f t="array" aca="1" ref="BU65" ca="1">INDIRECT(ADDRESS($B65,BU$50+$A65,1,1,$D65))</f>
        <v>0</v>
      </c>
      <c r="BV65" s="1" cm="1">
        <f t="array" aca="1" ref="BV65" ca="1">INDIRECT(ADDRESS($B65,BV$50+$A65,1,1,$D65))</f>
        <v>0</v>
      </c>
    </row>
    <row r="66" spans="1:74" x14ac:dyDescent="0.25">
      <c r="A66">
        <v>6</v>
      </c>
      <c r="B66">
        <f t="shared" ref="B66:B68" ca="1" si="7">MATCH($C66,INDIRECT("'"&amp;$C$64&amp;"'!A:A"),0)</f>
        <v>12</v>
      </c>
      <c r="C66" s="1" t="str">
        <f>C9</f>
        <v>Spain</v>
      </c>
      <c r="D66" t="str">
        <f>D65</f>
        <v>Recovered</v>
      </c>
      <c r="E66" s="1" cm="1">
        <f t="array" aca="1" ref="E66" ca="1">INDIRECT(ADDRESS($B66,E$50+$A66,1,1,$D66))</f>
        <v>0</v>
      </c>
      <c r="F66" s="1" cm="1">
        <f t="array" aca="1" ref="F66" ca="1">INDIRECT(ADDRESS($B66,F$50+$A66,1,1,$D66))</f>
        <v>0</v>
      </c>
      <c r="G66" s="1" cm="1">
        <f t="array" aca="1" ref="G66" ca="1">INDIRECT(ADDRESS($B66,G$50+$A66,1,1,$D66))</f>
        <v>0</v>
      </c>
      <c r="H66" s="1" cm="1">
        <f t="array" aca="1" ref="H66" ca="1">INDIRECT(ADDRESS($B66,H$50+$A66,1,1,$D66))</f>
        <v>0</v>
      </c>
      <c r="I66" s="1" cm="1">
        <f t="array" aca="1" ref="I66" ca="1">INDIRECT(ADDRESS($B66,I$50+$A66,1,1,$D66))</f>
        <v>0</v>
      </c>
      <c r="J66" s="1" cm="1">
        <f t="array" aca="1" ref="J66" ca="1">INDIRECT(ADDRESS($B66,J$50+$A66,1,1,$D66))</f>
        <v>0</v>
      </c>
      <c r="K66" s="1" cm="1">
        <f t="array" aca="1" ref="K66" ca="1">INDIRECT(ADDRESS($B66,K$50+$A66,1,1,$D66))</f>
        <v>0</v>
      </c>
      <c r="L66" s="1" cm="1">
        <f t="array" aca="1" ref="L66" ca="1">INDIRECT(ADDRESS($B66,L$50+$A66,1,1,$D66))</f>
        <v>0</v>
      </c>
      <c r="M66" s="1" cm="1">
        <f t="array" aca="1" ref="M66" ca="1">INDIRECT(ADDRESS($B66,M$50+$A66,1,1,$D66))</f>
        <v>0</v>
      </c>
      <c r="N66" s="1" cm="1">
        <f t="array" aca="1" ref="N66" ca="1">INDIRECT(ADDRESS($B66,N$50+$A66,1,1,$D66))</f>
        <v>0</v>
      </c>
      <c r="O66" s="1" cm="1">
        <f t="array" aca="1" ref="O66" ca="1">INDIRECT(ADDRESS($B66,O$50+$A66,1,1,$D66))</f>
        <v>0</v>
      </c>
      <c r="P66" s="1" cm="1">
        <f t="array" aca="1" ref="P66" ca="1">INDIRECT(ADDRESS($B66,P$50+$A66,1,1,$D66))</f>
        <v>0</v>
      </c>
      <c r="Q66" s="1" cm="1">
        <f t="array" aca="1" ref="Q66" ca="1">INDIRECT(ADDRESS($B66,Q$50+$A66,1,1,$D66))</f>
        <v>0</v>
      </c>
      <c r="R66" s="1" cm="1">
        <f t="array" aca="1" ref="R66" ca="1">INDIRECT(ADDRESS($B66,R$50+$A66,1,1,$D66))</f>
        <v>0</v>
      </c>
      <c r="S66" s="1" cm="1">
        <f t="array" aca="1" ref="S66" ca="1">INDIRECT(ADDRESS($B66,S$50+$A66,1,1,$D66))</f>
        <v>0</v>
      </c>
      <c r="T66" s="1" cm="1">
        <f t="array" aca="1" ref="T66" ca="1">INDIRECT(ADDRESS($B66,T$50+$A66,1,1,$D66))</f>
        <v>0</v>
      </c>
      <c r="U66" s="1" cm="1">
        <f t="array" aca="1" ref="U66" ca="1">INDIRECT(ADDRESS($B66,U$50+$A66,1,1,$D66))</f>
        <v>0</v>
      </c>
      <c r="V66" s="1" cm="1">
        <f t="array" aca="1" ref="V66" ca="1">INDIRECT(ADDRESS($B66,V$50+$A66,1,1,$D66))</f>
        <v>0</v>
      </c>
      <c r="W66" s="1" cm="1">
        <f t="array" aca="1" ref="W66" ca="1">INDIRECT(ADDRESS($B66,W$50+$A66,1,1,$D66))</f>
        <v>0</v>
      </c>
      <c r="X66" s="1" cm="1">
        <f t="array" aca="1" ref="X66" ca="1">INDIRECT(ADDRESS($B66,X$50+$A66,1,1,$D66))</f>
        <v>0</v>
      </c>
      <c r="Y66" s="1" cm="1">
        <f t="array" aca="1" ref="Y66" ca="1">INDIRECT(ADDRESS($B66,Y$50+$A66,1,1,$D66))</f>
        <v>0</v>
      </c>
      <c r="Z66" s="1" cm="1">
        <f t="array" aca="1" ref="Z66" ca="1">INDIRECT(ADDRESS($B66,Z$50+$A66,1,1,$D66))</f>
        <v>0</v>
      </c>
      <c r="AA66" s="1" cm="1">
        <f t="array" aca="1" ref="AA66" ca="1">INDIRECT(ADDRESS($B66,AA$50+$A66,1,1,$D66))</f>
        <v>0</v>
      </c>
      <c r="AB66" s="1" cm="1">
        <f t="array" aca="1" ref="AB66" ca="1">INDIRECT(ADDRESS($B66,AB$50+$A66,1,1,$D66))</f>
        <v>0</v>
      </c>
      <c r="AC66" s="1" cm="1">
        <f t="array" aca="1" ref="AC66" ca="1">INDIRECT(ADDRESS($B66,AC$50+$A66,1,1,$D66))</f>
        <v>0</v>
      </c>
      <c r="AD66" s="1" cm="1">
        <f t="array" aca="1" ref="AD66" ca="1">INDIRECT(ADDRESS($B66,AD$50+$A66,1,1,$D66))</f>
        <v>0</v>
      </c>
      <c r="AE66" s="1" cm="1">
        <f t="array" aca="1" ref="AE66" ca="1">INDIRECT(ADDRESS($B66,AE$50+$A66,1,1,$D66))</f>
        <v>0</v>
      </c>
      <c r="AF66" s="1" cm="1">
        <f t="array" aca="1" ref="AF66" ca="1">INDIRECT(ADDRESS($B66,AF$50+$A66,1,1,$D66))</f>
        <v>0</v>
      </c>
      <c r="AG66" s="1" cm="1">
        <f t="array" aca="1" ref="AG66" ca="1">INDIRECT(ADDRESS($B66,AG$50+$A66,1,1,$D66))</f>
        <v>0</v>
      </c>
      <c r="AH66" s="1" cm="1">
        <f t="array" aca="1" ref="AH66" ca="1">INDIRECT(ADDRESS($B66,AH$50+$A66,1,1,$D66))</f>
        <v>0</v>
      </c>
      <c r="AI66" s="1" cm="1">
        <f t="array" aca="1" ref="AI66" ca="1">INDIRECT(ADDRESS($B66,AI$50+$A66,1,1,$D66))</f>
        <v>0</v>
      </c>
      <c r="AJ66" s="1" cm="1">
        <f t="array" aca="1" ref="AJ66" ca="1">INDIRECT(ADDRESS($B66,AJ$50+$A66,1,1,$D66))</f>
        <v>0</v>
      </c>
      <c r="AK66" s="1" cm="1">
        <f t="array" aca="1" ref="AK66" ca="1">INDIRECT(ADDRESS($B66,AK$50+$A66,1,1,$D66))</f>
        <v>0</v>
      </c>
      <c r="AL66" s="1" cm="1">
        <f t="array" aca="1" ref="AL66" ca="1">INDIRECT(ADDRESS($B66,AL$50+$A66,1,1,$D66))</f>
        <v>0</v>
      </c>
      <c r="AM66" s="1" cm="1">
        <f t="array" aca="1" ref="AM66" ca="1">INDIRECT(ADDRESS($B66,AM$50+$A66,1,1,$D66))</f>
        <v>0</v>
      </c>
      <c r="AN66" s="1" cm="1">
        <f t="array" aca="1" ref="AN66" ca="1">INDIRECT(ADDRESS($B66,AN$50+$A66,1,1,$D66))</f>
        <v>0</v>
      </c>
      <c r="AO66" s="1" cm="1">
        <f t="array" aca="1" ref="AO66" ca="1">INDIRECT(ADDRESS($B66,AO$50+$A66,1,1,$D66))</f>
        <v>0</v>
      </c>
      <c r="AP66" s="1" cm="1">
        <f t="array" aca="1" ref="AP66" ca="1">INDIRECT(ADDRESS($B66,AP$50+$A66,1,1,$D66))</f>
        <v>0</v>
      </c>
      <c r="AQ66" s="1" cm="1">
        <f t="array" aca="1" ref="AQ66" ca="1">INDIRECT(ADDRESS($B66,AQ$50+$A66,1,1,$D66))</f>
        <v>0</v>
      </c>
      <c r="AR66" s="1" cm="1">
        <f t="array" aca="1" ref="AR66" ca="1">INDIRECT(ADDRESS($B66,AR$50+$A66,1,1,$D66))</f>
        <v>0</v>
      </c>
      <c r="AS66" s="1" cm="1">
        <f t="array" aca="1" ref="AS66" ca="1">INDIRECT(ADDRESS($B66,AS$50+$A66,1,1,$D66))</f>
        <v>0</v>
      </c>
      <c r="AT66" s="1" cm="1">
        <f t="array" aca="1" ref="AT66" ca="1">INDIRECT(ADDRESS($B66,AT$50+$A66,1,1,$D66))</f>
        <v>0</v>
      </c>
      <c r="AU66" s="1" cm="1">
        <f t="array" aca="1" ref="AU66" ca="1">INDIRECT(ADDRESS($B66,AU$50+$A66,1,1,$D66))</f>
        <v>0</v>
      </c>
      <c r="AV66" s="1" cm="1">
        <f t="array" aca="1" ref="AV66" ca="1">INDIRECT(ADDRESS($B66,AV$50+$A66,1,1,$D66))</f>
        <v>0</v>
      </c>
      <c r="AW66" s="1" cm="1">
        <f t="array" aca="1" ref="AW66" ca="1">INDIRECT(ADDRESS($B66,AW$50+$A66,1,1,$D66))</f>
        <v>0</v>
      </c>
      <c r="AX66" s="1" cm="1">
        <f t="array" aca="1" ref="AX66" ca="1">INDIRECT(ADDRESS($B66,AX$50+$A66,1,1,$D66))</f>
        <v>0</v>
      </c>
      <c r="AY66" s="1" cm="1">
        <f t="array" aca="1" ref="AY66" ca="1">INDIRECT(ADDRESS($B66,AY$50+$A66,1,1,$D66))</f>
        <v>0</v>
      </c>
      <c r="AZ66" s="1" cm="1">
        <f t="array" aca="1" ref="AZ66" ca="1">INDIRECT(ADDRESS($B66,AZ$50+$A66,1,1,$D66))</f>
        <v>0</v>
      </c>
      <c r="BA66" s="1" cm="1">
        <f t="array" aca="1" ref="BA66" ca="1">INDIRECT(ADDRESS($B66,BA$50+$A66,1,1,$D66))</f>
        <v>0</v>
      </c>
      <c r="BB66" s="1" cm="1">
        <f t="array" aca="1" ref="BB66" ca="1">INDIRECT(ADDRESS($B66,BB$50+$A66,1,1,$D66))</f>
        <v>0</v>
      </c>
      <c r="BC66" s="1" cm="1">
        <f t="array" aca="1" ref="BC66" ca="1">INDIRECT(ADDRESS($B66,BC$50+$A66,1,1,$D66))</f>
        <v>0</v>
      </c>
      <c r="BD66" s="1" cm="1">
        <f t="array" aca="1" ref="BD66" ca="1">INDIRECT(ADDRESS($B66,BD$50+$A66,1,1,$D66))</f>
        <v>0</v>
      </c>
      <c r="BE66" s="1" cm="1">
        <f t="array" aca="1" ref="BE66" ca="1">INDIRECT(ADDRESS($B66,BE$50+$A66,1,1,$D66))</f>
        <v>0</v>
      </c>
      <c r="BF66" s="1" cm="1">
        <f t="array" aca="1" ref="BF66" ca="1">INDIRECT(ADDRESS($B66,BF$50+$A66,1,1,$D66))</f>
        <v>0</v>
      </c>
      <c r="BG66" s="1" cm="1">
        <f t="array" aca="1" ref="BG66" ca="1">INDIRECT(ADDRESS($B66,BG$50+$A66,1,1,$D66))</f>
        <v>0</v>
      </c>
      <c r="BH66" s="1" cm="1">
        <f t="array" aca="1" ref="BH66" ca="1">INDIRECT(ADDRESS($B66,BH$50+$A66,1,1,$D66))</f>
        <v>0</v>
      </c>
      <c r="BI66" s="1" cm="1">
        <f t="array" aca="1" ref="BI66" ca="1">INDIRECT(ADDRESS($B66,BI$50+$A66,1,1,$D66))</f>
        <v>0</v>
      </c>
      <c r="BJ66" s="1" cm="1">
        <f t="array" aca="1" ref="BJ66" ca="1">INDIRECT(ADDRESS($B66,BJ$50+$A66,1,1,$D66))</f>
        <v>0</v>
      </c>
      <c r="BK66" s="1" cm="1">
        <f t="array" aca="1" ref="BK66" ca="1">INDIRECT(ADDRESS($B66,BK$50+$A66,1,1,$D66))</f>
        <v>0</v>
      </c>
      <c r="BL66" s="1" cm="1">
        <f t="array" aca="1" ref="BL66" ca="1">INDIRECT(ADDRESS($B66,BL$50+$A66,1,1,$D66))</f>
        <v>0</v>
      </c>
      <c r="BM66" s="1" cm="1">
        <f t="array" aca="1" ref="BM66" ca="1">INDIRECT(ADDRESS($B66,BM$50+$A66,1,1,$D66))</f>
        <v>0</v>
      </c>
      <c r="BN66" s="1" cm="1">
        <f t="array" aca="1" ref="BN66" ca="1">INDIRECT(ADDRESS($B66,BN$50+$A66,1,1,$D66))</f>
        <v>0</v>
      </c>
      <c r="BO66" s="1" cm="1">
        <f t="array" aca="1" ref="BO66" ca="1">INDIRECT(ADDRESS($B66,BO$50+$A66,1,1,$D66))</f>
        <v>0</v>
      </c>
      <c r="BP66" s="1" cm="1">
        <f t="array" aca="1" ref="BP66" ca="1">INDIRECT(ADDRESS($B66,BP$50+$A66,1,1,$D66))</f>
        <v>0</v>
      </c>
      <c r="BQ66" s="1" cm="1">
        <f t="array" aca="1" ref="BQ66" ca="1">INDIRECT(ADDRESS($B66,BQ$50+$A66,1,1,$D66))</f>
        <v>0</v>
      </c>
      <c r="BR66" s="1" cm="1">
        <f t="array" aca="1" ref="BR66" ca="1">INDIRECT(ADDRESS($B66,BR$50+$A66,1,1,$D66))</f>
        <v>0</v>
      </c>
      <c r="BS66" s="1" cm="1">
        <f t="array" aca="1" ref="BS66" ca="1">INDIRECT(ADDRESS($B66,BS$50+$A66,1,1,$D66))</f>
        <v>0</v>
      </c>
      <c r="BT66" s="1" cm="1">
        <f t="array" aca="1" ref="BT66" ca="1">INDIRECT(ADDRESS($B66,BT$50+$A66,1,1,$D66))</f>
        <v>0</v>
      </c>
      <c r="BU66" s="1" cm="1">
        <f t="array" aca="1" ref="BU66" ca="1">INDIRECT(ADDRESS($B66,BU$50+$A66,1,1,$D66))</f>
        <v>0</v>
      </c>
      <c r="BV66" s="1" cm="1">
        <f t="array" aca="1" ref="BV66" ca="1">INDIRECT(ADDRESS($B66,BV$50+$A66,1,1,$D66))</f>
        <v>0</v>
      </c>
    </row>
    <row r="67" spans="1:74" x14ac:dyDescent="0.25">
      <c r="A67">
        <v>6</v>
      </c>
      <c r="B67">
        <f t="shared" ca="1" si="7"/>
        <v>15</v>
      </c>
      <c r="C67" s="1" t="str">
        <f>C10</f>
        <v>US</v>
      </c>
      <c r="D67" t="str">
        <f>D66</f>
        <v>Recovered</v>
      </c>
      <c r="E67" s="1" cm="1">
        <f t="array" aca="1" ref="E67" ca="1">INDIRECT(ADDRESS($B67,E$50+$A67,1,1,$D67))</f>
        <v>0</v>
      </c>
      <c r="F67" s="1" cm="1">
        <f t="array" aca="1" ref="F67" ca="1">INDIRECT(ADDRESS($B67,F$50+$A67,1,1,$D67))</f>
        <v>0</v>
      </c>
      <c r="G67" s="1" cm="1">
        <f t="array" aca="1" ref="G67" ca="1">INDIRECT(ADDRESS($B67,G$50+$A67,1,1,$D67))</f>
        <v>0</v>
      </c>
      <c r="H67" s="1" cm="1">
        <f t="array" aca="1" ref="H67" ca="1">INDIRECT(ADDRESS($B67,H$50+$A67,1,1,$D67))</f>
        <v>0</v>
      </c>
      <c r="I67" s="1" cm="1">
        <f t="array" aca="1" ref="I67" ca="1">INDIRECT(ADDRESS($B67,I$50+$A67,1,1,$D67))</f>
        <v>0</v>
      </c>
      <c r="J67" s="1" cm="1">
        <f t="array" aca="1" ref="J67" ca="1">INDIRECT(ADDRESS($B67,J$50+$A67,1,1,$D67))</f>
        <v>0</v>
      </c>
      <c r="K67" s="1" cm="1">
        <f t="array" aca="1" ref="K67" ca="1">INDIRECT(ADDRESS($B67,K$50+$A67,1,1,$D67))</f>
        <v>0</v>
      </c>
      <c r="L67" s="1" cm="1">
        <f t="array" aca="1" ref="L67" ca="1">INDIRECT(ADDRESS($B67,L$50+$A67,1,1,$D67))</f>
        <v>0</v>
      </c>
      <c r="M67" s="1" cm="1">
        <f t="array" aca="1" ref="M67" ca="1">INDIRECT(ADDRESS($B67,M$50+$A67,1,1,$D67))</f>
        <v>0</v>
      </c>
      <c r="N67" s="1" cm="1">
        <f t="array" aca="1" ref="N67" ca="1">INDIRECT(ADDRESS($B67,N$50+$A67,1,1,$D67))</f>
        <v>0</v>
      </c>
      <c r="O67" s="1" cm="1">
        <f t="array" aca="1" ref="O67" ca="1">INDIRECT(ADDRESS($B67,O$50+$A67,1,1,$D67))</f>
        <v>0</v>
      </c>
      <c r="P67" s="1" cm="1">
        <f t="array" aca="1" ref="P67" ca="1">INDIRECT(ADDRESS($B67,P$50+$A67,1,1,$D67))</f>
        <v>0</v>
      </c>
      <c r="Q67" s="1" cm="1">
        <f t="array" aca="1" ref="Q67" ca="1">INDIRECT(ADDRESS($B67,Q$50+$A67,1,1,$D67))</f>
        <v>0</v>
      </c>
      <c r="R67" s="1" cm="1">
        <f t="array" aca="1" ref="R67" ca="1">INDIRECT(ADDRESS($B67,R$50+$A67,1,1,$D67))</f>
        <v>0</v>
      </c>
      <c r="S67" s="1" cm="1">
        <f t="array" aca="1" ref="S67" ca="1">INDIRECT(ADDRESS($B67,S$50+$A67,1,1,$D67))</f>
        <v>0</v>
      </c>
      <c r="T67" s="1" cm="1">
        <f t="array" aca="1" ref="T67" ca="1">INDIRECT(ADDRESS($B67,T$50+$A67,1,1,$D67))</f>
        <v>0</v>
      </c>
      <c r="U67" s="1" cm="1">
        <f t="array" aca="1" ref="U67" ca="1">INDIRECT(ADDRESS($B67,U$50+$A67,1,1,$D67))</f>
        <v>0</v>
      </c>
      <c r="V67" s="1" cm="1">
        <f t="array" aca="1" ref="V67" ca="1">INDIRECT(ADDRESS($B67,V$50+$A67,1,1,$D67))</f>
        <v>0</v>
      </c>
      <c r="W67" s="1" cm="1">
        <f t="array" aca="1" ref="W67" ca="1">INDIRECT(ADDRESS($B67,W$50+$A67,1,1,$D67))</f>
        <v>0</v>
      </c>
      <c r="X67" s="1" cm="1">
        <f t="array" aca="1" ref="X67" ca="1">INDIRECT(ADDRESS($B67,X$50+$A67,1,1,$D67))</f>
        <v>0</v>
      </c>
      <c r="Y67" s="1" cm="1">
        <f t="array" aca="1" ref="Y67" ca="1">INDIRECT(ADDRESS($B67,Y$50+$A67,1,1,$D67))</f>
        <v>0</v>
      </c>
      <c r="Z67" s="1" cm="1">
        <f t="array" aca="1" ref="Z67" ca="1">INDIRECT(ADDRESS($B67,Z$50+$A67,1,1,$D67))</f>
        <v>0</v>
      </c>
      <c r="AA67" s="1" cm="1">
        <f t="array" aca="1" ref="AA67" ca="1">INDIRECT(ADDRESS($B67,AA$50+$A67,1,1,$D67))</f>
        <v>0</v>
      </c>
      <c r="AB67" s="1" cm="1">
        <f t="array" aca="1" ref="AB67" ca="1">INDIRECT(ADDRESS($B67,AB$50+$A67,1,1,$D67))</f>
        <v>0</v>
      </c>
      <c r="AC67" s="1" cm="1">
        <f t="array" aca="1" ref="AC67" ca="1">INDIRECT(ADDRESS($B67,AC$50+$A67,1,1,$D67))</f>
        <v>0</v>
      </c>
      <c r="AD67" s="1" cm="1">
        <f t="array" aca="1" ref="AD67" ca="1">INDIRECT(ADDRESS($B67,AD$50+$A67,1,1,$D67))</f>
        <v>0</v>
      </c>
      <c r="AE67" s="1" cm="1">
        <f t="array" aca="1" ref="AE67" ca="1">INDIRECT(ADDRESS($B67,AE$50+$A67,1,1,$D67))</f>
        <v>0</v>
      </c>
      <c r="AF67" s="1" cm="1">
        <f t="array" aca="1" ref="AF67" ca="1">INDIRECT(ADDRESS($B67,AF$50+$A67,1,1,$D67))</f>
        <v>0</v>
      </c>
      <c r="AG67" s="1" cm="1">
        <f t="array" aca="1" ref="AG67" ca="1">INDIRECT(ADDRESS($B67,AG$50+$A67,1,1,$D67))</f>
        <v>0</v>
      </c>
      <c r="AH67" s="1" cm="1">
        <f t="array" aca="1" ref="AH67" ca="1">INDIRECT(ADDRESS($B67,AH$50+$A67,1,1,$D67))</f>
        <v>0</v>
      </c>
      <c r="AI67" s="1" cm="1">
        <f t="array" aca="1" ref="AI67" ca="1">INDIRECT(ADDRESS($B67,AI$50+$A67,1,1,$D67))</f>
        <v>0</v>
      </c>
      <c r="AJ67" s="1" cm="1">
        <f t="array" aca="1" ref="AJ67" ca="1">INDIRECT(ADDRESS($B67,AJ$50+$A67,1,1,$D67))</f>
        <v>0</v>
      </c>
      <c r="AK67" s="1" cm="1">
        <f t="array" aca="1" ref="AK67" ca="1">INDIRECT(ADDRESS($B67,AK$50+$A67,1,1,$D67))</f>
        <v>0</v>
      </c>
      <c r="AL67" s="1" cm="1">
        <f t="array" aca="1" ref="AL67" ca="1">INDIRECT(ADDRESS($B67,AL$50+$A67,1,1,$D67))</f>
        <v>0</v>
      </c>
      <c r="AM67" s="1" cm="1">
        <f t="array" aca="1" ref="AM67" ca="1">INDIRECT(ADDRESS($B67,AM$50+$A67,1,1,$D67))</f>
        <v>0</v>
      </c>
      <c r="AN67" s="1" cm="1">
        <f t="array" aca="1" ref="AN67" ca="1">INDIRECT(ADDRESS($B67,AN$50+$A67,1,1,$D67))</f>
        <v>0</v>
      </c>
      <c r="AO67" s="1" cm="1">
        <f t="array" aca="1" ref="AO67" ca="1">INDIRECT(ADDRESS($B67,AO$50+$A67,1,1,$D67))</f>
        <v>0</v>
      </c>
      <c r="AP67" s="1" cm="1">
        <f t="array" aca="1" ref="AP67" ca="1">INDIRECT(ADDRESS($B67,AP$50+$A67,1,1,$D67))</f>
        <v>0</v>
      </c>
      <c r="AQ67" s="1" cm="1">
        <f t="array" aca="1" ref="AQ67" ca="1">INDIRECT(ADDRESS($B67,AQ$50+$A67,1,1,$D67))</f>
        <v>0</v>
      </c>
      <c r="AR67" s="1" cm="1">
        <f t="array" aca="1" ref="AR67" ca="1">INDIRECT(ADDRESS($B67,AR$50+$A67,1,1,$D67))</f>
        <v>0</v>
      </c>
      <c r="AS67" s="1" cm="1">
        <f t="array" aca="1" ref="AS67" ca="1">INDIRECT(ADDRESS($B67,AS$50+$A67,1,1,$D67))</f>
        <v>0</v>
      </c>
      <c r="AT67" s="1" cm="1">
        <f t="array" aca="1" ref="AT67" ca="1">INDIRECT(ADDRESS($B67,AT$50+$A67,1,1,$D67))</f>
        <v>0</v>
      </c>
      <c r="AU67" s="1" cm="1">
        <f t="array" aca="1" ref="AU67" ca="1">INDIRECT(ADDRESS($B67,AU$50+$A67,1,1,$D67))</f>
        <v>0</v>
      </c>
      <c r="AV67" s="1" cm="1">
        <f t="array" aca="1" ref="AV67" ca="1">INDIRECT(ADDRESS($B67,AV$50+$A67,1,1,$D67))</f>
        <v>0</v>
      </c>
      <c r="AW67" s="1" cm="1">
        <f t="array" aca="1" ref="AW67" ca="1">INDIRECT(ADDRESS($B67,AW$50+$A67,1,1,$D67))</f>
        <v>0</v>
      </c>
      <c r="AX67" s="1" cm="1">
        <f t="array" aca="1" ref="AX67" ca="1">INDIRECT(ADDRESS($B67,AX$50+$A67,1,1,$D67))</f>
        <v>0</v>
      </c>
      <c r="AY67" s="1" cm="1">
        <f t="array" aca="1" ref="AY67" ca="1">INDIRECT(ADDRESS($B67,AY$50+$A67,1,1,$D67))</f>
        <v>0</v>
      </c>
      <c r="AZ67" s="1" cm="1">
        <f t="array" aca="1" ref="AZ67" ca="1">INDIRECT(ADDRESS($B67,AZ$50+$A67,1,1,$D67))</f>
        <v>0</v>
      </c>
      <c r="BA67" s="1" cm="1">
        <f t="array" aca="1" ref="BA67" ca="1">INDIRECT(ADDRESS($B67,BA$50+$A67,1,1,$D67))</f>
        <v>0</v>
      </c>
      <c r="BB67" s="1" cm="1">
        <f t="array" aca="1" ref="BB67" ca="1">INDIRECT(ADDRESS($B67,BB$50+$A67,1,1,$D67))</f>
        <v>0</v>
      </c>
      <c r="BC67" s="1" cm="1">
        <f t="array" aca="1" ref="BC67" ca="1">INDIRECT(ADDRESS($B67,BC$50+$A67,1,1,$D67))</f>
        <v>0</v>
      </c>
      <c r="BD67" s="1" cm="1">
        <f t="array" aca="1" ref="BD67" ca="1">INDIRECT(ADDRESS($B67,BD$50+$A67,1,1,$D67))</f>
        <v>0</v>
      </c>
      <c r="BE67" s="1" cm="1">
        <f t="array" aca="1" ref="BE67" ca="1">INDIRECT(ADDRESS($B67,BE$50+$A67,1,1,$D67))</f>
        <v>0</v>
      </c>
      <c r="BF67" s="1" cm="1">
        <f t="array" aca="1" ref="BF67" ca="1">INDIRECT(ADDRESS($B67,BF$50+$A67,1,1,$D67))</f>
        <v>0</v>
      </c>
      <c r="BG67" s="1" cm="1">
        <f t="array" aca="1" ref="BG67" ca="1">INDIRECT(ADDRESS($B67,BG$50+$A67,1,1,$D67))</f>
        <v>0</v>
      </c>
      <c r="BH67" s="1" cm="1">
        <f t="array" aca="1" ref="BH67" ca="1">INDIRECT(ADDRESS($B67,BH$50+$A67,1,1,$D67))</f>
        <v>0</v>
      </c>
      <c r="BI67" s="1" cm="1">
        <f t="array" aca="1" ref="BI67" ca="1">INDIRECT(ADDRESS($B67,BI$50+$A67,1,1,$D67))</f>
        <v>0</v>
      </c>
      <c r="BJ67" s="1" cm="1">
        <f t="array" aca="1" ref="BJ67" ca="1">INDIRECT(ADDRESS($B67,BJ$50+$A67,1,1,$D67))</f>
        <v>0</v>
      </c>
      <c r="BK67" s="1" cm="1">
        <f t="array" aca="1" ref="BK67" ca="1">INDIRECT(ADDRESS($B67,BK$50+$A67,1,1,$D67))</f>
        <v>0</v>
      </c>
      <c r="BL67" s="1" cm="1">
        <f t="array" aca="1" ref="BL67" ca="1">INDIRECT(ADDRESS($B67,BL$50+$A67,1,1,$D67))</f>
        <v>0</v>
      </c>
      <c r="BM67" s="1" cm="1">
        <f t="array" aca="1" ref="BM67" ca="1">INDIRECT(ADDRESS($B67,BM$50+$A67,1,1,$D67))</f>
        <v>0</v>
      </c>
      <c r="BN67" s="1" cm="1">
        <f t="array" aca="1" ref="BN67" ca="1">INDIRECT(ADDRESS($B67,BN$50+$A67,1,1,$D67))</f>
        <v>0</v>
      </c>
      <c r="BO67" s="1" cm="1">
        <f t="array" aca="1" ref="BO67" ca="1">INDIRECT(ADDRESS($B67,BO$50+$A67,1,1,$D67))</f>
        <v>0</v>
      </c>
      <c r="BP67" s="1" cm="1">
        <f t="array" aca="1" ref="BP67" ca="1">INDIRECT(ADDRESS($B67,BP$50+$A67,1,1,$D67))</f>
        <v>0</v>
      </c>
      <c r="BQ67" s="1" cm="1">
        <f t="array" aca="1" ref="BQ67" ca="1">INDIRECT(ADDRESS($B67,BQ$50+$A67,1,1,$D67))</f>
        <v>0</v>
      </c>
      <c r="BR67" s="1" cm="1">
        <f t="array" aca="1" ref="BR67" ca="1">INDIRECT(ADDRESS($B67,BR$50+$A67,1,1,$D67))</f>
        <v>0</v>
      </c>
      <c r="BS67" s="1" cm="1">
        <f t="array" aca="1" ref="BS67" ca="1">INDIRECT(ADDRESS($B67,BS$50+$A67,1,1,$D67))</f>
        <v>0</v>
      </c>
      <c r="BT67" s="1" cm="1">
        <f t="array" aca="1" ref="BT67" ca="1">INDIRECT(ADDRESS($B67,BT$50+$A67,1,1,$D67))</f>
        <v>0</v>
      </c>
      <c r="BU67" s="1" cm="1">
        <f t="array" aca="1" ref="BU67" ca="1">INDIRECT(ADDRESS($B67,BU$50+$A67,1,1,$D67))</f>
        <v>0</v>
      </c>
      <c r="BV67" s="1" cm="1">
        <f t="array" aca="1" ref="BV67" ca="1">INDIRECT(ADDRESS($B67,BV$50+$A67,1,1,$D67))</f>
        <v>0</v>
      </c>
    </row>
    <row r="68" spans="1:74" x14ac:dyDescent="0.25">
      <c r="A68">
        <v>6</v>
      </c>
      <c r="B68">
        <f t="shared" ca="1" si="7"/>
        <v>14</v>
      </c>
      <c r="C68" s="1" t="str">
        <f>C11</f>
        <v>Switzerland</v>
      </c>
      <c r="D68" t="str">
        <f>D67</f>
        <v>Recovered</v>
      </c>
      <c r="E68" s="1" cm="1">
        <f t="array" aca="1" ref="E68" ca="1">INDIRECT(ADDRESS($B68,E$50+$A68,1,1,$D68))</f>
        <v>0</v>
      </c>
      <c r="F68" s="1" cm="1">
        <f t="array" aca="1" ref="F68" ca="1">INDIRECT(ADDRESS($B68,F$50+$A68,1,1,$D68))</f>
        <v>0</v>
      </c>
      <c r="G68" s="1" cm="1">
        <f t="array" aca="1" ref="G68" ca="1">INDIRECT(ADDRESS($B68,G$50+$A68,1,1,$D68))</f>
        <v>0</v>
      </c>
      <c r="H68" s="1" cm="1">
        <f t="array" aca="1" ref="H68" ca="1">INDIRECT(ADDRESS($B68,H$50+$A68,1,1,$D68))</f>
        <v>0</v>
      </c>
      <c r="I68" s="1" cm="1">
        <f t="array" aca="1" ref="I68" ca="1">INDIRECT(ADDRESS($B68,I$50+$A68,1,1,$D68))</f>
        <v>0</v>
      </c>
      <c r="J68" s="1" cm="1">
        <f t="array" aca="1" ref="J68" ca="1">INDIRECT(ADDRESS($B68,J$50+$A68,1,1,$D68))</f>
        <v>0</v>
      </c>
      <c r="K68" s="1" cm="1">
        <f t="array" aca="1" ref="K68" ca="1">INDIRECT(ADDRESS($B68,K$50+$A68,1,1,$D68))</f>
        <v>0</v>
      </c>
      <c r="L68" s="1" cm="1">
        <f t="array" aca="1" ref="L68" ca="1">INDIRECT(ADDRESS($B68,L$50+$A68,1,1,$D68))</f>
        <v>0</v>
      </c>
      <c r="M68" s="1" cm="1">
        <f t="array" aca="1" ref="M68" ca="1">INDIRECT(ADDRESS($B68,M$50+$A68,1,1,$D68))</f>
        <v>0</v>
      </c>
      <c r="N68" s="1" cm="1">
        <f t="array" aca="1" ref="N68" ca="1">INDIRECT(ADDRESS($B68,N$50+$A68,1,1,$D68))</f>
        <v>0</v>
      </c>
      <c r="O68" s="1" cm="1">
        <f t="array" aca="1" ref="O68" ca="1">INDIRECT(ADDRESS($B68,O$50+$A68,1,1,$D68))</f>
        <v>0</v>
      </c>
      <c r="P68" s="1" cm="1">
        <f t="array" aca="1" ref="P68" ca="1">INDIRECT(ADDRESS($B68,P$50+$A68,1,1,$D68))</f>
        <v>0</v>
      </c>
      <c r="Q68" s="1" cm="1">
        <f t="array" aca="1" ref="Q68" ca="1">INDIRECT(ADDRESS($B68,Q$50+$A68,1,1,$D68))</f>
        <v>0</v>
      </c>
      <c r="R68" s="1" cm="1">
        <f t="array" aca="1" ref="R68" ca="1">INDIRECT(ADDRESS($B68,R$50+$A68,1,1,$D68))</f>
        <v>0</v>
      </c>
      <c r="S68" s="1" cm="1">
        <f t="array" aca="1" ref="S68" ca="1">INDIRECT(ADDRESS($B68,S$50+$A68,1,1,$D68))</f>
        <v>0</v>
      </c>
      <c r="T68" s="1" cm="1">
        <f t="array" aca="1" ref="T68" ca="1">INDIRECT(ADDRESS($B68,T$50+$A68,1,1,$D68))</f>
        <v>0</v>
      </c>
      <c r="U68" s="1" cm="1">
        <f t="array" aca="1" ref="U68" ca="1">INDIRECT(ADDRESS($B68,U$50+$A68,1,1,$D68))</f>
        <v>0</v>
      </c>
      <c r="V68" s="1" cm="1">
        <f t="array" aca="1" ref="V68" ca="1">INDIRECT(ADDRESS($B68,V$50+$A68,1,1,$D68))</f>
        <v>0</v>
      </c>
      <c r="W68" s="1" cm="1">
        <f t="array" aca="1" ref="W68" ca="1">INDIRECT(ADDRESS($B68,W$50+$A68,1,1,$D68))</f>
        <v>0</v>
      </c>
      <c r="X68" s="1" cm="1">
        <f t="array" aca="1" ref="X68" ca="1">INDIRECT(ADDRESS($B68,X$50+$A68,1,1,$D68))</f>
        <v>0</v>
      </c>
      <c r="Y68" s="1" cm="1">
        <f t="array" aca="1" ref="Y68" ca="1">INDIRECT(ADDRESS($B68,Y$50+$A68,1,1,$D68))</f>
        <v>0</v>
      </c>
      <c r="Z68" s="1" cm="1">
        <f t="array" aca="1" ref="Z68" ca="1">INDIRECT(ADDRESS($B68,Z$50+$A68,1,1,$D68))</f>
        <v>0</v>
      </c>
      <c r="AA68" s="1" cm="1">
        <f t="array" aca="1" ref="AA68" ca="1">INDIRECT(ADDRESS($B68,AA$50+$A68,1,1,$D68))</f>
        <v>0</v>
      </c>
      <c r="AB68" s="1" cm="1">
        <f t="array" aca="1" ref="AB68" ca="1">INDIRECT(ADDRESS($B68,AB$50+$A68,1,1,$D68))</f>
        <v>0</v>
      </c>
      <c r="AC68" s="1" cm="1">
        <f t="array" aca="1" ref="AC68" ca="1">INDIRECT(ADDRESS($B68,AC$50+$A68,1,1,$D68))</f>
        <v>0</v>
      </c>
      <c r="AD68" s="1" cm="1">
        <f t="array" aca="1" ref="AD68" ca="1">INDIRECT(ADDRESS($B68,AD$50+$A68,1,1,$D68))</f>
        <v>0</v>
      </c>
      <c r="AE68" s="1" cm="1">
        <f t="array" aca="1" ref="AE68" ca="1">INDIRECT(ADDRESS($B68,AE$50+$A68,1,1,$D68))</f>
        <v>0</v>
      </c>
      <c r="AF68" s="1" cm="1">
        <f t="array" aca="1" ref="AF68" ca="1">INDIRECT(ADDRESS($B68,AF$50+$A68,1,1,$D68))</f>
        <v>0</v>
      </c>
      <c r="AG68" s="1" cm="1">
        <f t="array" aca="1" ref="AG68" ca="1">INDIRECT(ADDRESS($B68,AG$50+$A68,1,1,$D68))</f>
        <v>0</v>
      </c>
      <c r="AH68" s="1" cm="1">
        <f t="array" aca="1" ref="AH68" ca="1">INDIRECT(ADDRESS($B68,AH$50+$A68,1,1,$D68))</f>
        <v>0</v>
      </c>
      <c r="AI68" s="1" cm="1">
        <f t="array" aca="1" ref="AI68" ca="1">INDIRECT(ADDRESS($B68,AI$50+$A68,1,1,$D68))</f>
        <v>0</v>
      </c>
      <c r="AJ68" s="1" cm="1">
        <f t="array" aca="1" ref="AJ68" ca="1">INDIRECT(ADDRESS($B68,AJ$50+$A68,1,1,$D68))</f>
        <v>0</v>
      </c>
      <c r="AK68" s="1" cm="1">
        <f t="array" aca="1" ref="AK68" ca="1">INDIRECT(ADDRESS($B68,AK$50+$A68,1,1,$D68))</f>
        <v>0</v>
      </c>
      <c r="AL68" s="1" cm="1">
        <f t="array" aca="1" ref="AL68" ca="1">INDIRECT(ADDRESS($B68,AL$50+$A68,1,1,$D68))</f>
        <v>0</v>
      </c>
      <c r="AM68" s="1" cm="1">
        <f t="array" aca="1" ref="AM68" ca="1">INDIRECT(ADDRESS($B68,AM$50+$A68,1,1,$D68))</f>
        <v>0</v>
      </c>
      <c r="AN68" s="1" cm="1">
        <f t="array" aca="1" ref="AN68" ca="1">INDIRECT(ADDRESS($B68,AN$50+$A68,1,1,$D68))</f>
        <v>0</v>
      </c>
      <c r="AO68" s="1" cm="1">
        <f t="array" aca="1" ref="AO68" ca="1">INDIRECT(ADDRESS($B68,AO$50+$A68,1,1,$D68))</f>
        <v>0</v>
      </c>
      <c r="AP68" s="1" cm="1">
        <f t="array" aca="1" ref="AP68" ca="1">INDIRECT(ADDRESS($B68,AP$50+$A68,1,1,$D68))</f>
        <v>0</v>
      </c>
      <c r="AQ68" s="1" cm="1">
        <f t="array" aca="1" ref="AQ68" ca="1">INDIRECT(ADDRESS($B68,AQ$50+$A68,1,1,$D68))</f>
        <v>0</v>
      </c>
      <c r="AR68" s="1" cm="1">
        <f t="array" aca="1" ref="AR68" ca="1">INDIRECT(ADDRESS($B68,AR$50+$A68,1,1,$D68))</f>
        <v>0</v>
      </c>
      <c r="AS68" s="1" cm="1">
        <f t="array" aca="1" ref="AS68" ca="1">INDIRECT(ADDRESS($B68,AS$50+$A68,1,1,$D68))</f>
        <v>0</v>
      </c>
      <c r="AT68" s="1" cm="1">
        <f t="array" aca="1" ref="AT68" ca="1">INDIRECT(ADDRESS($B68,AT$50+$A68,1,1,$D68))</f>
        <v>0</v>
      </c>
      <c r="AU68" s="1" cm="1">
        <f t="array" aca="1" ref="AU68" ca="1">INDIRECT(ADDRESS($B68,AU$50+$A68,1,1,$D68))</f>
        <v>0</v>
      </c>
      <c r="AV68" s="1" cm="1">
        <f t="array" aca="1" ref="AV68" ca="1">INDIRECT(ADDRESS($B68,AV$50+$A68,1,1,$D68))</f>
        <v>0</v>
      </c>
      <c r="AW68" s="1" cm="1">
        <f t="array" aca="1" ref="AW68" ca="1">INDIRECT(ADDRESS($B68,AW$50+$A68,1,1,$D68))</f>
        <v>0</v>
      </c>
      <c r="AX68" s="1" cm="1">
        <f t="array" aca="1" ref="AX68" ca="1">INDIRECT(ADDRESS($B68,AX$50+$A68,1,1,$D68))</f>
        <v>0</v>
      </c>
      <c r="AY68" s="1" cm="1">
        <f t="array" aca="1" ref="AY68" ca="1">INDIRECT(ADDRESS($B68,AY$50+$A68,1,1,$D68))</f>
        <v>0</v>
      </c>
      <c r="AZ68" s="1" cm="1">
        <f t="array" aca="1" ref="AZ68" ca="1">INDIRECT(ADDRESS($B68,AZ$50+$A68,1,1,$D68))</f>
        <v>0</v>
      </c>
      <c r="BA68" s="1" cm="1">
        <f t="array" aca="1" ref="BA68" ca="1">INDIRECT(ADDRESS($B68,BA$50+$A68,1,1,$D68))</f>
        <v>0</v>
      </c>
      <c r="BB68" s="1" cm="1">
        <f t="array" aca="1" ref="BB68" ca="1">INDIRECT(ADDRESS($B68,BB$50+$A68,1,1,$D68))</f>
        <v>0</v>
      </c>
      <c r="BC68" s="1" cm="1">
        <f t="array" aca="1" ref="BC68" ca="1">INDIRECT(ADDRESS($B68,BC$50+$A68,1,1,$D68))</f>
        <v>0</v>
      </c>
      <c r="BD68" s="1" cm="1">
        <f t="array" aca="1" ref="BD68" ca="1">INDIRECT(ADDRESS($B68,BD$50+$A68,1,1,$D68))</f>
        <v>0</v>
      </c>
      <c r="BE68" s="1" cm="1">
        <f t="array" aca="1" ref="BE68" ca="1">INDIRECT(ADDRESS($B68,BE$50+$A68,1,1,$D68))</f>
        <v>0</v>
      </c>
      <c r="BF68" s="1" cm="1">
        <f t="array" aca="1" ref="BF68" ca="1">INDIRECT(ADDRESS($B68,BF$50+$A68,1,1,$D68))</f>
        <v>0</v>
      </c>
      <c r="BG68" s="1" cm="1">
        <f t="array" aca="1" ref="BG68" ca="1">INDIRECT(ADDRESS($B68,BG$50+$A68,1,1,$D68))</f>
        <v>0</v>
      </c>
      <c r="BH68" s="1" cm="1">
        <f t="array" aca="1" ref="BH68" ca="1">INDIRECT(ADDRESS($B68,BH$50+$A68,1,1,$D68))</f>
        <v>0</v>
      </c>
      <c r="BI68" s="1" cm="1">
        <f t="array" aca="1" ref="BI68" ca="1">INDIRECT(ADDRESS($B68,BI$50+$A68,1,1,$D68))</f>
        <v>0</v>
      </c>
      <c r="BJ68" s="1" cm="1">
        <f t="array" aca="1" ref="BJ68" ca="1">INDIRECT(ADDRESS($B68,BJ$50+$A68,1,1,$D68))</f>
        <v>0</v>
      </c>
      <c r="BK68" s="1" cm="1">
        <f t="array" aca="1" ref="BK68" ca="1">INDIRECT(ADDRESS($B68,BK$50+$A68,1,1,$D68))</f>
        <v>0</v>
      </c>
      <c r="BL68" s="1" cm="1">
        <f t="array" aca="1" ref="BL68" ca="1">INDIRECT(ADDRESS($B68,BL$50+$A68,1,1,$D68))</f>
        <v>0</v>
      </c>
      <c r="BM68" s="1" cm="1">
        <f t="array" aca="1" ref="BM68" ca="1">INDIRECT(ADDRESS($B68,BM$50+$A68,1,1,$D68))</f>
        <v>0</v>
      </c>
      <c r="BN68" s="1" cm="1">
        <f t="array" aca="1" ref="BN68" ca="1">INDIRECT(ADDRESS($B68,BN$50+$A68,1,1,$D68))</f>
        <v>0</v>
      </c>
      <c r="BO68" s="1" cm="1">
        <f t="array" aca="1" ref="BO68" ca="1">INDIRECT(ADDRESS($B68,BO$50+$A68,1,1,$D68))</f>
        <v>0</v>
      </c>
      <c r="BP68" s="1" cm="1">
        <f t="array" aca="1" ref="BP68" ca="1">INDIRECT(ADDRESS($B68,BP$50+$A68,1,1,$D68))</f>
        <v>0</v>
      </c>
      <c r="BQ68" s="1" cm="1">
        <f t="array" aca="1" ref="BQ68" ca="1">INDIRECT(ADDRESS($B68,BQ$50+$A68,1,1,$D68))</f>
        <v>0</v>
      </c>
      <c r="BR68" s="1" cm="1">
        <f t="array" aca="1" ref="BR68" ca="1">INDIRECT(ADDRESS($B68,BR$50+$A68,1,1,$D68))</f>
        <v>0</v>
      </c>
      <c r="BS68" s="1" cm="1">
        <f t="array" aca="1" ref="BS68" ca="1">INDIRECT(ADDRESS($B68,BS$50+$A68,1,1,$D68))</f>
        <v>0</v>
      </c>
      <c r="BT68" s="1" cm="1">
        <f t="array" aca="1" ref="BT68" ca="1">INDIRECT(ADDRESS($B68,BT$50+$A68,1,1,$D68))</f>
        <v>0</v>
      </c>
      <c r="BU68" s="1" cm="1">
        <f t="array" aca="1" ref="BU68" ca="1">INDIRECT(ADDRESS($B68,BU$50+$A68,1,1,$D68))</f>
        <v>0</v>
      </c>
      <c r="BV68" s="1" cm="1">
        <f t="array" aca="1" ref="BV68" ca="1">INDIRECT(ADDRESS($B68,BV$50+$A68,1,1,$D68))</f>
        <v>0</v>
      </c>
    </row>
    <row r="69" spans="1:74" x14ac:dyDescent="0.25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</row>
    <row r="70" spans="1:74" x14ac:dyDescent="0.25">
      <c r="A70">
        <v>6</v>
      </c>
      <c r="B70">
        <f ca="1">MATCH("Country/Region",INDIRECT("'Confirmed'!A:A"),0)</f>
        <v>1</v>
      </c>
      <c r="C70" s="4" t="s">
        <v>138</v>
      </c>
      <c r="D70" s="4"/>
      <c r="E70" s="5" t="str" cm="1">
        <f t="array" aca="1" ref="E70" ca="1">INDIRECT(ADDRESS($B70,E$50+$A70,1,1,$C70))</f>
        <v>2020-01-22</v>
      </c>
      <c r="F70" s="5" t="str" cm="1">
        <f t="array" aca="1" ref="F70" ca="1">INDIRECT(ADDRESS($B70,F$50+$A70,1,1,$C70))</f>
        <v>2020-01-23</v>
      </c>
      <c r="G70" s="5" t="str" cm="1">
        <f t="array" aca="1" ref="G70" ca="1">INDIRECT(ADDRESS($B70,G$50+$A70,1,1,$C70))</f>
        <v>2020-01-24</v>
      </c>
      <c r="H70" s="5" t="str" cm="1">
        <f t="array" aca="1" ref="H70" ca="1">INDIRECT(ADDRESS($B70,H$50+$A70,1,1,$C70))</f>
        <v>2020-01-25</v>
      </c>
      <c r="I70" s="5" t="str" cm="1">
        <f t="array" aca="1" ref="I70" ca="1">INDIRECT(ADDRESS($B70,I$50+$A70,1,1,$C70))</f>
        <v>2020-01-26</v>
      </c>
      <c r="J70" s="5" t="str" cm="1">
        <f t="array" aca="1" ref="J70" ca="1">INDIRECT(ADDRESS($B70,J$50+$A70,1,1,$C70))</f>
        <v>2020-01-27</v>
      </c>
      <c r="K70" s="5" t="str" cm="1">
        <f t="array" aca="1" ref="K70" ca="1">INDIRECT(ADDRESS($B70,K$50+$A70,1,1,$C70))</f>
        <v>2020-01-28</v>
      </c>
      <c r="L70" s="5" t="str" cm="1">
        <f t="array" aca="1" ref="L70" ca="1">INDIRECT(ADDRESS($B70,L$50+$A70,1,1,$C70))</f>
        <v>2020-01-29</v>
      </c>
      <c r="M70" s="5" t="str" cm="1">
        <f t="array" aca="1" ref="M70" ca="1">INDIRECT(ADDRESS($B70,M$50+$A70,1,1,$C70))</f>
        <v>2020-01-30</v>
      </c>
      <c r="N70" s="5" t="str" cm="1">
        <f t="array" aca="1" ref="N70" ca="1">INDIRECT(ADDRESS($B70,N$50+$A70,1,1,$C70))</f>
        <v>2020-01-31</v>
      </c>
      <c r="O70" s="5" t="str" cm="1">
        <f t="array" aca="1" ref="O70" ca="1">INDIRECT(ADDRESS($B70,O$50+$A70,1,1,$C70))</f>
        <v>2020-02-01</v>
      </c>
      <c r="P70" s="5" t="str" cm="1">
        <f t="array" aca="1" ref="P70" ca="1">INDIRECT(ADDRESS($B70,P$50+$A70,1,1,$C70))</f>
        <v>2020-02-02</v>
      </c>
      <c r="Q70" s="5" t="str" cm="1">
        <f t="array" aca="1" ref="Q70" ca="1">INDIRECT(ADDRESS($B70,Q$50+$A70,1,1,$C70))</f>
        <v>2020-02-03</v>
      </c>
      <c r="R70" s="5" t="str" cm="1">
        <f t="array" aca="1" ref="R70" ca="1">INDIRECT(ADDRESS($B70,R$50+$A70,1,1,$C70))</f>
        <v>2020-02-04</v>
      </c>
      <c r="S70" s="5" t="str" cm="1">
        <f t="array" aca="1" ref="S70" ca="1">INDIRECT(ADDRESS($B70,S$50+$A70,1,1,$C70))</f>
        <v>2020-02-05</v>
      </c>
      <c r="T70" s="5" t="str" cm="1">
        <f t="array" aca="1" ref="T70" ca="1">INDIRECT(ADDRESS($B70,T$50+$A70,1,1,$C70))</f>
        <v>2020-02-06</v>
      </c>
      <c r="U70" s="5" t="str" cm="1">
        <f t="array" aca="1" ref="U70" ca="1">INDIRECT(ADDRESS($B70,U$50+$A70,1,1,$C70))</f>
        <v>2020-02-07</v>
      </c>
      <c r="V70" s="5" t="str" cm="1">
        <f t="array" aca="1" ref="V70" ca="1">INDIRECT(ADDRESS($B70,V$50+$A70,1,1,$C70))</f>
        <v>2020-02-08</v>
      </c>
      <c r="W70" s="5" t="str" cm="1">
        <f t="array" aca="1" ref="W70" ca="1">INDIRECT(ADDRESS($B70,W$50+$A70,1,1,$C70))</f>
        <v>2020-02-09</v>
      </c>
      <c r="X70" s="5" t="str" cm="1">
        <f t="array" aca="1" ref="X70" ca="1">INDIRECT(ADDRESS($B70,X$50+$A70,1,1,$C70))</f>
        <v>2020-02-10</v>
      </c>
      <c r="Y70" s="5" t="str" cm="1">
        <f t="array" aca="1" ref="Y70" ca="1">INDIRECT(ADDRESS($B70,Y$50+$A70,1,1,$C70))</f>
        <v>2020-02-11</v>
      </c>
      <c r="Z70" s="5" t="str" cm="1">
        <f t="array" aca="1" ref="Z70" ca="1">INDIRECT(ADDRESS($B70,Z$50+$A70,1,1,$C70))</f>
        <v>2020-02-12</v>
      </c>
      <c r="AA70" s="5" t="str" cm="1">
        <f t="array" aca="1" ref="AA70" ca="1">INDIRECT(ADDRESS($B70,AA$50+$A70,1,1,$C70))</f>
        <v>2020-02-13</v>
      </c>
      <c r="AB70" s="5" t="str" cm="1">
        <f t="array" aca="1" ref="AB70" ca="1">INDIRECT(ADDRESS($B70,AB$50+$A70,1,1,$C70))</f>
        <v>2020-02-14</v>
      </c>
      <c r="AC70" s="5" t="str" cm="1">
        <f t="array" aca="1" ref="AC70" ca="1">INDIRECT(ADDRESS($B70,AC$50+$A70,1,1,$C70))</f>
        <v>2020-02-15</v>
      </c>
      <c r="AD70" s="5" t="str" cm="1">
        <f t="array" aca="1" ref="AD70" ca="1">INDIRECT(ADDRESS($B70,AD$50+$A70,1,1,$C70))</f>
        <v>2020-02-16</v>
      </c>
      <c r="AE70" s="5" t="str" cm="1">
        <f t="array" aca="1" ref="AE70" ca="1">INDIRECT(ADDRESS($B70,AE$50+$A70,1,1,$C70))</f>
        <v>2020-02-17</v>
      </c>
      <c r="AF70" s="5" t="str" cm="1">
        <f t="array" aca="1" ref="AF70" ca="1">INDIRECT(ADDRESS($B70,AF$50+$A70,1,1,$C70))</f>
        <v>2020-02-18</v>
      </c>
      <c r="AG70" s="5" t="str" cm="1">
        <f t="array" aca="1" ref="AG70" ca="1">INDIRECT(ADDRESS($B70,AG$50+$A70,1,1,$C70))</f>
        <v>2020-02-19</v>
      </c>
      <c r="AH70" s="5" t="str" cm="1">
        <f t="array" aca="1" ref="AH70" ca="1">INDIRECT(ADDRESS($B70,AH$50+$A70,1,1,$C70))</f>
        <v>2020-02-20</v>
      </c>
      <c r="AI70" s="5" t="str" cm="1">
        <f t="array" aca="1" ref="AI70" ca="1">INDIRECT(ADDRESS($B70,AI$50+$A70,1,1,$C70))</f>
        <v>2020-02-21</v>
      </c>
      <c r="AJ70" s="5" t="str" cm="1">
        <f t="array" aca="1" ref="AJ70" ca="1">INDIRECT(ADDRESS($B70,AJ$50+$A70,1,1,$C70))</f>
        <v>2020-02-22</v>
      </c>
      <c r="AK70" s="5" t="str" cm="1">
        <f t="array" aca="1" ref="AK70" ca="1">INDIRECT(ADDRESS($B70,AK$50+$A70,1,1,$C70))</f>
        <v>2020-02-23</v>
      </c>
      <c r="AL70" s="5" t="str" cm="1">
        <f t="array" aca="1" ref="AL70" ca="1">INDIRECT(ADDRESS($B70,AL$50+$A70,1,1,$C70))</f>
        <v>2020-02-24</v>
      </c>
      <c r="AM70" s="5" t="str" cm="1">
        <f t="array" aca="1" ref="AM70" ca="1">INDIRECT(ADDRESS($B70,AM$50+$A70,1,1,$C70))</f>
        <v>2020-02-25</v>
      </c>
      <c r="AN70" s="5" t="str" cm="1">
        <f t="array" aca="1" ref="AN70" ca="1">INDIRECT(ADDRESS($B70,AN$50+$A70,1,1,$C70))</f>
        <v>2020-02-26</v>
      </c>
      <c r="AO70" s="5" t="str" cm="1">
        <f t="array" aca="1" ref="AO70" ca="1">INDIRECT(ADDRESS($B70,AO$50+$A70,1,1,$C70))</f>
        <v>2020-02-27</v>
      </c>
      <c r="AP70" s="5" t="str" cm="1">
        <f t="array" aca="1" ref="AP70" ca="1">INDIRECT(ADDRESS($B70,AP$50+$A70,1,1,$C70))</f>
        <v>2020-02-28</v>
      </c>
      <c r="AQ70" s="5" t="str" cm="1">
        <f t="array" aca="1" ref="AQ70" ca="1">INDIRECT(ADDRESS($B70,AQ$50+$A70,1,1,$C70))</f>
        <v>2020-02-29</v>
      </c>
      <c r="AR70" s="5" t="str" cm="1">
        <f t="array" aca="1" ref="AR70" ca="1">INDIRECT(ADDRESS($B70,AR$50+$A70,1,1,$C70))</f>
        <v>2020-03-01</v>
      </c>
      <c r="AS70" s="5" t="str" cm="1">
        <f t="array" aca="1" ref="AS70" ca="1">INDIRECT(ADDRESS($B70,AS$50+$A70,1,1,$C70))</f>
        <v>2020-03-02</v>
      </c>
      <c r="AT70" s="5" t="str" cm="1">
        <f t="array" aca="1" ref="AT70" ca="1">INDIRECT(ADDRESS($B70,AT$50+$A70,1,1,$C70))</f>
        <v>2020-03-03</v>
      </c>
      <c r="AU70" s="5" t="str" cm="1">
        <f t="array" aca="1" ref="AU70" ca="1">INDIRECT(ADDRESS($B70,AU$50+$A70,1,1,$C70))</f>
        <v>2020-03-04</v>
      </c>
      <c r="AV70" s="5" t="str" cm="1">
        <f t="array" aca="1" ref="AV70" ca="1">INDIRECT(ADDRESS($B70,AV$50+$A70,1,1,$C70))</f>
        <v>2020-03-05</v>
      </c>
      <c r="AW70" s="5" t="str" cm="1">
        <f t="array" aca="1" ref="AW70" ca="1">INDIRECT(ADDRESS($B70,AW$50+$A70,1,1,$C70))</f>
        <v>2020-03-06</v>
      </c>
      <c r="AX70" s="5" t="str" cm="1">
        <f t="array" aca="1" ref="AX70" ca="1">INDIRECT(ADDRESS($B70,AX$50+$A70,1,1,$C70))</f>
        <v>2020-03-07</v>
      </c>
      <c r="AY70" s="5" t="str" cm="1">
        <f t="array" aca="1" ref="AY70" ca="1">INDIRECT(ADDRESS($B70,AY$50+$A70,1,1,$C70))</f>
        <v>2020-03-08</v>
      </c>
      <c r="AZ70" s="5" t="str" cm="1">
        <f t="array" aca="1" ref="AZ70" ca="1">INDIRECT(ADDRESS($B70,AZ$50+$A70,1,1,$C70))</f>
        <v>2020-03-09</v>
      </c>
      <c r="BA70" s="5" t="str" cm="1">
        <f t="array" aca="1" ref="BA70" ca="1">INDIRECT(ADDRESS($B70,BA$50+$A70,1,1,$C70))</f>
        <v>2020-03-10</v>
      </c>
      <c r="BB70" s="5" t="str" cm="1">
        <f t="array" aca="1" ref="BB70" ca="1">INDIRECT(ADDRESS($B70,BB$50+$A70,1,1,$C70))</f>
        <v>2020-03-11</v>
      </c>
      <c r="BC70" s="5" t="str" cm="1">
        <f t="array" aca="1" ref="BC70" ca="1">INDIRECT(ADDRESS($B70,BC$50+$A70,1,1,$C70))</f>
        <v>2020-03-12</v>
      </c>
      <c r="BD70" s="5" t="str" cm="1">
        <f t="array" aca="1" ref="BD70" ca="1">INDIRECT(ADDRESS($B70,BD$50+$A70,1,1,$C70))</f>
        <v>2020-03-13</v>
      </c>
      <c r="BE70" s="5" t="str" cm="1">
        <f t="array" aca="1" ref="BE70" ca="1">INDIRECT(ADDRESS($B70,BE$50+$A70,1,1,$C70))</f>
        <v>2020-03-14</v>
      </c>
      <c r="BF70" s="5" t="str" cm="1">
        <f t="array" aca="1" ref="BF70" ca="1">INDIRECT(ADDRESS($B70,BF$50+$A70,1,1,$C70))</f>
        <v>2020-03-15</v>
      </c>
      <c r="BG70" s="5" t="str" cm="1">
        <f t="array" aca="1" ref="BG70" ca="1">INDIRECT(ADDRESS($B70,BG$50+$A70,1,1,$C70))</f>
        <v>2020-03-16</v>
      </c>
      <c r="BH70" s="5" t="str" cm="1">
        <f t="array" aca="1" ref="BH70" ca="1">INDIRECT(ADDRESS($B70,BH$50+$A70,1,1,$C70))</f>
        <v>2020-03-17</v>
      </c>
      <c r="BI70" s="5" t="str" cm="1">
        <f t="array" aca="1" ref="BI70" ca="1">INDIRECT(ADDRESS($B70,BI$50+$A70,1,1,$C70))</f>
        <v>2020-03-18</v>
      </c>
      <c r="BJ70" s="5" t="str" cm="1">
        <f t="array" aca="1" ref="BJ70" ca="1">INDIRECT(ADDRESS($B70,BJ$50+$A70,1,1,$C70))</f>
        <v>2020-03-19</v>
      </c>
      <c r="BK70" s="5" t="str" cm="1">
        <f t="array" aca="1" ref="BK70" ca="1">INDIRECT(ADDRESS($B70,BK$50+$A70,1,1,$C70))</f>
        <v>2020-03-20</v>
      </c>
      <c r="BL70" s="5" t="str" cm="1">
        <f t="array" aca="1" ref="BL70" ca="1">INDIRECT(ADDRESS($B70,BL$50+$A70,1,1,$C70))</f>
        <v>2020-03-21</v>
      </c>
      <c r="BM70" s="5" t="str" cm="1">
        <f t="array" aca="1" ref="BM70" ca="1">INDIRECT(ADDRESS($B70,BM$50+$A70,1,1,$C70))</f>
        <v>2020-03-22</v>
      </c>
      <c r="BN70" s="5" t="str" cm="1">
        <f t="array" aca="1" ref="BN70" ca="1">INDIRECT(ADDRESS($B70,BN$50+$A70,1,1,$C70))</f>
        <v>2020-03-23</v>
      </c>
      <c r="BO70" s="5" t="str" cm="1">
        <f t="array" aca="1" ref="BO70" ca="1">INDIRECT(ADDRESS($B70,BO$50+$A70,1,1,$C70))</f>
        <v>2020-03-24</v>
      </c>
      <c r="BP70" s="5" t="str" cm="1">
        <f t="array" aca="1" ref="BP70" ca="1">INDIRECT(ADDRESS($B70,BP$50+$A70,1,1,$C70))</f>
        <v>2020-03-25</v>
      </c>
      <c r="BQ70" s="5" t="str" cm="1">
        <f t="array" aca="1" ref="BQ70" ca="1">INDIRECT(ADDRESS($B70,BQ$50+$A70,1,1,$C70))</f>
        <v>2020-03-26</v>
      </c>
      <c r="BR70" s="5" t="str" cm="1">
        <f t="array" aca="1" ref="BR70" ca="1">INDIRECT(ADDRESS($B70,BR$50+$A70,1,1,$C70))</f>
        <v>2020-03-27</v>
      </c>
      <c r="BS70" s="5" t="str" cm="1">
        <f t="array" aca="1" ref="BS70" ca="1">INDIRECT(ADDRESS($B70,BS$50+$A70,1,1,$C70))</f>
        <v>2020-03-28</v>
      </c>
      <c r="BT70" s="5" t="str" cm="1">
        <f t="array" aca="1" ref="BT70" ca="1">INDIRECT(ADDRESS($B70,BT$50+$A70,1,1,$C70))</f>
        <v>2020-03-29</v>
      </c>
      <c r="BU70" s="5" t="str" cm="1">
        <f t="array" aca="1" ref="BU70" ca="1">INDIRECT(ADDRESS($B70,BU$50+$A70,1,1,$C70))</f>
        <v>2020-03-30</v>
      </c>
      <c r="BV70" s="5" cm="1">
        <f t="array" aca="1" ref="BV70" ca="1">INDIRECT(ADDRESS($B70,BV$50+$A70,1,1,$C70))</f>
        <v>0</v>
      </c>
    </row>
    <row r="71" spans="1:74" x14ac:dyDescent="0.25">
      <c r="A71">
        <v>6</v>
      </c>
      <c r="B71">
        <f ca="1">MATCH($C71,INDIRECT("'"&amp;$C$70&amp;"'!A:A"),0)</f>
        <v>9</v>
      </c>
      <c r="C71" s="1" t="str">
        <f>C8</f>
        <v>Italy</v>
      </c>
      <c r="D71" t="str">
        <f>C70</f>
        <v>Recovered Predicted</v>
      </c>
      <c r="E71" s="1" cm="1">
        <f t="array" aca="1" ref="E71" ca="1">INDIRECT(ADDRESS($B71,E$50+$A71,1,1,$D71))</f>
        <v>0</v>
      </c>
      <c r="F71" s="1" cm="1">
        <f t="array" aca="1" ref="F71" ca="1">INDIRECT(ADDRESS($B71,F$50+$A71,1,1,$D71))</f>
        <v>0</v>
      </c>
      <c r="G71" s="1" cm="1">
        <f t="array" aca="1" ref="G71" ca="1">INDIRECT(ADDRESS($B71,G$50+$A71,1,1,$D71))</f>
        <v>0</v>
      </c>
      <c r="H71" s="1" cm="1">
        <f t="array" aca="1" ref="H71" ca="1">INDIRECT(ADDRESS($B71,H$50+$A71,1,1,$D71))</f>
        <v>0</v>
      </c>
      <c r="I71" s="1" cm="1">
        <f t="array" aca="1" ref="I71" ca="1">INDIRECT(ADDRESS($B71,I$50+$A71,1,1,$D71))</f>
        <v>0</v>
      </c>
      <c r="J71" s="1" cm="1">
        <f t="array" aca="1" ref="J71" ca="1">INDIRECT(ADDRESS($B71,J$50+$A71,1,1,$D71))</f>
        <v>0</v>
      </c>
      <c r="K71" s="1" cm="1">
        <f t="array" aca="1" ref="K71" ca="1">INDIRECT(ADDRESS($B71,K$50+$A71,1,1,$D71))</f>
        <v>0</v>
      </c>
      <c r="L71" s="1" cm="1">
        <f t="array" aca="1" ref="L71" ca="1">INDIRECT(ADDRESS($B71,L$50+$A71,1,1,$D71))</f>
        <v>0</v>
      </c>
      <c r="M71" s="1" cm="1">
        <f t="array" aca="1" ref="M71" ca="1">INDIRECT(ADDRESS($B71,M$50+$A71,1,1,$D71))</f>
        <v>0</v>
      </c>
      <c r="N71" s="1" cm="1">
        <f t="array" aca="1" ref="N71" ca="1">INDIRECT(ADDRESS($B71,N$50+$A71,1,1,$D71))</f>
        <v>0</v>
      </c>
      <c r="O71" s="1" cm="1">
        <f t="array" aca="1" ref="O71" ca="1">INDIRECT(ADDRESS($B71,O$50+$A71,1,1,$D71))</f>
        <v>0</v>
      </c>
      <c r="P71" s="1" cm="1">
        <f t="array" aca="1" ref="P71" ca="1">INDIRECT(ADDRESS($B71,P$50+$A71,1,1,$D71))</f>
        <v>0</v>
      </c>
      <c r="Q71" s="1" cm="1">
        <f t="array" aca="1" ref="Q71" ca="1">INDIRECT(ADDRESS($B71,Q$50+$A71,1,1,$D71))</f>
        <v>0</v>
      </c>
      <c r="R71" s="1" cm="1">
        <f t="array" aca="1" ref="R71" ca="1">INDIRECT(ADDRESS($B71,R$50+$A71,1,1,$D71))</f>
        <v>0</v>
      </c>
      <c r="S71" s="1" cm="1">
        <f t="array" aca="1" ref="S71" ca="1">INDIRECT(ADDRESS($B71,S$50+$A71,1,1,$D71))</f>
        <v>0</v>
      </c>
      <c r="T71" s="1" cm="1">
        <f t="array" aca="1" ref="T71" ca="1">INDIRECT(ADDRESS($B71,T$50+$A71,1,1,$D71))</f>
        <v>0</v>
      </c>
      <c r="U71" s="1" cm="1">
        <f t="array" aca="1" ref="U71" ca="1">INDIRECT(ADDRESS($B71,U$50+$A71,1,1,$D71))</f>
        <v>0</v>
      </c>
      <c r="V71" s="1" cm="1">
        <f t="array" aca="1" ref="V71" ca="1">INDIRECT(ADDRESS($B71,V$50+$A71,1,1,$D71))</f>
        <v>0</v>
      </c>
      <c r="W71" s="1" cm="1">
        <f t="array" aca="1" ref="W71" ca="1">INDIRECT(ADDRESS($B71,W$50+$A71,1,1,$D71))</f>
        <v>0</v>
      </c>
      <c r="X71" s="1" cm="1">
        <f t="array" aca="1" ref="X71" ca="1">INDIRECT(ADDRESS($B71,X$50+$A71,1,1,$D71))</f>
        <v>0</v>
      </c>
      <c r="Y71" s="1" cm="1">
        <f t="array" aca="1" ref="Y71" ca="1">INDIRECT(ADDRESS($B71,Y$50+$A71,1,1,$D71))</f>
        <v>0</v>
      </c>
      <c r="Z71" s="1" cm="1">
        <f t="array" aca="1" ref="Z71" ca="1">INDIRECT(ADDRESS($B71,Z$50+$A71,1,1,$D71))</f>
        <v>0</v>
      </c>
      <c r="AA71" s="1" cm="1">
        <f t="array" aca="1" ref="AA71" ca="1">INDIRECT(ADDRESS($B71,AA$50+$A71,1,1,$D71))</f>
        <v>0</v>
      </c>
      <c r="AB71" s="1" cm="1">
        <f t="array" aca="1" ref="AB71" ca="1">INDIRECT(ADDRESS($B71,AB$50+$A71,1,1,$D71))</f>
        <v>2</v>
      </c>
      <c r="AC71" s="1" cm="1">
        <f t="array" aca="1" ref="AC71" ca="1">INDIRECT(ADDRESS($B71,AC$50+$A71,1,1,$D71))</f>
        <v>2</v>
      </c>
      <c r="AD71" s="1" cm="1">
        <f t="array" aca="1" ref="AD71" ca="1">INDIRECT(ADDRESS($B71,AD$50+$A71,1,1,$D71))</f>
        <v>2</v>
      </c>
      <c r="AE71" s="1" cm="1">
        <f t="array" aca="1" ref="AE71" ca="1">INDIRECT(ADDRESS($B71,AE$50+$A71,1,1,$D71))</f>
        <v>2</v>
      </c>
      <c r="AF71" s="1" cm="1">
        <f t="array" aca="1" ref="AF71" ca="1">INDIRECT(ADDRESS($B71,AF$50+$A71,1,1,$D71))</f>
        <v>2</v>
      </c>
      <c r="AG71" s="1" cm="1">
        <f t="array" aca="1" ref="AG71" ca="1">INDIRECT(ADDRESS($B71,AG$50+$A71,1,1,$D71))</f>
        <v>2</v>
      </c>
      <c r="AH71" s="1" cm="1">
        <f t="array" aca="1" ref="AH71" ca="1">INDIRECT(ADDRESS($B71,AH$50+$A71,1,1,$D71))</f>
        <v>2</v>
      </c>
      <c r="AI71" s="1" cm="1">
        <f t="array" aca="1" ref="AI71" ca="1">INDIRECT(ADDRESS($B71,AI$50+$A71,1,1,$D71))</f>
        <v>2</v>
      </c>
      <c r="AJ71" s="1" cm="1">
        <f t="array" aca="1" ref="AJ71" ca="1">INDIRECT(ADDRESS($B71,AJ$50+$A71,1,1,$D71))</f>
        <v>1</v>
      </c>
      <c r="AK71" s="1" cm="1">
        <f t="array" aca="1" ref="AK71" ca="1">INDIRECT(ADDRESS($B71,AK$50+$A71,1,1,$D71))</f>
        <v>0</v>
      </c>
      <c r="AL71" s="1" cm="1">
        <f t="array" aca="1" ref="AL71" ca="1">INDIRECT(ADDRESS($B71,AL$50+$A71,1,1,$D71))</f>
        <v>0</v>
      </c>
      <c r="AM71" s="1" cm="1">
        <f t="array" aca="1" ref="AM71" ca="1">INDIRECT(ADDRESS($B71,AM$50+$A71,1,1,$D71))</f>
        <v>0</v>
      </c>
      <c r="AN71" s="1" cm="1">
        <f t="array" aca="1" ref="AN71" ca="1">INDIRECT(ADDRESS($B71,AN$50+$A71,1,1,$D71))</f>
        <v>0</v>
      </c>
      <c r="AO71" s="1" cm="1">
        <f t="array" aca="1" ref="AO71" ca="1">INDIRECT(ADDRESS($B71,AO$50+$A71,1,1,$D71))</f>
        <v>0</v>
      </c>
      <c r="AP71" s="1" cm="1">
        <f t="array" aca="1" ref="AP71" ca="1">INDIRECT(ADDRESS($B71,AP$50+$A71,1,1,$D71))</f>
        <v>0</v>
      </c>
      <c r="AQ71" s="1" cm="1">
        <f t="array" aca="1" ref="AQ71" ca="1">INDIRECT(ADDRESS($B71,AQ$50+$A71,1,1,$D71))</f>
        <v>0</v>
      </c>
      <c r="AR71" s="1" cm="1">
        <f t="array" aca="1" ref="AR71" ca="1">INDIRECT(ADDRESS($B71,AR$50+$A71,1,1,$D71))</f>
        <v>0</v>
      </c>
      <c r="AS71" s="1" cm="1">
        <f t="array" aca="1" ref="AS71" ca="1">INDIRECT(ADDRESS($B71,AS$50+$A71,1,1,$D71))</f>
        <v>0</v>
      </c>
      <c r="AT71" s="1" cm="1">
        <f t="array" aca="1" ref="AT71" ca="1">INDIRECT(ADDRESS($B71,AT$50+$A71,1,1,$D71))</f>
        <v>0</v>
      </c>
      <c r="AU71" s="1" cm="1">
        <f t="array" aca="1" ref="AU71" ca="1">INDIRECT(ADDRESS($B71,AU$50+$A71,1,1,$D71))</f>
        <v>0</v>
      </c>
      <c r="AV71" s="1" cm="1">
        <f t="array" aca="1" ref="AV71" ca="1">INDIRECT(ADDRESS($B71,AV$50+$A71,1,1,$D71))</f>
        <v>0</v>
      </c>
      <c r="AW71" s="1" cm="1">
        <f t="array" aca="1" ref="AW71" ca="1">INDIRECT(ADDRESS($B71,AW$50+$A71,1,1,$D71))</f>
        <v>0</v>
      </c>
      <c r="AX71" s="1" cm="1">
        <f t="array" aca="1" ref="AX71" ca="1">INDIRECT(ADDRESS($B71,AX$50+$A71,1,1,$D71))</f>
        <v>0</v>
      </c>
      <c r="AY71" s="1" cm="1">
        <f t="array" aca="1" ref="AY71" ca="1">INDIRECT(ADDRESS($B71,AY$50+$A71,1,1,$D71))</f>
        <v>0</v>
      </c>
      <c r="AZ71" s="1" cm="1">
        <f t="array" aca="1" ref="AZ71" ca="1">INDIRECT(ADDRESS($B71,AZ$50+$A71,1,1,$D71))</f>
        <v>0</v>
      </c>
      <c r="BA71" s="1" cm="1">
        <f t="array" aca="1" ref="BA71" ca="1">INDIRECT(ADDRESS($B71,BA$50+$A71,1,1,$D71))</f>
        <v>0</v>
      </c>
      <c r="BB71" s="1" cm="1">
        <f t="array" aca="1" ref="BB71" ca="1">INDIRECT(ADDRESS($B71,BB$50+$A71,1,1,$D71))</f>
        <v>0</v>
      </c>
      <c r="BC71" s="1" cm="1">
        <f t="array" aca="1" ref="BC71" ca="1">INDIRECT(ADDRESS($B71,BC$50+$A71,1,1,$D71))</f>
        <v>0</v>
      </c>
      <c r="BD71" s="1" cm="1">
        <f t="array" aca="1" ref="BD71" ca="1">INDIRECT(ADDRESS($B71,BD$50+$A71,1,1,$D71))</f>
        <v>0</v>
      </c>
      <c r="BE71" s="1" cm="1">
        <f t="array" aca="1" ref="BE71" ca="1">INDIRECT(ADDRESS($B71,BE$50+$A71,1,1,$D71))</f>
        <v>0</v>
      </c>
      <c r="BF71" s="1" cm="1">
        <f t="array" aca="1" ref="BF71" ca="1">INDIRECT(ADDRESS($B71,BF$50+$A71,1,1,$D71))</f>
        <v>0</v>
      </c>
      <c r="BG71" s="1" cm="1">
        <f t="array" aca="1" ref="BG71" ca="1">INDIRECT(ADDRESS($B71,BG$50+$A71,1,1,$D71))</f>
        <v>0</v>
      </c>
      <c r="BH71" s="1" cm="1">
        <f t="array" aca="1" ref="BH71" ca="1">INDIRECT(ADDRESS($B71,BH$50+$A71,1,1,$D71))</f>
        <v>0</v>
      </c>
      <c r="BI71" s="1" cm="1">
        <f t="array" aca="1" ref="BI71" ca="1">INDIRECT(ADDRESS($B71,BI$50+$A71,1,1,$D71))</f>
        <v>111</v>
      </c>
      <c r="BJ71" s="1" cm="1">
        <f t="array" aca="1" ref="BJ71" ca="1">INDIRECT(ADDRESS($B71,BJ$50+$A71,1,1,$D71))</f>
        <v>453</v>
      </c>
      <c r="BK71" s="1" cm="1">
        <f t="array" aca="1" ref="BK71" ca="1">INDIRECT(ADDRESS($B71,BK$50+$A71,1,1,$D71))</f>
        <v>604</v>
      </c>
      <c r="BL71" s="1" cm="1">
        <f t="array" aca="1" ref="BL71" ca="1">INDIRECT(ADDRESS($B71,BL$50+$A71,1,1,$D71))</f>
        <v>1058</v>
      </c>
      <c r="BM71" s="1" cm="1">
        <f t="array" aca="1" ref="BM71" ca="1">INDIRECT(ADDRESS($B71,BM$50+$A71,1,1,$D71))</f>
        <v>1899</v>
      </c>
      <c r="BN71" s="1" cm="1">
        <f t="array" aca="1" ref="BN71" ca="1">INDIRECT(ADDRESS($B71,BN$50+$A71,1,1,$D71))</f>
        <v>3095</v>
      </c>
      <c r="BO71" s="1" cm="1">
        <f t="array" aca="1" ref="BO71" ca="1">INDIRECT(ADDRESS($B71,BO$50+$A71,1,1,$D71))</f>
        <v>3329</v>
      </c>
      <c r="BP71" s="1" cm="1">
        <f t="array" aca="1" ref="BP71" ca="1">INDIRECT(ADDRESS($B71,BP$50+$A71,1,1,$D71))</f>
        <v>4959</v>
      </c>
      <c r="BQ71" s="1" cm="1">
        <f t="array" aca="1" ref="BQ71" ca="1">INDIRECT(ADDRESS($B71,BQ$50+$A71,1,1,$D71))</f>
        <v>4247</v>
      </c>
      <c r="BR71" s="1" cm="1">
        <f t="array" aca="1" ref="BR71" ca="1">INDIRECT(ADDRESS($B71,BR$50+$A71,1,1,$D71))</f>
        <v>8526</v>
      </c>
      <c r="BS71" s="1" cm="1">
        <f t="array" aca="1" ref="BS71" ca="1">INDIRECT(ADDRESS($B71,BS$50+$A71,1,1,$D71))</f>
        <v>11134</v>
      </c>
      <c r="BT71" s="1" cm="1">
        <f t="array" aca="1" ref="BT71" ca="1">INDIRECT(ADDRESS($B71,BT$50+$A71,1,1,$D71))</f>
        <v>13968</v>
      </c>
      <c r="BU71" s="1" cm="1">
        <f t="array" aca="1" ref="BU71" ca="1">INDIRECT(ADDRESS($B71,BU$50+$A71,1,1,$D71))</f>
        <v>16389</v>
      </c>
      <c r="BV71" s="1" cm="1">
        <f t="array" aca="1" ref="BV71" ca="1">INDIRECT(ADDRESS($B71,BV$50+$A71,1,1,$D71))</f>
        <v>0</v>
      </c>
    </row>
    <row r="72" spans="1:74" x14ac:dyDescent="0.25">
      <c r="A72">
        <v>6</v>
      </c>
      <c r="B72">
        <f ca="1">MATCH($C72,INDIRECT("'"&amp;$C$70&amp;"'!A:A"),0)</f>
        <v>12</v>
      </c>
      <c r="C72" s="1" t="str">
        <f>C9</f>
        <v>Spain</v>
      </c>
      <c r="D72" t="str">
        <f>D71</f>
        <v>Recovered Predicted</v>
      </c>
      <c r="E72" s="1" cm="1">
        <f t="array" aca="1" ref="E72" ca="1">INDIRECT(ADDRESS($B72,E$50+$A72,1,1,$D72))</f>
        <v>0</v>
      </c>
      <c r="F72" s="1" cm="1">
        <f t="array" aca="1" ref="F72" ca="1">INDIRECT(ADDRESS($B72,F$50+$A72,1,1,$D72))</f>
        <v>0</v>
      </c>
      <c r="G72" s="1" cm="1">
        <f t="array" aca="1" ref="G72" ca="1">INDIRECT(ADDRESS($B72,G$50+$A72,1,1,$D72))</f>
        <v>0</v>
      </c>
      <c r="H72" s="1" cm="1">
        <f t="array" aca="1" ref="H72" ca="1">INDIRECT(ADDRESS($B72,H$50+$A72,1,1,$D72))</f>
        <v>0</v>
      </c>
      <c r="I72" s="1" cm="1">
        <f t="array" aca="1" ref="I72" ca="1">INDIRECT(ADDRESS($B72,I$50+$A72,1,1,$D72))</f>
        <v>0</v>
      </c>
      <c r="J72" s="1" cm="1">
        <f t="array" aca="1" ref="J72" ca="1">INDIRECT(ADDRESS($B72,J$50+$A72,1,1,$D72))</f>
        <v>0</v>
      </c>
      <c r="K72" s="1" cm="1">
        <f t="array" aca="1" ref="K72" ca="1">INDIRECT(ADDRESS($B72,K$50+$A72,1,1,$D72))</f>
        <v>0</v>
      </c>
      <c r="L72" s="1" cm="1">
        <f t="array" aca="1" ref="L72" ca="1">INDIRECT(ADDRESS($B72,L$50+$A72,1,1,$D72))</f>
        <v>0</v>
      </c>
      <c r="M72" s="1" cm="1">
        <f t="array" aca="1" ref="M72" ca="1">INDIRECT(ADDRESS($B72,M$50+$A72,1,1,$D72))</f>
        <v>0</v>
      </c>
      <c r="N72" s="1" cm="1">
        <f t="array" aca="1" ref="N72" ca="1">INDIRECT(ADDRESS($B72,N$50+$A72,1,1,$D72))</f>
        <v>0</v>
      </c>
      <c r="O72" s="1" cm="1">
        <f t="array" aca="1" ref="O72" ca="1">INDIRECT(ADDRESS($B72,O$50+$A72,1,1,$D72))</f>
        <v>0</v>
      </c>
      <c r="P72" s="1" cm="1">
        <f t="array" aca="1" ref="P72" ca="1">INDIRECT(ADDRESS($B72,P$50+$A72,1,1,$D72))</f>
        <v>0</v>
      </c>
      <c r="Q72" s="1" cm="1">
        <f t="array" aca="1" ref="Q72" ca="1">INDIRECT(ADDRESS($B72,Q$50+$A72,1,1,$D72))</f>
        <v>0</v>
      </c>
      <c r="R72" s="1" cm="1">
        <f t="array" aca="1" ref="R72" ca="1">INDIRECT(ADDRESS($B72,R$50+$A72,1,1,$D72))</f>
        <v>0</v>
      </c>
      <c r="S72" s="1" cm="1">
        <f t="array" aca="1" ref="S72" ca="1">INDIRECT(ADDRESS($B72,S$50+$A72,1,1,$D72))</f>
        <v>0</v>
      </c>
      <c r="T72" s="1" cm="1">
        <f t="array" aca="1" ref="T72" ca="1">INDIRECT(ADDRESS($B72,T$50+$A72,1,1,$D72))</f>
        <v>0</v>
      </c>
      <c r="U72" s="1" cm="1">
        <f t="array" aca="1" ref="U72" ca="1">INDIRECT(ADDRESS($B72,U$50+$A72,1,1,$D72))</f>
        <v>0</v>
      </c>
      <c r="V72" s="1" cm="1">
        <f t="array" aca="1" ref="V72" ca="1">INDIRECT(ADDRESS($B72,V$50+$A72,1,1,$D72))</f>
        <v>0</v>
      </c>
      <c r="W72" s="1" cm="1">
        <f t="array" aca="1" ref="W72" ca="1">INDIRECT(ADDRESS($B72,W$50+$A72,1,1,$D72))</f>
        <v>0</v>
      </c>
      <c r="X72" s="1" cm="1">
        <f t="array" aca="1" ref="X72" ca="1">INDIRECT(ADDRESS($B72,X$50+$A72,1,1,$D72))</f>
        <v>0</v>
      </c>
      <c r="Y72" s="1" cm="1">
        <f t="array" aca="1" ref="Y72" ca="1">INDIRECT(ADDRESS($B72,Y$50+$A72,1,1,$D72))</f>
        <v>0</v>
      </c>
      <c r="Z72" s="1" cm="1">
        <f t="array" aca="1" ref="Z72" ca="1">INDIRECT(ADDRESS($B72,Z$50+$A72,1,1,$D72))</f>
        <v>0</v>
      </c>
      <c r="AA72" s="1" cm="1">
        <f t="array" aca="1" ref="AA72" ca="1">INDIRECT(ADDRESS($B72,AA$50+$A72,1,1,$D72))</f>
        <v>0</v>
      </c>
      <c r="AB72" s="1" cm="1">
        <f t="array" aca="1" ref="AB72" ca="1">INDIRECT(ADDRESS($B72,AB$50+$A72,1,1,$D72))</f>
        <v>0</v>
      </c>
      <c r="AC72" s="1" cm="1">
        <f t="array" aca="1" ref="AC72" ca="1">INDIRECT(ADDRESS($B72,AC$50+$A72,1,1,$D72))</f>
        <v>1</v>
      </c>
      <c r="AD72" s="1" cm="1">
        <f t="array" aca="1" ref="AD72" ca="1">INDIRECT(ADDRESS($B72,AD$50+$A72,1,1,$D72))</f>
        <v>1</v>
      </c>
      <c r="AE72" s="1" cm="1">
        <f t="array" aca="1" ref="AE72" ca="1">INDIRECT(ADDRESS($B72,AE$50+$A72,1,1,$D72))</f>
        <v>1</v>
      </c>
      <c r="AF72" s="1" cm="1">
        <f t="array" aca="1" ref="AF72" ca="1">INDIRECT(ADDRESS($B72,AF$50+$A72,1,1,$D72))</f>
        <v>1</v>
      </c>
      <c r="AG72" s="1" cm="1">
        <f t="array" aca="1" ref="AG72" ca="1">INDIRECT(ADDRESS($B72,AG$50+$A72,1,1,$D72))</f>
        <v>1</v>
      </c>
      <c r="AH72" s="1" cm="1">
        <f t="array" aca="1" ref="AH72" ca="1">INDIRECT(ADDRESS($B72,AH$50+$A72,1,1,$D72))</f>
        <v>1</v>
      </c>
      <c r="AI72" s="1" cm="1">
        <f t="array" aca="1" ref="AI72" ca="1">INDIRECT(ADDRESS($B72,AI$50+$A72,1,1,$D72))</f>
        <v>1</v>
      </c>
      <c r="AJ72" s="1" cm="1">
        <f t="array" aca="1" ref="AJ72" ca="1">INDIRECT(ADDRESS($B72,AJ$50+$A72,1,1,$D72))</f>
        <v>1</v>
      </c>
      <c r="AK72" s="1" cm="1">
        <f t="array" aca="1" ref="AK72" ca="1">INDIRECT(ADDRESS($B72,AK$50+$A72,1,1,$D72))</f>
        <v>2</v>
      </c>
      <c r="AL72" s="1" cm="1">
        <f t="array" aca="1" ref="AL72" ca="1">INDIRECT(ADDRESS($B72,AL$50+$A72,1,1,$D72))</f>
        <v>2</v>
      </c>
      <c r="AM72" s="1" cm="1">
        <f t="array" aca="1" ref="AM72" ca="1">INDIRECT(ADDRESS($B72,AM$50+$A72,1,1,$D72))</f>
        <v>2</v>
      </c>
      <c r="AN72" s="1" cm="1">
        <f t="array" aca="1" ref="AN72" ca="1">INDIRECT(ADDRESS($B72,AN$50+$A72,1,1,$D72))</f>
        <v>2</v>
      </c>
      <c r="AO72" s="1" cm="1">
        <f t="array" aca="1" ref="AO72" ca="1">INDIRECT(ADDRESS($B72,AO$50+$A72,1,1,$D72))</f>
        <v>2</v>
      </c>
      <c r="AP72" s="1" cm="1">
        <f t="array" aca="1" ref="AP72" ca="1">INDIRECT(ADDRESS($B72,AP$50+$A72,1,1,$D72))</f>
        <v>2</v>
      </c>
      <c r="AQ72" s="1" cm="1">
        <f t="array" aca="1" ref="AQ72" ca="1">INDIRECT(ADDRESS($B72,AQ$50+$A72,1,1,$D72))</f>
        <v>2</v>
      </c>
      <c r="AR72" s="1" cm="1">
        <f t="array" aca="1" ref="AR72" ca="1">INDIRECT(ADDRESS($B72,AR$50+$A72,1,1,$D72))</f>
        <v>2</v>
      </c>
      <c r="AS72" s="1" cm="1">
        <f t="array" aca="1" ref="AS72" ca="1">INDIRECT(ADDRESS($B72,AS$50+$A72,1,1,$D72))</f>
        <v>2</v>
      </c>
      <c r="AT72" s="1" cm="1">
        <f t="array" aca="1" ref="AT72" ca="1">INDIRECT(ADDRESS($B72,AT$50+$A72,1,1,$D72))</f>
        <v>1</v>
      </c>
      <c r="AU72" s="1" cm="1">
        <f t="array" aca="1" ref="AU72" ca="1">INDIRECT(ADDRESS($B72,AU$50+$A72,1,1,$D72))</f>
        <v>0</v>
      </c>
      <c r="AV72" s="1" cm="1">
        <f t="array" aca="1" ref="AV72" ca="1">INDIRECT(ADDRESS($B72,AV$50+$A72,1,1,$D72))</f>
        <v>0</v>
      </c>
      <c r="AW72" s="1" cm="1">
        <f t="array" aca="1" ref="AW72" ca="1">INDIRECT(ADDRESS($B72,AW$50+$A72,1,1,$D72))</f>
        <v>0</v>
      </c>
      <c r="AX72" s="1" cm="1">
        <f t="array" aca="1" ref="AX72" ca="1">INDIRECT(ADDRESS($B72,AX$50+$A72,1,1,$D72))</f>
        <v>0</v>
      </c>
      <c r="AY72" s="1" cm="1">
        <f t="array" aca="1" ref="AY72" ca="1">INDIRECT(ADDRESS($B72,AY$50+$A72,1,1,$D72))</f>
        <v>0</v>
      </c>
      <c r="AZ72" s="1" cm="1">
        <f t="array" aca="1" ref="AZ72" ca="1">INDIRECT(ADDRESS($B72,AZ$50+$A72,1,1,$D72))</f>
        <v>0</v>
      </c>
      <c r="BA72" s="1" cm="1">
        <f t="array" aca="1" ref="BA72" ca="1">INDIRECT(ADDRESS($B72,BA$50+$A72,1,1,$D72))</f>
        <v>0</v>
      </c>
      <c r="BB72" s="1" cm="1">
        <f t="array" aca="1" ref="BB72" ca="1">INDIRECT(ADDRESS($B72,BB$50+$A72,1,1,$D72))</f>
        <v>0</v>
      </c>
      <c r="BC72" s="1" cm="1">
        <f t="array" aca="1" ref="BC72" ca="1">INDIRECT(ADDRESS($B72,BC$50+$A72,1,1,$D72))</f>
        <v>0</v>
      </c>
      <c r="BD72" s="1" cm="1">
        <f t="array" aca="1" ref="BD72" ca="1">INDIRECT(ADDRESS($B72,BD$50+$A72,1,1,$D72))</f>
        <v>0</v>
      </c>
      <c r="BE72" s="1" cm="1">
        <f t="array" aca="1" ref="BE72" ca="1">INDIRECT(ADDRESS($B72,BE$50+$A72,1,1,$D72))</f>
        <v>0</v>
      </c>
      <c r="BF72" s="1" cm="1">
        <f t="array" aca="1" ref="BF72" ca="1">INDIRECT(ADDRESS($B72,BF$50+$A72,1,1,$D72))</f>
        <v>0</v>
      </c>
      <c r="BG72" s="1" cm="1">
        <f t="array" aca="1" ref="BG72" ca="1">INDIRECT(ADDRESS($B72,BG$50+$A72,1,1,$D72))</f>
        <v>0</v>
      </c>
      <c r="BH72" s="1" cm="1">
        <f t="array" aca="1" ref="BH72" ca="1">INDIRECT(ADDRESS($B72,BH$50+$A72,1,1,$D72))</f>
        <v>0</v>
      </c>
      <c r="BI72" s="1" cm="1">
        <f t="array" aca="1" ref="BI72" ca="1">INDIRECT(ADDRESS($B72,BI$50+$A72,1,1,$D72))</f>
        <v>0</v>
      </c>
      <c r="BJ72" s="1" cm="1">
        <f t="array" aca="1" ref="BJ72" ca="1">INDIRECT(ADDRESS($B72,BJ$50+$A72,1,1,$D72))</f>
        <v>0</v>
      </c>
      <c r="BK72" s="1" cm="1">
        <f t="array" aca="1" ref="BK72" ca="1">INDIRECT(ADDRESS($B72,BK$50+$A72,1,1,$D72))</f>
        <v>0</v>
      </c>
      <c r="BL72" s="1" cm="1">
        <f t="array" aca="1" ref="BL72" ca="1">INDIRECT(ADDRESS($B72,BL$50+$A72,1,1,$D72))</f>
        <v>0</v>
      </c>
      <c r="BM72" s="1" cm="1">
        <f t="array" aca="1" ref="BM72" ca="1">INDIRECT(ADDRESS($B72,BM$50+$A72,1,1,$D72))</f>
        <v>0</v>
      </c>
      <c r="BN72" s="1" cm="1">
        <f t="array" aca="1" ref="BN72" ca="1">INDIRECT(ADDRESS($B72,BN$50+$A72,1,1,$D72))</f>
        <v>0</v>
      </c>
      <c r="BO72" s="1" cm="1">
        <f t="array" aca="1" ref="BO72" ca="1">INDIRECT(ADDRESS($B72,BO$50+$A72,1,1,$D72))</f>
        <v>0</v>
      </c>
      <c r="BP72" s="1" cm="1">
        <f t="array" aca="1" ref="BP72" ca="1">INDIRECT(ADDRESS($B72,BP$50+$A72,1,1,$D72))</f>
        <v>0</v>
      </c>
      <c r="BQ72" s="1" cm="1">
        <f t="array" aca="1" ref="BQ72" ca="1">INDIRECT(ADDRESS($B72,BQ$50+$A72,1,1,$D72))</f>
        <v>0</v>
      </c>
      <c r="BR72" s="1" cm="1">
        <f t="array" aca="1" ref="BR72" ca="1">INDIRECT(ADDRESS($B72,BR$50+$A72,1,1,$D72))</f>
        <v>94</v>
      </c>
      <c r="BS72" s="1" cm="1">
        <f t="array" aca="1" ref="BS72" ca="1">INDIRECT(ADDRESS($B72,BS$50+$A72,1,1,$D72))</f>
        <v>409</v>
      </c>
      <c r="BT72" s="1" cm="1">
        <f t="array" aca="1" ref="BT72" ca="1">INDIRECT(ADDRESS($B72,BT$50+$A72,1,1,$D72))</f>
        <v>995</v>
      </c>
      <c r="BU72" s="1" cm="1">
        <f t="array" aca="1" ref="BU72" ca="1">INDIRECT(ADDRESS($B72,BU$50+$A72,1,1,$D72))</f>
        <v>2226</v>
      </c>
      <c r="BV72" s="1" cm="1">
        <f t="array" aca="1" ref="BV72" ca="1">INDIRECT(ADDRESS($B72,BV$50+$A72,1,1,$D72))</f>
        <v>0</v>
      </c>
    </row>
    <row r="73" spans="1:74" x14ac:dyDescent="0.25">
      <c r="A73">
        <v>6</v>
      </c>
      <c r="B73">
        <f ca="1">MATCH($C73,INDIRECT("'"&amp;$C$70&amp;"'!A:A"),0)</f>
        <v>15</v>
      </c>
      <c r="C73" s="1" t="str">
        <f>C10</f>
        <v>US</v>
      </c>
      <c r="D73" t="str">
        <f>D72</f>
        <v>Recovered Predicted</v>
      </c>
      <c r="E73" s="1" cm="1">
        <f t="array" aca="1" ref="E73" ca="1">INDIRECT(ADDRESS($B73,E$50+$A73,1,1,$D73))</f>
        <v>0</v>
      </c>
      <c r="F73" s="1" cm="1">
        <f t="array" aca="1" ref="F73" ca="1">INDIRECT(ADDRESS($B73,F$50+$A73,1,1,$D73))</f>
        <v>0</v>
      </c>
      <c r="G73" s="1" cm="1">
        <f t="array" aca="1" ref="G73" ca="1">INDIRECT(ADDRESS($B73,G$50+$A73,1,1,$D73))</f>
        <v>0</v>
      </c>
      <c r="H73" s="1" cm="1">
        <f t="array" aca="1" ref="H73" ca="1">INDIRECT(ADDRESS($B73,H$50+$A73,1,1,$D73))</f>
        <v>0</v>
      </c>
      <c r="I73" s="1" cm="1">
        <f t="array" aca="1" ref="I73" ca="1">INDIRECT(ADDRESS($B73,I$50+$A73,1,1,$D73))</f>
        <v>0</v>
      </c>
      <c r="J73" s="1" cm="1">
        <f t="array" aca="1" ref="J73" ca="1">INDIRECT(ADDRESS($B73,J$50+$A73,1,1,$D73))</f>
        <v>0</v>
      </c>
      <c r="K73" s="1" cm="1">
        <f t="array" aca="1" ref="K73" ca="1">INDIRECT(ADDRESS($B73,K$50+$A73,1,1,$D73))</f>
        <v>0</v>
      </c>
      <c r="L73" s="1" cm="1">
        <f t="array" aca="1" ref="L73" ca="1">INDIRECT(ADDRESS($B73,L$50+$A73,1,1,$D73))</f>
        <v>0</v>
      </c>
      <c r="M73" s="1" cm="1">
        <f t="array" aca="1" ref="M73" ca="1">INDIRECT(ADDRESS($B73,M$50+$A73,1,1,$D73))</f>
        <v>0</v>
      </c>
      <c r="N73" s="1" cm="1">
        <f t="array" aca="1" ref="N73" ca="1">INDIRECT(ADDRESS($B73,N$50+$A73,1,1,$D73))</f>
        <v>0</v>
      </c>
      <c r="O73" s="1" cm="1">
        <f t="array" aca="1" ref="O73" ca="1">INDIRECT(ADDRESS($B73,O$50+$A73,1,1,$D73))</f>
        <v>0</v>
      </c>
      <c r="P73" s="1" cm="1">
        <f t="array" aca="1" ref="P73" ca="1">INDIRECT(ADDRESS($B73,P$50+$A73,1,1,$D73))</f>
        <v>0</v>
      </c>
      <c r="Q73" s="1" cm="1">
        <f t="array" aca="1" ref="Q73" ca="1">INDIRECT(ADDRESS($B73,Q$50+$A73,1,1,$D73))</f>
        <v>0</v>
      </c>
      <c r="R73" s="1" cm="1">
        <f t="array" aca="1" ref="R73" ca="1">INDIRECT(ADDRESS($B73,R$50+$A73,1,1,$D73))</f>
        <v>0</v>
      </c>
      <c r="S73" s="1" cm="1">
        <f t="array" aca="1" ref="S73" ca="1">INDIRECT(ADDRESS($B73,S$50+$A73,1,1,$D73))</f>
        <v>1</v>
      </c>
      <c r="T73" s="1" cm="1">
        <f t="array" aca="1" ref="T73" ca="1">INDIRECT(ADDRESS($B73,T$50+$A73,1,1,$D73))</f>
        <v>1</v>
      </c>
      <c r="U73" s="1" cm="1">
        <f t="array" aca="1" ref="U73" ca="1">INDIRECT(ADDRESS($B73,U$50+$A73,1,1,$D73))</f>
        <v>2</v>
      </c>
      <c r="V73" s="1" cm="1">
        <f t="array" aca="1" ref="V73" ca="1">INDIRECT(ADDRESS($B73,V$50+$A73,1,1,$D73))</f>
        <v>2</v>
      </c>
      <c r="W73" s="1" cm="1">
        <f t="array" aca="1" ref="W73" ca="1">INDIRECT(ADDRESS($B73,W$50+$A73,1,1,$D73))</f>
        <v>5</v>
      </c>
      <c r="X73" s="1" cm="1">
        <f t="array" aca="1" ref="X73" ca="1">INDIRECT(ADDRESS($B73,X$50+$A73,1,1,$D73))</f>
        <v>5</v>
      </c>
      <c r="Y73" s="1" cm="1">
        <f t="array" aca="1" ref="Y73" ca="1">INDIRECT(ADDRESS($B73,Y$50+$A73,1,1,$D73))</f>
        <v>5</v>
      </c>
      <c r="Z73" s="1" cm="1">
        <f t="array" aca="1" ref="Z73" ca="1">INDIRECT(ADDRESS($B73,Z$50+$A73,1,1,$D73))</f>
        <v>5</v>
      </c>
      <c r="AA73" s="1" cm="1">
        <f t="array" aca="1" ref="AA73" ca="1">INDIRECT(ADDRESS($B73,AA$50+$A73,1,1,$D73))</f>
        <v>5</v>
      </c>
      <c r="AB73" s="1" cm="1">
        <f t="array" aca="1" ref="AB73" ca="1">INDIRECT(ADDRESS($B73,AB$50+$A73,1,1,$D73))</f>
        <v>7</v>
      </c>
      <c r="AC73" s="1" cm="1">
        <f t="array" aca="1" ref="AC73" ca="1">INDIRECT(ADDRESS($B73,AC$50+$A73,1,1,$D73))</f>
        <v>8</v>
      </c>
      <c r="AD73" s="1" cm="1">
        <f t="array" aca="1" ref="AD73" ca="1">INDIRECT(ADDRESS($B73,AD$50+$A73,1,1,$D73))</f>
        <v>8</v>
      </c>
      <c r="AE73" s="1" cm="1">
        <f t="array" aca="1" ref="AE73" ca="1">INDIRECT(ADDRESS($B73,AE$50+$A73,1,1,$D73))</f>
        <v>11</v>
      </c>
      <c r="AF73" s="1" cm="1">
        <f t="array" aca="1" ref="AF73" ca="1">INDIRECT(ADDRESS($B73,AF$50+$A73,1,1,$D73))</f>
        <v>11</v>
      </c>
      <c r="AG73" s="1" cm="1">
        <f t="array" aca="1" ref="AG73" ca="1">INDIRECT(ADDRESS($B73,AG$50+$A73,1,1,$D73))</f>
        <v>11</v>
      </c>
      <c r="AH73" s="1" cm="1">
        <f t="array" aca="1" ref="AH73" ca="1">INDIRECT(ADDRESS($B73,AH$50+$A73,1,1,$D73))</f>
        <v>11</v>
      </c>
      <c r="AI73" s="1" cm="1">
        <f t="array" aca="1" ref="AI73" ca="1">INDIRECT(ADDRESS($B73,AI$50+$A73,1,1,$D73))</f>
        <v>11</v>
      </c>
      <c r="AJ73" s="1" cm="1">
        <f t="array" aca="1" ref="AJ73" ca="1">INDIRECT(ADDRESS($B73,AJ$50+$A73,1,1,$D73))</f>
        <v>11</v>
      </c>
      <c r="AK73" s="1" cm="1">
        <f t="array" aca="1" ref="AK73" ca="1">INDIRECT(ADDRESS($B73,AK$50+$A73,1,1,$D73))</f>
        <v>11</v>
      </c>
      <c r="AL73" s="1" cm="1">
        <f t="array" aca="1" ref="AL73" ca="1">INDIRECT(ADDRESS($B73,AL$50+$A73,1,1,$D73))</f>
        <v>11</v>
      </c>
      <c r="AM73" s="1" cm="1">
        <f t="array" aca="1" ref="AM73" ca="1">INDIRECT(ADDRESS($B73,AM$50+$A73,1,1,$D73))</f>
        <v>12</v>
      </c>
      <c r="AN73" s="1" cm="1">
        <f t="array" aca="1" ref="AN73" ca="1">INDIRECT(ADDRESS($B73,AN$50+$A73,1,1,$D73))</f>
        <v>12</v>
      </c>
      <c r="AO73" s="1" cm="1">
        <f t="array" aca="1" ref="AO73" ca="1">INDIRECT(ADDRESS($B73,AO$50+$A73,1,1,$D73))</f>
        <v>13</v>
      </c>
      <c r="AP73" s="1" cm="1">
        <f t="array" aca="1" ref="AP73" ca="1">INDIRECT(ADDRESS($B73,AP$50+$A73,1,1,$D73))</f>
        <v>13</v>
      </c>
      <c r="AQ73" s="1" cm="1">
        <f t="array" aca="1" ref="AQ73" ca="1">INDIRECT(ADDRESS($B73,AQ$50+$A73,1,1,$D73))</f>
        <v>12</v>
      </c>
      <c r="AR73" s="1" cm="1">
        <f t="array" aca="1" ref="AR73" ca="1">INDIRECT(ADDRESS($B73,AR$50+$A73,1,1,$D73))</f>
        <v>12</v>
      </c>
      <c r="AS73" s="1" cm="1">
        <f t="array" aca="1" ref="AS73" ca="1">INDIRECT(ADDRESS($B73,AS$50+$A73,1,1,$D73))</f>
        <v>7</v>
      </c>
      <c r="AT73" s="1" cm="1">
        <f t="array" aca="1" ref="AT73" ca="1">INDIRECT(ADDRESS($B73,AT$50+$A73,1,1,$D73))</f>
        <v>6</v>
      </c>
      <c r="AU73" s="1" cm="1">
        <f t="array" aca="1" ref="AU73" ca="1">INDIRECT(ADDRESS($B73,AU$50+$A73,1,1,$D73))</f>
        <v>2</v>
      </c>
      <c r="AV73" s="1" cm="1">
        <f t="array" aca="1" ref="AV73" ca="1">INDIRECT(ADDRESS($B73,AV$50+$A73,1,1,$D73))</f>
        <v>1</v>
      </c>
      <c r="AW73" s="1" cm="1">
        <f t="array" aca="1" ref="AW73" ca="1">INDIRECT(ADDRESS($B73,AW$50+$A73,1,1,$D73))</f>
        <v>1</v>
      </c>
      <c r="AX73" s="1" cm="1">
        <f t="array" aca="1" ref="AX73" ca="1">INDIRECT(ADDRESS($B73,AX$50+$A73,1,1,$D73))</f>
        <v>0</v>
      </c>
      <c r="AY73" s="1" cm="1">
        <f t="array" aca="1" ref="AY73" ca="1">INDIRECT(ADDRESS($B73,AY$50+$A73,1,1,$D73))</f>
        <v>0</v>
      </c>
      <c r="AZ73" s="1" cm="1">
        <f t="array" aca="1" ref="AZ73" ca="1">INDIRECT(ADDRESS($B73,AZ$50+$A73,1,1,$D73))</f>
        <v>29</v>
      </c>
      <c r="BA73" s="1" cm="1">
        <f t="array" aca="1" ref="BA73" ca="1">INDIRECT(ADDRESS($B73,BA$50+$A73,1,1,$D73))</f>
        <v>23</v>
      </c>
      <c r="BB73" s="1" cm="1">
        <f t="array" aca="1" ref="BB73" ca="1">INDIRECT(ADDRESS($B73,BB$50+$A73,1,1,$D73))</f>
        <v>21</v>
      </c>
      <c r="BC73" s="1" cm="1">
        <f t="array" aca="1" ref="BC73" ca="1">INDIRECT(ADDRESS($B73,BC$50+$A73,1,1,$D73))</f>
        <v>18</v>
      </c>
      <c r="BD73" s="1" cm="1">
        <f t="array" aca="1" ref="BD73" ca="1">INDIRECT(ADDRESS($B73,BD$50+$A73,1,1,$D73))</f>
        <v>13</v>
      </c>
      <c r="BE73" s="1" cm="1">
        <f t="array" aca="1" ref="BE73" ca="1">INDIRECT(ADDRESS($B73,BE$50+$A73,1,1,$D73))</f>
        <v>14</v>
      </c>
      <c r="BF73" s="1" cm="1">
        <f t="array" aca="1" ref="BF73" ca="1">INDIRECT(ADDRESS($B73,BF$50+$A73,1,1,$D73))</f>
        <v>11</v>
      </c>
      <c r="BG73" s="1" cm="1">
        <f t="array" aca="1" ref="BG73" ca="1">INDIRECT(ADDRESS($B73,BG$50+$A73,1,1,$D73))</f>
        <v>13</v>
      </c>
      <c r="BH73" s="1" cm="1">
        <f t="array" aca="1" ref="BH73" ca="1">INDIRECT(ADDRESS($B73,BH$50+$A73,1,1,$D73))</f>
        <v>10</v>
      </c>
      <c r="BI73" s="1" cm="1">
        <f t="array" aca="1" ref="BI73" ca="1">INDIRECT(ADDRESS($B73,BI$50+$A73,1,1,$D73))</f>
        <v>31</v>
      </c>
      <c r="BJ73" s="1" cm="1">
        <f t="array" aca="1" ref="BJ73" ca="1">INDIRECT(ADDRESS($B73,BJ$50+$A73,1,1,$D73))</f>
        <v>17</v>
      </c>
      <c r="BK73" s="1" cm="1">
        <f t="array" aca="1" ref="BK73" ca="1">INDIRECT(ADDRESS($B73,BK$50+$A73,1,1,$D73))</f>
        <v>18</v>
      </c>
      <c r="BL73" s="1" cm="1">
        <f t="array" aca="1" ref="BL73" ca="1">INDIRECT(ADDRESS($B73,BL$50+$A73,1,1,$D73))</f>
        <v>95</v>
      </c>
      <c r="BM73" s="1" cm="1">
        <f t="array" aca="1" ref="BM73" ca="1">INDIRECT(ADDRESS($B73,BM$50+$A73,1,1,$D73))</f>
        <v>101</v>
      </c>
      <c r="BN73" s="1" cm="1">
        <f t="array" aca="1" ref="BN73" ca="1">INDIRECT(ADDRESS($B73,BN$50+$A73,1,1,$D73))</f>
        <v>26</v>
      </c>
      <c r="BO73" s="1" cm="1">
        <f t="array" aca="1" ref="BO73" ca="1">INDIRECT(ADDRESS($B73,BO$50+$A73,1,1,$D73))</f>
        <v>253</v>
      </c>
      <c r="BP73" s="1" cm="1">
        <f t="array" aca="1" ref="BP73" ca="1">INDIRECT(ADDRESS($B73,BP$50+$A73,1,1,$D73))</f>
        <v>339</v>
      </c>
      <c r="BQ73" s="1" cm="1">
        <f t="array" aca="1" ref="BQ73" ca="1">INDIRECT(ADDRESS($B73,BQ$50+$A73,1,1,$D73))</f>
        <v>454</v>
      </c>
      <c r="BR73" s="1" cm="1">
        <f t="array" aca="1" ref="BR73" ca="1">INDIRECT(ADDRESS($B73,BR$50+$A73,1,1,$D73))</f>
        <v>598</v>
      </c>
      <c r="BS73" s="1" cm="1">
        <f t="array" aca="1" ref="BS73" ca="1">INDIRECT(ADDRESS($B73,BS$50+$A73,1,1,$D73))</f>
        <v>701</v>
      </c>
      <c r="BT73" s="1" cm="1">
        <f t="array" aca="1" ref="BT73" ca="1">INDIRECT(ADDRESS($B73,BT$50+$A73,1,1,$D73))</f>
        <v>1032</v>
      </c>
      <c r="BU73" s="1" cm="1">
        <f t="array" aca="1" ref="BU73" ca="1">INDIRECT(ADDRESS($B73,BU$50+$A73,1,1,$D73))</f>
        <v>1654</v>
      </c>
      <c r="BV73" s="1" cm="1">
        <f t="array" aca="1" ref="BV73" ca="1">INDIRECT(ADDRESS($B73,BV$50+$A73,1,1,$D73))</f>
        <v>0</v>
      </c>
    </row>
    <row r="74" spans="1:74" x14ac:dyDescent="0.25">
      <c r="A74">
        <v>6</v>
      </c>
      <c r="B74">
        <f ca="1">MATCH($C74,INDIRECT("'"&amp;$C$70&amp;"'!A:A"),0)</f>
        <v>14</v>
      </c>
      <c r="C74" s="1" t="str">
        <f>C11</f>
        <v>Switzerland</v>
      </c>
      <c r="D74" t="str">
        <f>D73</f>
        <v>Recovered Predicted</v>
      </c>
      <c r="E74" s="1" cm="1">
        <f t="array" aca="1" ref="E74" ca="1">INDIRECT(ADDRESS($B74,E$50+$A74,1,1,$D74))</f>
        <v>0</v>
      </c>
      <c r="F74" s="1" cm="1">
        <f t="array" aca="1" ref="F74" ca="1">INDIRECT(ADDRESS($B74,F$50+$A74,1,1,$D74))</f>
        <v>0</v>
      </c>
      <c r="G74" s="1" cm="1">
        <f t="array" aca="1" ref="G74" ca="1">INDIRECT(ADDRESS($B74,G$50+$A74,1,1,$D74))</f>
        <v>0</v>
      </c>
      <c r="H74" s="1" cm="1">
        <f t="array" aca="1" ref="H74" ca="1">INDIRECT(ADDRESS($B74,H$50+$A74,1,1,$D74))</f>
        <v>0</v>
      </c>
      <c r="I74" s="1" cm="1">
        <f t="array" aca="1" ref="I74" ca="1">INDIRECT(ADDRESS($B74,I$50+$A74,1,1,$D74))</f>
        <v>0</v>
      </c>
      <c r="J74" s="1" cm="1">
        <f t="array" aca="1" ref="J74" ca="1">INDIRECT(ADDRESS($B74,J$50+$A74,1,1,$D74))</f>
        <v>0</v>
      </c>
      <c r="K74" s="1" cm="1">
        <f t="array" aca="1" ref="K74" ca="1">INDIRECT(ADDRESS($B74,K$50+$A74,1,1,$D74))</f>
        <v>0</v>
      </c>
      <c r="L74" s="1" cm="1">
        <f t="array" aca="1" ref="L74" ca="1">INDIRECT(ADDRESS($B74,L$50+$A74,1,1,$D74))</f>
        <v>0</v>
      </c>
      <c r="M74" s="1" cm="1">
        <f t="array" aca="1" ref="M74" ca="1">INDIRECT(ADDRESS($B74,M$50+$A74,1,1,$D74))</f>
        <v>0</v>
      </c>
      <c r="N74" s="1" cm="1">
        <f t="array" aca="1" ref="N74" ca="1">INDIRECT(ADDRESS($B74,N$50+$A74,1,1,$D74))</f>
        <v>0</v>
      </c>
      <c r="O74" s="1" cm="1">
        <f t="array" aca="1" ref="O74" ca="1">INDIRECT(ADDRESS($B74,O$50+$A74,1,1,$D74))</f>
        <v>0</v>
      </c>
      <c r="P74" s="1" cm="1">
        <f t="array" aca="1" ref="P74" ca="1">INDIRECT(ADDRESS($B74,P$50+$A74,1,1,$D74))</f>
        <v>0</v>
      </c>
      <c r="Q74" s="1" cm="1">
        <f t="array" aca="1" ref="Q74" ca="1">INDIRECT(ADDRESS($B74,Q$50+$A74,1,1,$D74))</f>
        <v>0</v>
      </c>
      <c r="R74" s="1" cm="1">
        <f t="array" aca="1" ref="R74" ca="1">INDIRECT(ADDRESS($B74,R$50+$A74,1,1,$D74))</f>
        <v>0</v>
      </c>
      <c r="S74" s="1" cm="1">
        <f t="array" aca="1" ref="S74" ca="1">INDIRECT(ADDRESS($B74,S$50+$A74,1,1,$D74))</f>
        <v>0</v>
      </c>
      <c r="T74" s="1" cm="1">
        <f t="array" aca="1" ref="T74" ca="1">INDIRECT(ADDRESS($B74,T$50+$A74,1,1,$D74))</f>
        <v>0</v>
      </c>
      <c r="U74" s="1" cm="1">
        <f t="array" aca="1" ref="U74" ca="1">INDIRECT(ADDRESS($B74,U$50+$A74,1,1,$D74))</f>
        <v>0</v>
      </c>
      <c r="V74" s="1" cm="1">
        <f t="array" aca="1" ref="V74" ca="1">INDIRECT(ADDRESS($B74,V$50+$A74,1,1,$D74))</f>
        <v>0</v>
      </c>
      <c r="W74" s="1" cm="1">
        <f t="array" aca="1" ref="W74" ca="1">INDIRECT(ADDRESS($B74,W$50+$A74,1,1,$D74))</f>
        <v>0</v>
      </c>
      <c r="X74" s="1" cm="1">
        <f t="array" aca="1" ref="X74" ca="1">INDIRECT(ADDRESS($B74,X$50+$A74,1,1,$D74))</f>
        <v>0</v>
      </c>
      <c r="Y74" s="1" cm="1">
        <f t="array" aca="1" ref="Y74" ca="1">INDIRECT(ADDRESS($B74,Y$50+$A74,1,1,$D74))</f>
        <v>0</v>
      </c>
      <c r="Z74" s="1" cm="1">
        <f t="array" aca="1" ref="Z74" ca="1">INDIRECT(ADDRESS($B74,Z$50+$A74,1,1,$D74))</f>
        <v>0</v>
      </c>
      <c r="AA74" s="1" cm="1">
        <f t="array" aca="1" ref="AA74" ca="1">INDIRECT(ADDRESS($B74,AA$50+$A74,1,1,$D74))</f>
        <v>0</v>
      </c>
      <c r="AB74" s="1" cm="1">
        <f t="array" aca="1" ref="AB74" ca="1">INDIRECT(ADDRESS($B74,AB$50+$A74,1,1,$D74))</f>
        <v>0</v>
      </c>
      <c r="AC74" s="1" cm="1">
        <f t="array" aca="1" ref="AC74" ca="1">INDIRECT(ADDRESS($B74,AC$50+$A74,1,1,$D74))</f>
        <v>0</v>
      </c>
      <c r="AD74" s="1" cm="1">
        <f t="array" aca="1" ref="AD74" ca="1">INDIRECT(ADDRESS($B74,AD$50+$A74,1,1,$D74))</f>
        <v>0</v>
      </c>
      <c r="AE74" s="1" cm="1">
        <f t="array" aca="1" ref="AE74" ca="1">INDIRECT(ADDRESS($B74,AE$50+$A74,1,1,$D74))</f>
        <v>0</v>
      </c>
      <c r="AF74" s="1" cm="1">
        <f t="array" aca="1" ref="AF74" ca="1">INDIRECT(ADDRESS($B74,AF$50+$A74,1,1,$D74))</f>
        <v>0</v>
      </c>
      <c r="AG74" s="1" cm="1">
        <f t="array" aca="1" ref="AG74" ca="1">INDIRECT(ADDRESS($B74,AG$50+$A74,1,1,$D74))</f>
        <v>0</v>
      </c>
      <c r="AH74" s="1" cm="1">
        <f t="array" aca="1" ref="AH74" ca="1">INDIRECT(ADDRESS($B74,AH$50+$A74,1,1,$D74))</f>
        <v>0</v>
      </c>
      <c r="AI74" s="1" cm="1">
        <f t="array" aca="1" ref="AI74" ca="1">INDIRECT(ADDRESS($B74,AI$50+$A74,1,1,$D74))</f>
        <v>0</v>
      </c>
      <c r="AJ74" s="1" cm="1">
        <f t="array" aca="1" ref="AJ74" ca="1">INDIRECT(ADDRESS($B74,AJ$50+$A74,1,1,$D74))</f>
        <v>0</v>
      </c>
      <c r="AK74" s="1" cm="1">
        <f t="array" aca="1" ref="AK74" ca="1">INDIRECT(ADDRESS($B74,AK$50+$A74,1,1,$D74))</f>
        <v>0</v>
      </c>
      <c r="AL74" s="1" cm="1">
        <f t="array" aca="1" ref="AL74" ca="1">INDIRECT(ADDRESS($B74,AL$50+$A74,1,1,$D74))</f>
        <v>0</v>
      </c>
      <c r="AM74" s="1" cm="1">
        <f t="array" aca="1" ref="AM74" ca="1">INDIRECT(ADDRESS($B74,AM$50+$A74,1,1,$D74))</f>
        <v>0</v>
      </c>
      <c r="AN74" s="1" cm="1">
        <f t="array" aca="1" ref="AN74" ca="1">INDIRECT(ADDRESS($B74,AN$50+$A74,1,1,$D74))</f>
        <v>0</v>
      </c>
      <c r="AO74" s="1" cm="1">
        <f t="array" aca="1" ref="AO74" ca="1">INDIRECT(ADDRESS($B74,AO$50+$A74,1,1,$D74))</f>
        <v>0</v>
      </c>
      <c r="AP74" s="1" cm="1">
        <f t="array" aca="1" ref="AP74" ca="1">INDIRECT(ADDRESS($B74,AP$50+$A74,1,1,$D74))</f>
        <v>0</v>
      </c>
      <c r="AQ74" s="1" cm="1">
        <f t="array" aca="1" ref="AQ74" ca="1">INDIRECT(ADDRESS($B74,AQ$50+$A74,1,1,$D74))</f>
        <v>0</v>
      </c>
      <c r="AR74" s="1" cm="1">
        <f t="array" aca="1" ref="AR74" ca="1">INDIRECT(ADDRESS($B74,AR$50+$A74,1,1,$D74))</f>
        <v>0</v>
      </c>
      <c r="AS74" s="1" cm="1">
        <f t="array" aca="1" ref="AS74" ca="1">INDIRECT(ADDRESS($B74,AS$50+$A74,1,1,$D74))</f>
        <v>0</v>
      </c>
      <c r="AT74" s="1" cm="1">
        <f t="array" aca="1" ref="AT74" ca="1">INDIRECT(ADDRESS($B74,AT$50+$A74,1,1,$D74))</f>
        <v>0</v>
      </c>
      <c r="AU74" s="1" cm="1">
        <f t="array" aca="1" ref="AU74" ca="1">INDIRECT(ADDRESS($B74,AU$50+$A74,1,1,$D74))</f>
        <v>0</v>
      </c>
      <c r="AV74" s="1" cm="1">
        <f t="array" aca="1" ref="AV74" ca="1">INDIRECT(ADDRESS($B74,AV$50+$A74,1,1,$D74))</f>
        <v>0</v>
      </c>
      <c r="AW74" s="1" cm="1">
        <f t="array" aca="1" ref="AW74" ca="1">INDIRECT(ADDRESS($B74,AW$50+$A74,1,1,$D74))</f>
        <v>0</v>
      </c>
      <c r="AX74" s="1" cm="1">
        <f t="array" aca="1" ref="AX74" ca="1">INDIRECT(ADDRESS($B74,AX$50+$A74,1,1,$D74))</f>
        <v>0</v>
      </c>
      <c r="AY74" s="1" cm="1">
        <f t="array" aca="1" ref="AY74" ca="1">INDIRECT(ADDRESS($B74,AY$50+$A74,1,1,$D74))</f>
        <v>0</v>
      </c>
      <c r="AZ74" s="1" cm="1">
        <f t="array" aca="1" ref="AZ74" ca="1">INDIRECT(ADDRESS($B74,AZ$50+$A74,1,1,$D74))</f>
        <v>0</v>
      </c>
      <c r="BA74" s="1" cm="1">
        <f t="array" aca="1" ref="BA74" ca="1">INDIRECT(ADDRESS($B74,BA$50+$A74,1,1,$D74))</f>
        <v>0</v>
      </c>
      <c r="BB74" s="1" cm="1">
        <f t="array" aca="1" ref="BB74" ca="1">INDIRECT(ADDRESS($B74,BB$50+$A74,1,1,$D74))</f>
        <v>0</v>
      </c>
      <c r="BC74" s="1" cm="1">
        <f t="array" aca="1" ref="BC74" ca="1">INDIRECT(ADDRESS($B74,BC$50+$A74,1,1,$D74))</f>
        <v>4</v>
      </c>
      <c r="BD74" s="1" cm="1">
        <f t="array" aca="1" ref="BD74" ca="1">INDIRECT(ADDRESS($B74,BD$50+$A74,1,1,$D74))</f>
        <v>0</v>
      </c>
      <c r="BE74" s="1" cm="1">
        <f t="array" aca="1" ref="BE74" ca="1">INDIRECT(ADDRESS($B74,BE$50+$A74,1,1,$D74))</f>
        <v>5</v>
      </c>
      <c r="BF74" s="1" cm="1">
        <f t="array" aca="1" ref="BF74" ca="1">INDIRECT(ADDRESS($B74,BF$50+$A74,1,1,$D74))</f>
        <v>13</v>
      </c>
      <c r="BG74" s="1" cm="1">
        <f t="array" aca="1" ref="BG74" ca="1">INDIRECT(ADDRESS($B74,BG$50+$A74,1,1,$D74))</f>
        <v>28</v>
      </c>
      <c r="BH74" s="1" cm="1">
        <f t="array" aca="1" ref="BH74" ca="1">INDIRECT(ADDRESS($B74,BH$50+$A74,1,1,$D74))</f>
        <v>29</v>
      </c>
      <c r="BI74" s="1" cm="1">
        <f t="array" aca="1" ref="BI74" ca="1">INDIRECT(ADDRESS($B74,BI$50+$A74,1,1,$D74))</f>
        <v>62</v>
      </c>
      <c r="BJ74" s="1" cm="1">
        <f t="array" aca="1" ref="BJ74" ca="1">INDIRECT(ADDRESS($B74,BJ$50+$A74,1,1,$D74))</f>
        <v>73</v>
      </c>
      <c r="BK74" s="1" cm="1">
        <f t="array" aca="1" ref="BK74" ca="1">INDIRECT(ADDRESS($B74,BK$50+$A74,1,1,$D74))</f>
        <v>160</v>
      </c>
      <c r="BL74" s="1" cm="1">
        <f t="array" aca="1" ref="BL74" ca="1">INDIRECT(ADDRESS($B74,BL$50+$A74,1,1,$D74))</f>
        <v>193</v>
      </c>
      <c r="BM74" s="1" cm="1">
        <f t="array" aca="1" ref="BM74" ca="1">INDIRECT(ADDRESS($B74,BM$50+$A74,1,1,$D74))</f>
        <v>239</v>
      </c>
      <c r="BN74" s="1" cm="1">
        <f t="array" aca="1" ref="BN74" ca="1">INDIRECT(ADDRESS($B74,BN$50+$A74,1,1,$D74))</f>
        <v>254</v>
      </c>
      <c r="BO74" s="1" cm="1">
        <f t="array" aca="1" ref="BO74" ca="1">INDIRECT(ADDRESS($B74,BO$50+$A74,1,1,$D74))</f>
        <v>369</v>
      </c>
      <c r="BP74" s="1" cm="1">
        <f t="array" aca="1" ref="BP74" ca="1">INDIRECT(ADDRESS($B74,BP$50+$A74,1,1,$D74))</f>
        <v>499</v>
      </c>
      <c r="BQ74" s="1" cm="1">
        <f t="array" aca="1" ref="BQ74" ca="1">INDIRECT(ADDRESS($B74,BQ$50+$A74,1,1,$D74))</f>
        <v>461</v>
      </c>
      <c r="BR74" s="1" cm="1">
        <f t="array" aca="1" ref="BR74" ca="1">INDIRECT(ADDRESS($B74,BR$50+$A74,1,1,$D74))</f>
        <v>908</v>
      </c>
      <c r="BS74" s="1" cm="1">
        <f t="array" aca="1" ref="BS74" ca="1">INDIRECT(ADDRESS($B74,BS$50+$A74,1,1,$D74))</f>
        <v>1095</v>
      </c>
      <c r="BT74" s="1" cm="1">
        <f t="array" aca="1" ref="BT74" ca="1">INDIRECT(ADDRESS($B74,BT$50+$A74,1,1,$D74))</f>
        <v>1900</v>
      </c>
      <c r="BU74" s="1" cm="1">
        <f t="array" aca="1" ref="BU74" ca="1">INDIRECT(ADDRESS($B74,BU$50+$A74,1,1,$D74))</f>
        <v>1841</v>
      </c>
      <c r="BV74" s="1" cm="1">
        <f t="array" aca="1" ref="BV74" ca="1">INDIRECT(ADDRESS($B74,BV$50+$A74,1,1,$D74))</f>
        <v>0</v>
      </c>
    </row>
    <row r="75" spans="1:74" x14ac:dyDescent="0.25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</row>
    <row r="76" spans="1:74" x14ac:dyDescent="0.25">
      <c r="A76">
        <v>6</v>
      </c>
      <c r="B76">
        <f ca="1">MATCH("Country/Region",INDIRECT("'Confirmed'!A:A"),0)</f>
        <v>1</v>
      </c>
      <c r="C76" s="4" t="s">
        <v>165</v>
      </c>
      <c r="D76" s="4"/>
      <c r="E76" s="5" t="str" cm="1">
        <f t="array" aca="1" ref="E76" ca="1">INDIRECT(ADDRESS($B76,E$50+$A76,1,1,$C76))</f>
        <v>2020-01-22</v>
      </c>
      <c r="F76" s="5" t="str" cm="1">
        <f t="array" aca="1" ref="F76" ca="1">INDIRECT(ADDRESS($B76,F$50+$A76,1,1,$C76))</f>
        <v>2020-01-23</v>
      </c>
      <c r="G76" s="5" t="str" cm="1">
        <f t="array" aca="1" ref="G76" ca="1">INDIRECT(ADDRESS($B76,G$50+$A76,1,1,$C76))</f>
        <v>2020-01-24</v>
      </c>
      <c r="H76" s="5" t="str" cm="1">
        <f t="array" aca="1" ref="H76" ca="1">INDIRECT(ADDRESS($B76,H$50+$A76,1,1,$C76))</f>
        <v>2020-01-25</v>
      </c>
      <c r="I76" s="5" t="str" cm="1">
        <f t="array" aca="1" ref="I76" ca="1">INDIRECT(ADDRESS($B76,I$50+$A76,1,1,$C76))</f>
        <v>2020-01-26</v>
      </c>
      <c r="J76" s="5" t="str" cm="1">
        <f t="array" aca="1" ref="J76" ca="1">INDIRECT(ADDRESS($B76,J$50+$A76,1,1,$C76))</f>
        <v>2020-01-27</v>
      </c>
      <c r="K76" s="5" t="str" cm="1">
        <f t="array" aca="1" ref="K76" ca="1">INDIRECT(ADDRESS($B76,K$50+$A76,1,1,$C76))</f>
        <v>2020-01-28</v>
      </c>
      <c r="L76" s="5" t="str" cm="1">
        <f t="array" aca="1" ref="L76" ca="1">INDIRECT(ADDRESS($B76,L$50+$A76,1,1,$C76))</f>
        <v>2020-01-29</v>
      </c>
      <c r="M76" s="5" t="str" cm="1">
        <f t="array" aca="1" ref="M76" ca="1">INDIRECT(ADDRESS($B76,M$50+$A76,1,1,$C76))</f>
        <v>2020-01-30</v>
      </c>
      <c r="N76" s="5" t="str" cm="1">
        <f t="array" aca="1" ref="N76" ca="1">INDIRECT(ADDRESS($B76,N$50+$A76,1,1,$C76))</f>
        <v>2020-01-31</v>
      </c>
      <c r="O76" s="5" t="str" cm="1">
        <f t="array" aca="1" ref="O76" ca="1">INDIRECT(ADDRESS($B76,O$50+$A76,1,1,$C76))</f>
        <v>2020-02-01</v>
      </c>
      <c r="P76" s="5" t="str" cm="1">
        <f t="array" aca="1" ref="P76" ca="1">INDIRECT(ADDRESS($B76,P$50+$A76,1,1,$C76))</f>
        <v>2020-02-02</v>
      </c>
      <c r="Q76" s="5" t="str" cm="1">
        <f t="array" aca="1" ref="Q76" ca="1">INDIRECT(ADDRESS($B76,Q$50+$A76,1,1,$C76))</f>
        <v>2020-02-03</v>
      </c>
      <c r="R76" s="5" t="str" cm="1">
        <f t="array" aca="1" ref="R76" ca="1">INDIRECT(ADDRESS($B76,R$50+$A76,1,1,$C76))</f>
        <v>2020-02-04</v>
      </c>
      <c r="S76" s="5" t="str" cm="1">
        <f t="array" aca="1" ref="S76" ca="1">INDIRECT(ADDRESS($B76,S$50+$A76,1,1,$C76))</f>
        <v>2020-02-05</v>
      </c>
      <c r="T76" s="5" t="str" cm="1">
        <f t="array" aca="1" ref="T76" ca="1">INDIRECT(ADDRESS($B76,T$50+$A76,1,1,$C76))</f>
        <v>2020-02-06</v>
      </c>
      <c r="U76" s="5" t="str" cm="1">
        <f t="array" aca="1" ref="U76" ca="1">INDIRECT(ADDRESS($B76,U$50+$A76,1,1,$C76))</f>
        <v>2020-02-07</v>
      </c>
      <c r="V76" s="5" t="str" cm="1">
        <f t="array" aca="1" ref="V76" ca="1">INDIRECT(ADDRESS($B76,V$50+$A76,1,1,$C76))</f>
        <v>2020-02-08</v>
      </c>
      <c r="W76" s="5" t="str" cm="1">
        <f t="array" aca="1" ref="W76" ca="1">INDIRECT(ADDRESS($B76,W$50+$A76,1,1,$C76))</f>
        <v>2020-02-09</v>
      </c>
      <c r="X76" s="5" t="str" cm="1">
        <f t="array" aca="1" ref="X76" ca="1">INDIRECT(ADDRESS($B76,X$50+$A76,1,1,$C76))</f>
        <v>2020-02-10</v>
      </c>
      <c r="Y76" s="5" t="str" cm="1">
        <f t="array" aca="1" ref="Y76" ca="1">INDIRECT(ADDRESS($B76,Y$50+$A76,1,1,$C76))</f>
        <v>2020-02-11</v>
      </c>
      <c r="Z76" s="5" t="str" cm="1">
        <f t="array" aca="1" ref="Z76" ca="1">INDIRECT(ADDRESS($B76,Z$50+$A76,1,1,$C76))</f>
        <v>2020-02-12</v>
      </c>
      <c r="AA76" s="5" t="str" cm="1">
        <f t="array" aca="1" ref="AA76" ca="1">INDIRECT(ADDRESS($B76,AA$50+$A76,1,1,$C76))</f>
        <v>2020-02-13</v>
      </c>
      <c r="AB76" s="5" t="str" cm="1">
        <f t="array" aca="1" ref="AB76" ca="1">INDIRECT(ADDRESS($B76,AB$50+$A76,1,1,$C76))</f>
        <v>2020-02-14</v>
      </c>
      <c r="AC76" s="5" t="str" cm="1">
        <f t="array" aca="1" ref="AC76" ca="1">INDIRECT(ADDRESS($B76,AC$50+$A76,1,1,$C76))</f>
        <v>2020-02-15</v>
      </c>
      <c r="AD76" s="5" t="str" cm="1">
        <f t="array" aca="1" ref="AD76" ca="1">INDIRECT(ADDRESS($B76,AD$50+$A76,1,1,$C76))</f>
        <v>2020-02-16</v>
      </c>
      <c r="AE76" s="5" t="str" cm="1">
        <f t="array" aca="1" ref="AE76" ca="1">INDIRECT(ADDRESS($B76,AE$50+$A76,1,1,$C76))</f>
        <v>2020-02-17</v>
      </c>
      <c r="AF76" s="5" t="str" cm="1">
        <f t="array" aca="1" ref="AF76" ca="1">INDIRECT(ADDRESS($B76,AF$50+$A76,1,1,$C76))</f>
        <v>2020-02-18</v>
      </c>
      <c r="AG76" s="5" t="str" cm="1">
        <f t="array" aca="1" ref="AG76" ca="1">INDIRECT(ADDRESS($B76,AG$50+$A76,1,1,$C76))</f>
        <v>2020-02-19</v>
      </c>
      <c r="AH76" s="5" t="str" cm="1">
        <f t="array" aca="1" ref="AH76" ca="1">INDIRECT(ADDRESS($B76,AH$50+$A76,1,1,$C76))</f>
        <v>2020-02-20</v>
      </c>
      <c r="AI76" s="5" t="str" cm="1">
        <f t="array" aca="1" ref="AI76" ca="1">INDIRECT(ADDRESS($B76,AI$50+$A76,1,1,$C76))</f>
        <v>2020-02-21</v>
      </c>
      <c r="AJ76" s="5" t="str" cm="1">
        <f t="array" aca="1" ref="AJ76" ca="1">INDIRECT(ADDRESS($B76,AJ$50+$A76,1,1,$C76))</f>
        <v>2020-02-22</v>
      </c>
      <c r="AK76" s="5" t="str" cm="1">
        <f t="array" aca="1" ref="AK76" ca="1">INDIRECT(ADDRESS($B76,AK$50+$A76,1,1,$C76))</f>
        <v>2020-02-23</v>
      </c>
      <c r="AL76" s="5" t="str" cm="1">
        <f t="array" aca="1" ref="AL76" ca="1">INDIRECT(ADDRESS($B76,AL$50+$A76,1,1,$C76))</f>
        <v>2020-02-24</v>
      </c>
      <c r="AM76" s="5" t="str" cm="1">
        <f t="array" aca="1" ref="AM76" ca="1">INDIRECT(ADDRESS($B76,AM$50+$A76,1,1,$C76))</f>
        <v>2020-02-25</v>
      </c>
      <c r="AN76" s="5" t="str" cm="1">
        <f t="array" aca="1" ref="AN76" ca="1">INDIRECT(ADDRESS($B76,AN$50+$A76,1,1,$C76))</f>
        <v>2020-02-26</v>
      </c>
      <c r="AO76" s="5" t="str" cm="1">
        <f t="array" aca="1" ref="AO76" ca="1">INDIRECT(ADDRESS($B76,AO$50+$A76,1,1,$C76))</f>
        <v>2020-02-27</v>
      </c>
      <c r="AP76" s="5" t="str" cm="1">
        <f t="array" aca="1" ref="AP76" ca="1">INDIRECT(ADDRESS($B76,AP$50+$A76,1,1,$C76))</f>
        <v>2020-02-28</v>
      </c>
      <c r="AQ76" s="5" t="str" cm="1">
        <f t="array" aca="1" ref="AQ76" ca="1">INDIRECT(ADDRESS($B76,AQ$50+$A76,1,1,$C76))</f>
        <v>2020-02-29</v>
      </c>
      <c r="AR76" s="5" t="str" cm="1">
        <f t="array" aca="1" ref="AR76" ca="1">INDIRECT(ADDRESS($B76,AR$50+$A76,1,1,$C76))</f>
        <v>2020-03-01</v>
      </c>
      <c r="AS76" s="5" t="str" cm="1">
        <f t="array" aca="1" ref="AS76" ca="1">INDIRECT(ADDRESS($B76,AS$50+$A76,1,1,$C76))</f>
        <v>2020-03-02</v>
      </c>
      <c r="AT76" s="5" t="str" cm="1">
        <f t="array" aca="1" ref="AT76" ca="1">INDIRECT(ADDRESS($B76,AT$50+$A76,1,1,$C76))</f>
        <v>2020-03-03</v>
      </c>
      <c r="AU76" s="5" t="str" cm="1">
        <f t="array" aca="1" ref="AU76" ca="1">INDIRECT(ADDRESS($B76,AU$50+$A76,1,1,$C76))</f>
        <v>2020-03-04</v>
      </c>
      <c r="AV76" s="5" t="str" cm="1">
        <f t="array" aca="1" ref="AV76" ca="1">INDIRECT(ADDRESS($B76,AV$50+$A76,1,1,$C76))</f>
        <v>2020-03-05</v>
      </c>
      <c r="AW76" s="5" t="str" cm="1">
        <f t="array" aca="1" ref="AW76" ca="1">INDIRECT(ADDRESS($B76,AW$50+$A76,1,1,$C76))</f>
        <v>2020-03-06</v>
      </c>
      <c r="AX76" s="5" t="str" cm="1">
        <f t="array" aca="1" ref="AX76" ca="1">INDIRECT(ADDRESS($B76,AX$50+$A76,1,1,$C76))</f>
        <v>2020-03-07</v>
      </c>
      <c r="AY76" s="5" t="str" cm="1">
        <f t="array" aca="1" ref="AY76" ca="1">INDIRECT(ADDRESS($B76,AY$50+$A76,1,1,$C76))</f>
        <v>2020-03-08</v>
      </c>
      <c r="AZ76" s="5" t="str" cm="1">
        <f t="array" aca="1" ref="AZ76" ca="1">INDIRECT(ADDRESS($B76,AZ$50+$A76,1,1,$C76))</f>
        <v>2020-03-09</v>
      </c>
      <c r="BA76" s="5" t="str" cm="1">
        <f t="array" aca="1" ref="BA76" ca="1">INDIRECT(ADDRESS($B76,BA$50+$A76,1,1,$C76))</f>
        <v>2020-03-10</v>
      </c>
      <c r="BB76" s="5" t="str" cm="1">
        <f t="array" aca="1" ref="BB76" ca="1">INDIRECT(ADDRESS($B76,BB$50+$A76,1,1,$C76))</f>
        <v>2020-03-11</v>
      </c>
      <c r="BC76" s="5" t="str" cm="1">
        <f t="array" aca="1" ref="BC76" ca="1">INDIRECT(ADDRESS($B76,BC$50+$A76,1,1,$C76))</f>
        <v>2020-03-12</v>
      </c>
      <c r="BD76" s="5" t="str" cm="1">
        <f t="array" aca="1" ref="BD76" ca="1">INDIRECT(ADDRESS($B76,BD$50+$A76,1,1,$C76))</f>
        <v>2020-03-13</v>
      </c>
      <c r="BE76" s="5" t="str" cm="1">
        <f t="array" aca="1" ref="BE76" ca="1">INDIRECT(ADDRESS($B76,BE$50+$A76,1,1,$C76))</f>
        <v>2020-03-14</v>
      </c>
      <c r="BF76" s="5" t="str" cm="1">
        <f t="array" aca="1" ref="BF76" ca="1">INDIRECT(ADDRESS($B76,BF$50+$A76,1,1,$C76))</f>
        <v>2020-03-15</v>
      </c>
      <c r="BG76" s="5" t="str" cm="1">
        <f t="array" aca="1" ref="BG76" ca="1">INDIRECT(ADDRESS($B76,BG$50+$A76,1,1,$C76))</f>
        <v>2020-03-16</v>
      </c>
      <c r="BH76" s="5" t="str" cm="1">
        <f t="array" aca="1" ref="BH76" ca="1">INDIRECT(ADDRESS($B76,BH$50+$A76,1,1,$C76))</f>
        <v>2020-03-17</v>
      </c>
      <c r="BI76" s="5" t="str" cm="1">
        <f t="array" aca="1" ref="BI76" ca="1">INDIRECT(ADDRESS($B76,BI$50+$A76,1,1,$C76))</f>
        <v>2020-03-18</v>
      </c>
      <c r="BJ76" s="5" t="str" cm="1">
        <f t="array" aca="1" ref="BJ76" ca="1">INDIRECT(ADDRESS($B76,BJ$50+$A76,1,1,$C76))</f>
        <v>2020-03-19</v>
      </c>
      <c r="BK76" s="5" t="str" cm="1">
        <f t="array" aca="1" ref="BK76" ca="1">INDIRECT(ADDRESS($B76,BK$50+$A76,1,1,$C76))</f>
        <v>2020-03-20</v>
      </c>
      <c r="BL76" s="5" t="str" cm="1">
        <f t="array" aca="1" ref="BL76" ca="1">INDIRECT(ADDRESS($B76,BL$50+$A76,1,1,$C76))</f>
        <v>2020-03-21</v>
      </c>
      <c r="BM76" s="5" t="str" cm="1">
        <f t="array" aca="1" ref="BM76" ca="1">INDIRECT(ADDRESS($B76,BM$50+$A76,1,1,$C76))</f>
        <v>2020-03-22</v>
      </c>
      <c r="BN76" s="5" t="str" cm="1">
        <f t="array" aca="1" ref="BN76" ca="1">INDIRECT(ADDRESS($B76,BN$50+$A76,1,1,$C76))</f>
        <v>2020-03-23</v>
      </c>
      <c r="BO76" s="5" t="str" cm="1">
        <f t="array" aca="1" ref="BO76" ca="1">INDIRECT(ADDRESS($B76,BO$50+$A76,1,1,$C76))</f>
        <v>2020-03-24</v>
      </c>
      <c r="BP76" s="5" t="str" cm="1">
        <f t="array" aca="1" ref="BP76" ca="1">INDIRECT(ADDRESS($B76,BP$50+$A76,1,1,$C76))</f>
        <v>2020-03-25</v>
      </c>
      <c r="BQ76" s="5" t="str" cm="1">
        <f t="array" aca="1" ref="BQ76" ca="1">INDIRECT(ADDRESS($B76,BQ$50+$A76,1,1,$C76))</f>
        <v>2020-03-26</v>
      </c>
      <c r="BR76" s="5" t="str" cm="1">
        <f t="array" aca="1" ref="BR76" ca="1">INDIRECT(ADDRESS($B76,BR$50+$A76,1,1,$C76))</f>
        <v>2020-03-27</v>
      </c>
      <c r="BS76" s="5" t="str" cm="1">
        <f t="array" aca="1" ref="BS76" ca="1">INDIRECT(ADDRESS($B76,BS$50+$A76,1,1,$C76))</f>
        <v>2020-03-28</v>
      </c>
      <c r="BT76" s="5" t="str" cm="1">
        <f t="array" aca="1" ref="BT76" ca="1">INDIRECT(ADDRESS($B76,BT$50+$A76,1,1,$C76))</f>
        <v>2020-03-29</v>
      </c>
      <c r="BU76" s="5" t="str" cm="1">
        <f t="array" aca="1" ref="BU76" ca="1">INDIRECT(ADDRESS($B76,BU$50+$A76,1,1,$C76))</f>
        <v>2020-03-30</v>
      </c>
      <c r="BV76" s="5" cm="1">
        <f t="array" aca="1" ref="BV76" ca="1">INDIRECT(ADDRESS($B76,BV$50+$A76,1,1,$C76))</f>
        <v>0</v>
      </c>
    </row>
    <row r="77" spans="1:74" x14ac:dyDescent="0.25">
      <c r="A77">
        <v>6</v>
      </c>
      <c r="B77">
        <f ca="1">MATCH($C77,INDIRECT("'"&amp;$C$76&amp;"'!A:A"),0)</f>
        <v>9</v>
      </c>
      <c r="C77" s="1" t="str">
        <f>C8</f>
        <v>Italy</v>
      </c>
      <c r="D77" t="str">
        <f>C76</f>
        <v>Hospitalized</v>
      </c>
      <c r="E77" s="1" cm="1">
        <f t="array" aca="1" ref="E77" ca="1">INDIRECT(ADDRESS($B77,E$50+$A77,1,1,$D77))</f>
        <v>0</v>
      </c>
      <c r="F77" s="1" cm="1">
        <f t="array" aca="1" ref="F77" ca="1">INDIRECT(ADDRESS($B77,F$50+$A77,1,1,$D77))</f>
        <v>0</v>
      </c>
      <c r="G77" s="1" cm="1">
        <f t="array" aca="1" ref="G77" ca="1">INDIRECT(ADDRESS($B77,G$50+$A77,1,1,$D77))</f>
        <v>0</v>
      </c>
      <c r="H77" s="1" cm="1">
        <f t="array" aca="1" ref="H77" ca="1">INDIRECT(ADDRESS($B77,H$50+$A77,1,1,$D77))</f>
        <v>0</v>
      </c>
      <c r="I77" s="1" cm="1">
        <f t="array" aca="1" ref="I77" ca="1">INDIRECT(ADDRESS($B77,I$50+$A77,1,1,$D77))</f>
        <v>0</v>
      </c>
      <c r="J77" s="1" cm="1">
        <f t="array" aca="1" ref="J77" ca="1">INDIRECT(ADDRESS($B77,J$50+$A77,1,1,$D77))</f>
        <v>0</v>
      </c>
      <c r="K77" s="1" cm="1">
        <f t="array" aca="1" ref="K77" ca="1">INDIRECT(ADDRESS($B77,K$50+$A77,1,1,$D77))</f>
        <v>0</v>
      </c>
      <c r="L77" s="1" cm="1">
        <f t="array" aca="1" ref="L77" ca="1">INDIRECT(ADDRESS($B77,L$50+$A77,1,1,$D77))</f>
        <v>0</v>
      </c>
      <c r="M77" s="1" cm="1">
        <f t="array" aca="1" ref="M77" ca="1">INDIRECT(ADDRESS($B77,M$50+$A77,1,1,$D77))</f>
        <v>0</v>
      </c>
      <c r="N77" s="1" cm="1">
        <f t="array" aca="1" ref="N77" ca="1">INDIRECT(ADDRESS($B77,N$50+$A77,1,1,$D77))</f>
        <v>0</v>
      </c>
      <c r="O77" s="1" cm="1">
        <f t="array" aca="1" ref="O77" ca="1">INDIRECT(ADDRESS($B77,O$50+$A77,1,1,$D77))</f>
        <v>0</v>
      </c>
      <c r="P77" s="1" cm="1">
        <f t="array" aca="1" ref="P77" ca="1">INDIRECT(ADDRESS($B77,P$50+$A77,1,1,$D77))</f>
        <v>0</v>
      </c>
      <c r="Q77" s="1" cm="1">
        <f t="array" aca="1" ref="Q77" ca="1">INDIRECT(ADDRESS($B77,Q$50+$A77,1,1,$D77))</f>
        <v>0</v>
      </c>
      <c r="R77" s="1" cm="1">
        <f t="array" aca="1" ref="R77" ca="1">INDIRECT(ADDRESS($B77,R$50+$A77,1,1,$D77))</f>
        <v>0</v>
      </c>
      <c r="S77" s="1" cm="1">
        <f t="array" aca="1" ref="S77" ca="1">INDIRECT(ADDRESS($B77,S$50+$A77,1,1,$D77))</f>
        <v>0</v>
      </c>
      <c r="T77" s="1" cm="1">
        <f t="array" aca="1" ref="T77" ca="1">INDIRECT(ADDRESS($B77,T$50+$A77,1,1,$D77))</f>
        <v>0</v>
      </c>
      <c r="U77" s="1" cm="1">
        <f t="array" aca="1" ref="U77" ca="1">INDIRECT(ADDRESS($B77,U$50+$A77,1,1,$D77))</f>
        <v>0</v>
      </c>
      <c r="V77" s="1" cm="1">
        <f t="array" aca="1" ref="V77" ca="1">INDIRECT(ADDRESS($B77,V$50+$A77,1,1,$D77))</f>
        <v>0</v>
      </c>
      <c r="W77" s="1" cm="1">
        <f t="array" aca="1" ref="W77" ca="1">INDIRECT(ADDRESS($B77,W$50+$A77,1,1,$D77))</f>
        <v>0</v>
      </c>
      <c r="X77" s="1" cm="1">
        <f t="array" aca="1" ref="X77" ca="1">INDIRECT(ADDRESS($B77,X$50+$A77,1,1,$D77))</f>
        <v>0</v>
      </c>
      <c r="Y77" s="1" cm="1">
        <f t="array" aca="1" ref="Y77" ca="1">INDIRECT(ADDRESS($B77,Y$50+$A77,1,1,$D77))</f>
        <v>0</v>
      </c>
      <c r="Z77" s="1" cm="1">
        <f t="array" aca="1" ref="Z77" ca="1">INDIRECT(ADDRESS($B77,Z$50+$A77,1,1,$D77))</f>
        <v>0</v>
      </c>
      <c r="AA77" s="1" cm="1">
        <f t="array" aca="1" ref="AA77" ca="1">INDIRECT(ADDRESS($B77,AA$50+$A77,1,1,$D77))</f>
        <v>0</v>
      </c>
      <c r="AB77" s="1" cm="1">
        <f t="array" aca="1" ref="AB77" ca="1">INDIRECT(ADDRESS($B77,AB$50+$A77,1,1,$D77))</f>
        <v>0</v>
      </c>
      <c r="AC77" s="1" cm="1">
        <f t="array" aca="1" ref="AC77" ca="1">INDIRECT(ADDRESS($B77,AC$50+$A77,1,1,$D77))</f>
        <v>0</v>
      </c>
      <c r="AD77" s="1" cm="1">
        <f t="array" aca="1" ref="AD77" ca="1">INDIRECT(ADDRESS($B77,AD$50+$A77,1,1,$D77))</f>
        <v>0</v>
      </c>
      <c r="AE77" s="1" cm="1">
        <f t="array" aca="1" ref="AE77" ca="1">INDIRECT(ADDRESS($B77,AE$50+$A77,1,1,$D77))</f>
        <v>0</v>
      </c>
      <c r="AF77" s="1" cm="1">
        <f t="array" aca="1" ref="AF77" ca="1">INDIRECT(ADDRESS($B77,AF$50+$A77,1,1,$D77))</f>
        <v>0</v>
      </c>
      <c r="AG77" s="1" cm="1">
        <f t="array" aca="1" ref="AG77" ca="1">INDIRECT(ADDRESS($B77,AG$50+$A77,1,1,$D77))</f>
        <v>0</v>
      </c>
      <c r="AH77" s="1" cm="1">
        <f t="array" aca="1" ref="AH77" ca="1">INDIRECT(ADDRESS($B77,AH$50+$A77,1,1,$D77))</f>
        <v>0</v>
      </c>
      <c r="AI77" s="1" cm="1">
        <f t="array" aca="1" ref="AI77" ca="1">INDIRECT(ADDRESS($B77,AI$50+$A77,1,1,$D77))</f>
        <v>0</v>
      </c>
      <c r="AJ77" s="1" cm="1">
        <f t="array" aca="1" ref="AJ77" ca="1">INDIRECT(ADDRESS($B77,AJ$50+$A77,1,1,$D77))</f>
        <v>0</v>
      </c>
      <c r="AK77" s="1" cm="1">
        <f t="array" aca="1" ref="AK77" ca="1">INDIRECT(ADDRESS($B77,AK$50+$A77,1,1,$D77))</f>
        <v>0</v>
      </c>
      <c r="AL77" s="1" cm="1">
        <f t="array" aca="1" ref="AL77" ca="1">INDIRECT(ADDRESS($B77,AL$50+$A77,1,1,$D77))</f>
        <v>0</v>
      </c>
      <c r="AM77" s="1" cm="1">
        <f t="array" aca="1" ref="AM77" ca="1">INDIRECT(ADDRESS($B77,AM$50+$A77,1,1,$D77))</f>
        <v>0</v>
      </c>
      <c r="AN77" s="1" cm="1">
        <f t="array" aca="1" ref="AN77" ca="1">INDIRECT(ADDRESS($B77,AN$50+$A77,1,1,$D77))</f>
        <v>0</v>
      </c>
      <c r="AO77" s="1" cm="1">
        <f t="array" aca="1" ref="AO77" ca="1">INDIRECT(ADDRESS($B77,AO$50+$A77,1,1,$D77))</f>
        <v>0</v>
      </c>
      <c r="AP77" s="1" cm="1">
        <f t="array" aca="1" ref="AP77" ca="1">INDIRECT(ADDRESS($B77,AP$50+$A77,1,1,$D77))</f>
        <v>0</v>
      </c>
      <c r="AQ77" s="1" cm="1">
        <f t="array" aca="1" ref="AQ77" ca="1">INDIRECT(ADDRESS($B77,AQ$50+$A77,1,1,$D77))</f>
        <v>0</v>
      </c>
      <c r="AR77" s="1" cm="1">
        <f t="array" aca="1" ref="AR77" ca="1">INDIRECT(ADDRESS($B77,AR$50+$A77,1,1,$D77))</f>
        <v>0</v>
      </c>
      <c r="AS77" s="1" cm="1">
        <f t="array" aca="1" ref="AS77" ca="1">INDIRECT(ADDRESS($B77,AS$50+$A77,1,1,$D77))</f>
        <v>0</v>
      </c>
      <c r="AT77" s="1" cm="1">
        <f t="array" aca="1" ref="AT77" ca="1">INDIRECT(ADDRESS($B77,AT$50+$A77,1,1,$D77))</f>
        <v>0</v>
      </c>
      <c r="AU77" s="1" cm="1">
        <f t="array" aca="1" ref="AU77" ca="1">INDIRECT(ADDRESS($B77,AU$50+$A77,1,1,$D77))</f>
        <v>0</v>
      </c>
      <c r="AV77" s="1" cm="1">
        <f t="array" aca="1" ref="AV77" ca="1">INDIRECT(ADDRESS($B77,AV$50+$A77,1,1,$D77))</f>
        <v>0</v>
      </c>
      <c r="AW77" s="1" cm="1">
        <f t="array" aca="1" ref="AW77" ca="1">INDIRECT(ADDRESS($B77,AW$50+$A77,1,1,$D77))</f>
        <v>0</v>
      </c>
      <c r="AX77" s="1" cm="1">
        <f t="array" aca="1" ref="AX77" ca="1">INDIRECT(ADDRESS($B77,AX$50+$A77,1,1,$D77))</f>
        <v>0</v>
      </c>
      <c r="AY77" s="1" cm="1">
        <f t="array" aca="1" ref="AY77" ca="1">INDIRECT(ADDRESS($B77,AY$50+$A77,1,1,$D77))</f>
        <v>0</v>
      </c>
      <c r="AZ77" s="1" cm="1">
        <f t="array" aca="1" ref="AZ77" ca="1">INDIRECT(ADDRESS($B77,AZ$50+$A77,1,1,$D77))</f>
        <v>0</v>
      </c>
      <c r="BA77" s="1" cm="1">
        <f t="array" aca="1" ref="BA77" ca="1">INDIRECT(ADDRESS($B77,BA$50+$A77,1,1,$D77))</f>
        <v>0</v>
      </c>
      <c r="BB77" s="1" cm="1">
        <f t="array" aca="1" ref="BB77" ca="1">INDIRECT(ADDRESS($B77,BB$50+$A77,1,1,$D77))</f>
        <v>0</v>
      </c>
      <c r="BC77" s="1" cm="1">
        <f t="array" aca="1" ref="BC77" ca="1">INDIRECT(ADDRESS($B77,BC$50+$A77,1,1,$D77))</f>
        <v>0</v>
      </c>
      <c r="BD77" s="1" cm="1">
        <f t="array" aca="1" ref="BD77" ca="1">INDIRECT(ADDRESS($B77,BD$50+$A77,1,1,$D77))</f>
        <v>0</v>
      </c>
      <c r="BE77" s="1" cm="1">
        <f t="array" aca="1" ref="BE77" ca="1">INDIRECT(ADDRESS($B77,BE$50+$A77,1,1,$D77))</f>
        <v>0</v>
      </c>
      <c r="BF77" s="1" cm="1">
        <f t="array" aca="1" ref="BF77" ca="1">INDIRECT(ADDRESS($B77,BF$50+$A77,1,1,$D77))</f>
        <v>0</v>
      </c>
      <c r="BG77" s="1" cm="1">
        <f t="array" aca="1" ref="BG77" ca="1">INDIRECT(ADDRESS($B77,BG$50+$A77,1,1,$D77))</f>
        <v>0</v>
      </c>
      <c r="BH77" s="1" cm="1">
        <f t="array" aca="1" ref="BH77" ca="1">INDIRECT(ADDRESS($B77,BH$50+$A77,1,1,$D77))</f>
        <v>0</v>
      </c>
      <c r="BI77" s="1" cm="1">
        <f t="array" aca="1" ref="BI77" ca="1">INDIRECT(ADDRESS($B77,BI$50+$A77,1,1,$D77))</f>
        <v>0</v>
      </c>
      <c r="BJ77" s="1" cm="1">
        <f t="array" aca="1" ref="BJ77" ca="1">INDIRECT(ADDRESS($B77,BJ$50+$A77,1,1,$D77))</f>
        <v>0</v>
      </c>
      <c r="BK77" s="1" cm="1">
        <f t="array" aca="1" ref="BK77" ca="1">INDIRECT(ADDRESS($B77,BK$50+$A77,1,1,$D77))</f>
        <v>0</v>
      </c>
      <c r="BL77" s="1" cm="1">
        <f t="array" aca="1" ref="BL77" ca="1">INDIRECT(ADDRESS($B77,BL$50+$A77,1,1,$D77))</f>
        <v>0</v>
      </c>
      <c r="BM77" s="1" cm="1">
        <f t="array" aca="1" ref="BM77" ca="1">INDIRECT(ADDRESS($B77,BM$50+$A77,1,1,$D77))</f>
        <v>0</v>
      </c>
      <c r="BN77" s="1" cm="1">
        <f t="array" aca="1" ref="BN77" ca="1">INDIRECT(ADDRESS($B77,BN$50+$A77,1,1,$D77))</f>
        <v>0</v>
      </c>
      <c r="BO77" s="1" cm="1">
        <f t="array" aca="1" ref="BO77" ca="1">INDIRECT(ADDRESS($B77,BO$50+$A77,1,1,$D77))</f>
        <v>0</v>
      </c>
      <c r="BP77" s="1" cm="1">
        <f t="array" aca="1" ref="BP77" ca="1">INDIRECT(ADDRESS($B77,BP$50+$A77,1,1,$D77))</f>
        <v>0</v>
      </c>
      <c r="BQ77" s="1" cm="1">
        <f t="array" aca="1" ref="BQ77" ca="1">INDIRECT(ADDRESS($B77,BQ$50+$A77,1,1,$D77))</f>
        <v>0</v>
      </c>
      <c r="BR77" s="1" cm="1">
        <f t="array" aca="1" ref="BR77" ca="1">INDIRECT(ADDRESS($B77,BR$50+$A77,1,1,$D77))</f>
        <v>0</v>
      </c>
      <c r="BS77" s="1" cm="1">
        <f t="array" aca="1" ref="BS77" ca="1">INDIRECT(ADDRESS($B77,BS$50+$A77,1,1,$D77))</f>
        <v>0</v>
      </c>
      <c r="BT77" s="1" cm="1">
        <f t="array" aca="1" ref="BT77" ca="1">INDIRECT(ADDRESS($B77,BT$50+$A77,1,1,$D77))</f>
        <v>0</v>
      </c>
      <c r="BU77" s="1" cm="1">
        <f t="array" aca="1" ref="BU77" ca="1">INDIRECT(ADDRESS($B77,BU$50+$A77,1,1,$D77))</f>
        <v>0</v>
      </c>
      <c r="BV77" s="1" cm="1">
        <f t="array" aca="1" ref="BV77" ca="1">INDIRECT(ADDRESS($B77,BV$50+$A77,1,1,$D77))</f>
        <v>0</v>
      </c>
    </row>
    <row r="78" spans="1:74" x14ac:dyDescent="0.25">
      <c r="A78">
        <v>6</v>
      </c>
      <c r="B78">
        <f t="shared" ref="B78:B80" ca="1" si="8">MATCH($C78,INDIRECT("'"&amp;$C$76&amp;"'!A:A"),0)</f>
        <v>12</v>
      </c>
      <c r="C78" s="1" t="str">
        <f t="shared" ref="C78:C80" si="9">C9</f>
        <v>Spain</v>
      </c>
      <c r="D78" t="str">
        <f>D77</f>
        <v>Hospitalized</v>
      </c>
      <c r="E78" s="1" cm="1">
        <f t="array" aca="1" ref="E78" ca="1">INDIRECT(ADDRESS($B78,E$50+$A78,1,1,$D78))</f>
        <v>0</v>
      </c>
      <c r="F78" s="1" cm="1">
        <f t="array" aca="1" ref="F78" ca="1">INDIRECT(ADDRESS($B78,F$50+$A78,1,1,$D78))</f>
        <v>0</v>
      </c>
      <c r="G78" s="1" cm="1">
        <f t="array" aca="1" ref="G78" ca="1">INDIRECT(ADDRESS($B78,G$50+$A78,1,1,$D78))</f>
        <v>0</v>
      </c>
      <c r="H78" s="1" cm="1">
        <f t="array" aca="1" ref="H78" ca="1">INDIRECT(ADDRESS($B78,H$50+$A78,1,1,$D78))</f>
        <v>0</v>
      </c>
      <c r="I78" s="1" cm="1">
        <f t="array" aca="1" ref="I78" ca="1">INDIRECT(ADDRESS($B78,I$50+$A78,1,1,$D78))</f>
        <v>0</v>
      </c>
      <c r="J78" s="1" cm="1">
        <f t="array" aca="1" ref="J78" ca="1">INDIRECT(ADDRESS($B78,J$50+$A78,1,1,$D78))</f>
        <v>0</v>
      </c>
      <c r="K78" s="1" cm="1">
        <f t="array" aca="1" ref="K78" ca="1">INDIRECT(ADDRESS($B78,K$50+$A78,1,1,$D78))</f>
        <v>0</v>
      </c>
      <c r="L78" s="1" cm="1">
        <f t="array" aca="1" ref="L78" ca="1">INDIRECT(ADDRESS($B78,L$50+$A78,1,1,$D78))</f>
        <v>0</v>
      </c>
      <c r="M78" s="1" cm="1">
        <f t="array" aca="1" ref="M78" ca="1">INDIRECT(ADDRESS($B78,M$50+$A78,1,1,$D78))</f>
        <v>0</v>
      </c>
      <c r="N78" s="1" cm="1">
        <f t="array" aca="1" ref="N78" ca="1">INDIRECT(ADDRESS($B78,N$50+$A78,1,1,$D78))</f>
        <v>0</v>
      </c>
      <c r="O78" s="1" cm="1">
        <f t="array" aca="1" ref="O78" ca="1">INDIRECT(ADDRESS($B78,O$50+$A78,1,1,$D78))</f>
        <v>0</v>
      </c>
      <c r="P78" s="1" cm="1">
        <f t="array" aca="1" ref="P78" ca="1">INDIRECT(ADDRESS($B78,P$50+$A78,1,1,$D78))</f>
        <v>0</v>
      </c>
      <c r="Q78" s="1" cm="1">
        <f t="array" aca="1" ref="Q78" ca="1">INDIRECT(ADDRESS($B78,Q$50+$A78,1,1,$D78))</f>
        <v>0</v>
      </c>
      <c r="R78" s="1" cm="1">
        <f t="array" aca="1" ref="R78" ca="1">INDIRECT(ADDRESS($B78,R$50+$A78,1,1,$D78))</f>
        <v>0</v>
      </c>
      <c r="S78" s="1" cm="1">
        <f t="array" aca="1" ref="S78" ca="1">INDIRECT(ADDRESS($B78,S$50+$A78,1,1,$D78))</f>
        <v>0</v>
      </c>
      <c r="T78" s="1" cm="1">
        <f t="array" aca="1" ref="T78" ca="1">INDIRECT(ADDRESS($B78,T$50+$A78,1,1,$D78))</f>
        <v>0</v>
      </c>
      <c r="U78" s="1" cm="1">
        <f t="array" aca="1" ref="U78" ca="1">INDIRECT(ADDRESS($B78,U$50+$A78,1,1,$D78))</f>
        <v>0</v>
      </c>
      <c r="V78" s="1" cm="1">
        <f t="array" aca="1" ref="V78" ca="1">INDIRECT(ADDRESS($B78,V$50+$A78,1,1,$D78))</f>
        <v>0</v>
      </c>
      <c r="W78" s="1" cm="1">
        <f t="array" aca="1" ref="W78" ca="1">INDIRECT(ADDRESS($B78,W$50+$A78,1,1,$D78))</f>
        <v>0</v>
      </c>
      <c r="X78" s="1" cm="1">
        <f t="array" aca="1" ref="X78" ca="1">INDIRECT(ADDRESS($B78,X$50+$A78,1,1,$D78))</f>
        <v>0</v>
      </c>
      <c r="Y78" s="1" cm="1">
        <f t="array" aca="1" ref="Y78" ca="1">INDIRECT(ADDRESS($B78,Y$50+$A78,1,1,$D78))</f>
        <v>0</v>
      </c>
      <c r="Z78" s="1" cm="1">
        <f t="array" aca="1" ref="Z78" ca="1">INDIRECT(ADDRESS($B78,Z$50+$A78,1,1,$D78))</f>
        <v>0</v>
      </c>
      <c r="AA78" s="1" cm="1">
        <f t="array" aca="1" ref="AA78" ca="1">INDIRECT(ADDRESS($B78,AA$50+$A78,1,1,$D78))</f>
        <v>0</v>
      </c>
      <c r="AB78" s="1" cm="1">
        <f t="array" aca="1" ref="AB78" ca="1">INDIRECT(ADDRESS($B78,AB$50+$A78,1,1,$D78))</f>
        <v>0</v>
      </c>
      <c r="AC78" s="1" cm="1">
        <f t="array" aca="1" ref="AC78" ca="1">INDIRECT(ADDRESS($B78,AC$50+$A78,1,1,$D78))</f>
        <v>0</v>
      </c>
      <c r="AD78" s="1" cm="1">
        <f t="array" aca="1" ref="AD78" ca="1">INDIRECT(ADDRESS($B78,AD$50+$A78,1,1,$D78))</f>
        <v>0</v>
      </c>
      <c r="AE78" s="1" cm="1">
        <f t="array" aca="1" ref="AE78" ca="1">INDIRECT(ADDRESS($B78,AE$50+$A78,1,1,$D78))</f>
        <v>0</v>
      </c>
      <c r="AF78" s="1" cm="1">
        <f t="array" aca="1" ref="AF78" ca="1">INDIRECT(ADDRESS($B78,AF$50+$A78,1,1,$D78))</f>
        <v>0</v>
      </c>
      <c r="AG78" s="1" cm="1">
        <f t="array" aca="1" ref="AG78" ca="1">INDIRECT(ADDRESS($B78,AG$50+$A78,1,1,$D78))</f>
        <v>0</v>
      </c>
      <c r="AH78" s="1" cm="1">
        <f t="array" aca="1" ref="AH78" ca="1">INDIRECT(ADDRESS($B78,AH$50+$A78,1,1,$D78))</f>
        <v>0</v>
      </c>
      <c r="AI78" s="1" cm="1">
        <f t="array" aca="1" ref="AI78" ca="1">INDIRECT(ADDRESS($B78,AI$50+$A78,1,1,$D78))</f>
        <v>0</v>
      </c>
      <c r="AJ78" s="1" cm="1">
        <f t="array" aca="1" ref="AJ78" ca="1">INDIRECT(ADDRESS($B78,AJ$50+$A78,1,1,$D78))</f>
        <v>0</v>
      </c>
      <c r="AK78" s="1" cm="1">
        <f t="array" aca="1" ref="AK78" ca="1">INDIRECT(ADDRESS($B78,AK$50+$A78,1,1,$D78))</f>
        <v>0</v>
      </c>
      <c r="AL78" s="1" cm="1">
        <f t="array" aca="1" ref="AL78" ca="1">INDIRECT(ADDRESS($B78,AL$50+$A78,1,1,$D78))</f>
        <v>0</v>
      </c>
      <c r="AM78" s="1" cm="1">
        <f t="array" aca="1" ref="AM78" ca="1">INDIRECT(ADDRESS($B78,AM$50+$A78,1,1,$D78))</f>
        <v>0</v>
      </c>
      <c r="AN78" s="1" cm="1">
        <f t="array" aca="1" ref="AN78" ca="1">INDIRECT(ADDRESS($B78,AN$50+$A78,1,1,$D78))</f>
        <v>0</v>
      </c>
      <c r="AO78" s="1" cm="1">
        <f t="array" aca="1" ref="AO78" ca="1">INDIRECT(ADDRESS($B78,AO$50+$A78,1,1,$D78))</f>
        <v>0</v>
      </c>
      <c r="AP78" s="1" cm="1">
        <f t="array" aca="1" ref="AP78" ca="1">INDIRECT(ADDRESS($B78,AP$50+$A78,1,1,$D78))</f>
        <v>0</v>
      </c>
      <c r="AQ78" s="1" cm="1">
        <f t="array" aca="1" ref="AQ78" ca="1">INDIRECT(ADDRESS($B78,AQ$50+$A78,1,1,$D78))</f>
        <v>0</v>
      </c>
      <c r="AR78" s="1" cm="1">
        <f t="array" aca="1" ref="AR78" ca="1">INDIRECT(ADDRESS($B78,AR$50+$A78,1,1,$D78))</f>
        <v>0</v>
      </c>
      <c r="AS78" s="1" cm="1">
        <f t="array" aca="1" ref="AS78" ca="1">INDIRECT(ADDRESS($B78,AS$50+$A78,1,1,$D78))</f>
        <v>0</v>
      </c>
      <c r="AT78" s="1" cm="1">
        <f t="array" aca="1" ref="AT78" ca="1">INDIRECT(ADDRESS($B78,AT$50+$A78,1,1,$D78))</f>
        <v>0</v>
      </c>
      <c r="AU78" s="1" cm="1">
        <f t="array" aca="1" ref="AU78" ca="1">INDIRECT(ADDRESS($B78,AU$50+$A78,1,1,$D78))</f>
        <v>0</v>
      </c>
      <c r="AV78" s="1" cm="1">
        <f t="array" aca="1" ref="AV78" ca="1">INDIRECT(ADDRESS($B78,AV$50+$A78,1,1,$D78))</f>
        <v>0</v>
      </c>
      <c r="AW78" s="1" cm="1">
        <f t="array" aca="1" ref="AW78" ca="1">INDIRECT(ADDRESS($B78,AW$50+$A78,1,1,$D78))</f>
        <v>0</v>
      </c>
      <c r="AX78" s="1" cm="1">
        <f t="array" aca="1" ref="AX78" ca="1">INDIRECT(ADDRESS($B78,AX$50+$A78,1,1,$D78))</f>
        <v>0</v>
      </c>
      <c r="AY78" s="1" cm="1">
        <f t="array" aca="1" ref="AY78" ca="1">INDIRECT(ADDRESS($B78,AY$50+$A78,1,1,$D78))</f>
        <v>0</v>
      </c>
      <c r="AZ78" s="1" cm="1">
        <f t="array" aca="1" ref="AZ78" ca="1">INDIRECT(ADDRESS($B78,AZ$50+$A78,1,1,$D78))</f>
        <v>0</v>
      </c>
      <c r="BA78" s="1" cm="1">
        <f t="array" aca="1" ref="BA78" ca="1">INDIRECT(ADDRESS($B78,BA$50+$A78,1,1,$D78))</f>
        <v>0</v>
      </c>
      <c r="BB78" s="1" cm="1">
        <f t="array" aca="1" ref="BB78" ca="1">INDIRECT(ADDRESS($B78,BB$50+$A78,1,1,$D78))</f>
        <v>0</v>
      </c>
      <c r="BC78" s="1" cm="1">
        <f t="array" aca="1" ref="BC78" ca="1">INDIRECT(ADDRESS($B78,BC$50+$A78,1,1,$D78))</f>
        <v>0</v>
      </c>
      <c r="BD78" s="1" cm="1">
        <f t="array" aca="1" ref="BD78" ca="1">INDIRECT(ADDRESS($B78,BD$50+$A78,1,1,$D78))</f>
        <v>0</v>
      </c>
      <c r="BE78" s="1" cm="1">
        <f t="array" aca="1" ref="BE78" ca="1">INDIRECT(ADDRESS($B78,BE$50+$A78,1,1,$D78))</f>
        <v>0</v>
      </c>
      <c r="BF78" s="1" cm="1">
        <f t="array" aca="1" ref="BF78" ca="1">INDIRECT(ADDRESS($B78,BF$50+$A78,1,1,$D78))</f>
        <v>0</v>
      </c>
      <c r="BG78" s="1" cm="1">
        <f t="array" aca="1" ref="BG78" ca="1">INDIRECT(ADDRESS($B78,BG$50+$A78,1,1,$D78))</f>
        <v>0</v>
      </c>
      <c r="BH78" s="1" cm="1">
        <f t="array" aca="1" ref="BH78" ca="1">INDIRECT(ADDRESS($B78,BH$50+$A78,1,1,$D78))</f>
        <v>0</v>
      </c>
      <c r="BI78" s="1" cm="1">
        <f t="array" aca="1" ref="BI78" ca="1">INDIRECT(ADDRESS($B78,BI$50+$A78,1,1,$D78))</f>
        <v>0</v>
      </c>
      <c r="BJ78" s="1" cm="1">
        <f t="array" aca="1" ref="BJ78" ca="1">INDIRECT(ADDRESS($B78,BJ$50+$A78,1,1,$D78))</f>
        <v>0</v>
      </c>
      <c r="BK78" s="1" cm="1">
        <f t="array" aca="1" ref="BK78" ca="1">INDIRECT(ADDRESS($B78,BK$50+$A78,1,1,$D78))</f>
        <v>0</v>
      </c>
      <c r="BL78" s="1" cm="1">
        <f t="array" aca="1" ref="BL78" ca="1">INDIRECT(ADDRESS($B78,BL$50+$A78,1,1,$D78))</f>
        <v>0</v>
      </c>
      <c r="BM78" s="1" cm="1">
        <f t="array" aca="1" ref="BM78" ca="1">INDIRECT(ADDRESS($B78,BM$50+$A78,1,1,$D78))</f>
        <v>0</v>
      </c>
      <c r="BN78" s="1" cm="1">
        <f t="array" aca="1" ref="BN78" ca="1">INDIRECT(ADDRESS($B78,BN$50+$A78,1,1,$D78))</f>
        <v>0</v>
      </c>
      <c r="BO78" s="1" cm="1">
        <f t="array" aca="1" ref="BO78" ca="1">INDIRECT(ADDRESS($B78,BO$50+$A78,1,1,$D78))</f>
        <v>0</v>
      </c>
      <c r="BP78" s="1" cm="1">
        <f t="array" aca="1" ref="BP78" ca="1">INDIRECT(ADDRESS($B78,BP$50+$A78,1,1,$D78))</f>
        <v>0</v>
      </c>
      <c r="BQ78" s="1" cm="1">
        <f t="array" aca="1" ref="BQ78" ca="1">INDIRECT(ADDRESS($B78,BQ$50+$A78,1,1,$D78))</f>
        <v>0</v>
      </c>
      <c r="BR78" s="1" cm="1">
        <f t="array" aca="1" ref="BR78" ca="1">INDIRECT(ADDRESS($B78,BR$50+$A78,1,1,$D78))</f>
        <v>0</v>
      </c>
      <c r="BS78" s="1" cm="1">
        <f t="array" aca="1" ref="BS78" ca="1">INDIRECT(ADDRESS($B78,BS$50+$A78,1,1,$D78))</f>
        <v>0</v>
      </c>
      <c r="BT78" s="1" cm="1">
        <f t="array" aca="1" ref="BT78" ca="1">INDIRECT(ADDRESS($B78,BT$50+$A78,1,1,$D78))</f>
        <v>0</v>
      </c>
      <c r="BU78" s="1" cm="1">
        <f t="array" aca="1" ref="BU78" ca="1">INDIRECT(ADDRESS($B78,BU$50+$A78,1,1,$D78))</f>
        <v>0</v>
      </c>
      <c r="BV78" s="1" cm="1">
        <f t="array" aca="1" ref="BV78" ca="1">INDIRECT(ADDRESS($B78,BV$50+$A78,1,1,$D78))</f>
        <v>0</v>
      </c>
    </row>
    <row r="79" spans="1:74" x14ac:dyDescent="0.25">
      <c r="A79">
        <v>6</v>
      </c>
      <c r="B79">
        <f t="shared" ca="1" si="8"/>
        <v>15</v>
      </c>
      <c r="C79" s="1" t="str">
        <f t="shared" si="9"/>
        <v>US</v>
      </c>
      <c r="D79" t="str">
        <f>D78</f>
        <v>Hospitalized</v>
      </c>
      <c r="E79" s="1" cm="1">
        <f t="array" aca="1" ref="E79" ca="1">INDIRECT(ADDRESS($B79,E$50+$A79,1,1,$D79))</f>
        <v>0</v>
      </c>
      <c r="F79" s="1" cm="1">
        <f t="array" aca="1" ref="F79" ca="1">INDIRECT(ADDRESS($B79,F$50+$A79,1,1,$D79))</f>
        <v>0</v>
      </c>
      <c r="G79" s="1" cm="1">
        <f t="array" aca="1" ref="G79" ca="1">INDIRECT(ADDRESS($B79,G$50+$A79,1,1,$D79))</f>
        <v>0</v>
      </c>
      <c r="H79" s="1" cm="1">
        <f t="array" aca="1" ref="H79" ca="1">INDIRECT(ADDRESS($B79,H$50+$A79,1,1,$D79))</f>
        <v>0</v>
      </c>
      <c r="I79" s="1" cm="1">
        <f t="array" aca="1" ref="I79" ca="1">INDIRECT(ADDRESS($B79,I$50+$A79,1,1,$D79))</f>
        <v>0</v>
      </c>
      <c r="J79" s="1" cm="1">
        <f t="array" aca="1" ref="J79" ca="1">INDIRECT(ADDRESS($B79,J$50+$A79,1,1,$D79))</f>
        <v>0</v>
      </c>
      <c r="K79" s="1" cm="1">
        <f t="array" aca="1" ref="K79" ca="1">INDIRECT(ADDRESS($B79,K$50+$A79,1,1,$D79))</f>
        <v>0</v>
      </c>
      <c r="L79" s="1" cm="1">
        <f t="array" aca="1" ref="L79" ca="1">INDIRECT(ADDRESS($B79,L$50+$A79,1,1,$D79))</f>
        <v>0</v>
      </c>
      <c r="M79" s="1" cm="1">
        <f t="array" aca="1" ref="M79" ca="1">INDIRECT(ADDRESS($B79,M$50+$A79,1,1,$D79))</f>
        <v>0</v>
      </c>
      <c r="N79" s="1" cm="1">
        <f t="array" aca="1" ref="N79" ca="1">INDIRECT(ADDRESS($B79,N$50+$A79,1,1,$D79))</f>
        <v>0</v>
      </c>
      <c r="O79" s="1" cm="1">
        <f t="array" aca="1" ref="O79" ca="1">INDIRECT(ADDRESS($B79,O$50+$A79,1,1,$D79))</f>
        <v>0</v>
      </c>
      <c r="P79" s="1" cm="1">
        <f t="array" aca="1" ref="P79" ca="1">INDIRECT(ADDRESS($B79,P$50+$A79,1,1,$D79))</f>
        <v>0</v>
      </c>
      <c r="Q79" s="1" cm="1">
        <f t="array" aca="1" ref="Q79" ca="1">INDIRECT(ADDRESS($B79,Q$50+$A79,1,1,$D79))</f>
        <v>0</v>
      </c>
      <c r="R79" s="1" cm="1">
        <f t="array" aca="1" ref="R79" ca="1">INDIRECT(ADDRESS($B79,R$50+$A79,1,1,$D79))</f>
        <v>0</v>
      </c>
      <c r="S79" s="1" cm="1">
        <f t="array" aca="1" ref="S79" ca="1">INDIRECT(ADDRESS($B79,S$50+$A79,1,1,$D79))</f>
        <v>0</v>
      </c>
      <c r="T79" s="1" cm="1">
        <f t="array" aca="1" ref="T79" ca="1">INDIRECT(ADDRESS($B79,T$50+$A79,1,1,$D79))</f>
        <v>0</v>
      </c>
      <c r="U79" s="1" cm="1">
        <f t="array" aca="1" ref="U79" ca="1">INDIRECT(ADDRESS($B79,U$50+$A79,1,1,$D79))</f>
        <v>0</v>
      </c>
      <c r="V79" s="1" cm="1">
        <f t="array" aca="1" ref="V79" ca="1">INDIRECT(ADDRESS($B79,V$50+$A79,1,1,$D79))</f>
        <v>0</v>
      </c>
      <c r="W79" s="1" cm="1">
        <f t="array" aca="1" ref="W79" ca="1">INDIRECT(ADDRESS($B79,W$50+$A79,1,1,$D79))</f>
        <v>0</v>
      </c>
      <c r="X79" s="1" cm="1">
        <f t="array" aca="1" ref="X79" ca="1">INDIRECT(ADDRESS($B79,X$50+$A79,1,1,$D79))</f>
        <v>0</v>
      </c>
      <c r="Y79" s="1" cm="1">
        <f t="array" aca="1" ref="Y79" ca="1">INDIRECT(ADDRESS($B79,Y$50+$A79,1,1,$D79))</f>
        <v>0</v>
      </c>
      <c r="Z79" s="1" cm="1">
        <f t="array" aca="1" ref="Z79" ca="1">INDIRECT(ADDRESS($B79,Z$50+$A79,1,1,$D79))</f>
        <v>0</v>
      </c>
      <c r="AA79" s="1" cm="1">
        <f t="array" aca="1" ref="AA79" ca="1">INDIRECT(ADDRESS($B79,AA$50+$A79,1,1,$D79))</f>
        <v>0</v>
      </c>
      <c r="AB79" s="1" cm="1">
        <f t="array" aca="1" ref="AB79" ca="1">INDIRECT(ADDRESS($B79,AB$50+$A79,1,1,$D79))</f>
        <v>0</v>
      </c>
      <c r="AC79" s="1" cm="1">
        <f t="array" aca="1" ref="AC79" ca="1">INDIRECT(ADDRESS($B79,AC$50+$A79,1,1,$D79))</f>
        <v>0</v>
      </c>
      <c r="AD79" s="1" cm="1">
        <f t="array" aca="1" ref="AD79" ca="1">INDIRECT(ADDRESS($B79,AD$50+$A79,1,1,$D79))</f>
        <v>0</v>
      </c>
      <c r="AE79" s="1" cm="1">
        <f t="array" aca="1" ref="AE79" ca="1">INDIRECT(ADDRESS($B79,AE$50+$A79,1,1,$D79))</f>
        <v>0</v>
      </c>
      <c r="AF79" s="1" cm="1">
        <f t="array" aca="1" ref="AF79" ca="1">INDIRECT(ADDRESS($B79,AF$50+$A79,1,1,$D79))</f>
        <v>0</v>
      </c>
      <c r="AG79" s="1" cm="1">
        <f t="array" aca="1" ref="AG79" ca="1">INDIRECT(ADDRESS($B79,AG$50+$A79,1,1,$D79))</f>
        <v>0</v>
      </c>
      <c r="AH79" s="1" cm="1">
        <f t="array" aca="1" ref="AH79" ca="1">INDIRECT(ADDRESS($B79,AH$50+$A79,1,1,$D79))</f>
        <v>0</v>
      </c>
      <c r="AI79" s="1" cm="1">
        <f t="array" aca="1" ref="AI79" ca="1">INDIRECT(ADDRESS($B79,AI$50+$A79,1,1,$D79))</f>
        <v>0</v>
      </c>
      <c r="AJ79" s="1" cm="1">
        <f t="array" aca="1" ref="AJ79" ca="1">INDIRECT(ADDRESS($B79,AJ$50+$A79,1,1,$D79))</f>
        <v>0</v>
      </c>
      <c r="AK79" s="1" cm="1">
        <f t="array" aca="1" ref="AK79" ca="1">INDIRECT(ADDRESS($B79,AK$50+$A79,1,1,$D79))</f>
        <v>0</v>
      </c>
      <c r="AL79" s="1" cm="1">
        <f t="array" aca="1" ref="AL79" ca="1">INDIRECT(ADDRESS($B79,AL$50+$A79,1,1,$D79))</f>
        <v>0</v>
      </c>
      <c r="AM79" s="1" cm="1">
        <f t="array" aca="1" ref="AM79" ca="1">INDIRECT(ADDRESS($B79,AM$50+$A79,1,1,$D79))</f>
        <v>0</v>
      </c>
      <c r="AN79" s="1" cm="1">
        <f t="array" aca="1" ref="AN79" ca="1">INDIRECT(ADDRESS($B79,AN$50+$A79,1,1,$D79))</f>
        <v>0</v>
      </c>
      <c r="AO79" s="1" cm="1">
        <f t="array" aca="1" ref="AO79" ca="1">INDIRECT(ADDRESS($B79,AO$50+$A79,1,1,$D79))</f>
        <v>0</v>
      </c>
      <c r="AP79" s="1" cm="1">
        <f t="array" aca="1" ref="AP79" ca="1">INDIRECT(ADDRESS($B79,AP$50+$A79,1,1,$D79))</f>
        <v>0</v>
      </c>
      <c r="AQ79" s="1" cm="1">
        <f t="array" aca="1" ref="AQ79" ca="1">INDIRECT(ADDRESS($B79,AQ$50+$A79,1,1,$D79))</f>
        <v>0</v>
      </c>
      <c r="AR79" s="1" cm="1">
        <f t="array" aca="1" ref="AR79" ca="1">INDIRECT(ADDRESS($B79,AR$50+$A79,1,1,$D79))</f>
        <v>0</v>
      </c>
      <c r="AS79" s="1" cm="1">
        <f t="array" aca="1" ref="AS79" ca="1">INDIRECT(ADDRESS($B79,AS$50+$A79,1,1,$D79))</f>
        <v>0</v>
      </c>
      <c r="AT79" s="1" cm="1">
        <f t="array" aca="1" ref="AT79" ca="1">INDIRECT(ADDRESS($B79,AT$50+$A79,1,1,$D79))</f>
        <v>0</v>
      </c>
      <c r="AU79" s="1" cm="1">
        <f t="array" aca="1" ref="AU79" ca="1">INDIRECT(ADDRESS($B79,AU$50+$A79,1,1,$D79))</f>
        <v>0</v>
      </c>
      <c r="AV79" s="1" cm="1">
        <f t="array" aca="1" ref="AV79" ca="1">INDIRECT(ADDRESS($B79,AV$50+$A79,1,1,$D79))</f>
        <v>0</v>
      </c>
      <c r="AW79" s="1" cm="1">
        <f t="array" aca="1" ref="AW79" ca="1">INDIRECT(ADDRESS($B79,AW$50+$A79,1,1,$D79))</f>
        <v>0</v>
      </c>
      <c r="AX79" s="1" cm="1">
        <f t="array" aca="1" ref="AX79" ca="1">INDIRECT(ADDRESS($B79,AX$50+$A79,1,1,$D79))</f>
        <v>0</v>
      </c>
      <c r="AY79" s="1" cm="1">
        <f t="array" aca="1" ref="AY79" ca="1">INDIRECT(ADDRESS($B79,AY$50+$A79,1,1,$D79))</f>
        <v>0</v>
      </c>
      <c r="AZ79" s="1" cm="1">
        <f t="array" aca="1" ref="AZ79" ca="1">INDIRECT(ADDRESS($B79,AZ$50+$A79,1,1,$D79))</f>
        <v>0</v>
      </c>
      <c r="BA79" s="1" cm="1">
        <f t="array" aca="1" ref="BA79" ca="1">INDIRECT(ADDRESS($B79,BA$50+$A79,1,1,$D79))</f>
        <v>0</v>
      </c>
      <c r="BB79" s="1" cm="1">
        <f t="array" aca="1" ref="BB79" ca="1">INDIRECT(ADDRESS($B79,BB$50+$A79,1,1,$D79))</f>
        <v>0</v>
      </c>
      <c r="BC79" s="1" cm="1">
        <f t="array" aca="1" ref="BC79" ca="1">INDIRECT(ADDRESS($B79,BC$50+$A79,1,1,$D79))</f>
        <v>0</v>
      </c>
      <c r="BD79" s="1" cm="1">
        <f t="array" aca="1" ref="BD79" ca="1">INDIRECT(ADDRESS($B79,BD$50+$A79,1,1,$D79))</f>
        <v>0</v>
      </c>
      <c r="BE79" s="1" cm="1">
        <f t="array" aca="1" ref="BE79" ca="1">INDIRECT(ADDRESS($B79,BE$50+$A79,1,1,$D79))</f>
        <v>0</v>
      </c>
      <c r="BF79" s="1" cm="1">
        <f t="array" aca="1" ref="BF79" ca="1">INDIRECT(ADDRESS($B79,BF$50+$A79,1,1,$D79))</f>
        <v>0</v>
      </c>
      <c r="BG79" s="1" cm="1">
        <f t="array" aca="1" ref="BG79" ca="1">INDIRECT(ADDRESS($B79,BG$50+$A79,1,1,$D79))</f>
        <v>0</v>
      </c>
      <c r="BH79" s="1" cm="1">
        <f t="array" aca="1" ref="BH79" ca="1">INDIRECT(ADDRESS($B79,BH$50+$A79,1,1,$D79))</f>
        <v>0</v>
      </c>
      <c r="BI79" s="1" cm="1">
        <f t="array" aca="1" ref="BI79" ca="1">INDIRECT(ADDRESS($B79,BI$50+$A79,1,1,$D79))</f>
        <v>0</v>
      </c>
      <c r="BJ79" s="1" cm="1">
        <f t="array" aca="1" ref="BJ79" ca="1">INDIRECT(ADDRESS($B79,BJ$50+$A79,1,1,$D79))</f>
        <v>0</v>
      </c>
      <c r="BK79" s="1" cm="1">
        <f t="array" aca="1" ref="BK79" ca="1">INDIRECT(ADDRESS($B79,BK$50+$A79,1,1,$D79))</f>
        <v>0</v>
      </c>
      <c r="BL79" s="1" cm="1">
        <f t="array" aca="1" ref="BL79" ca="1">INDIRECT(ADDRESS($B79,BL$50+$A79,1,1,$D79))</f>
        <v>0</v>
      </c>
      <c r="BM79" s="1" cm="1">
        <f t="array" aca="1" ref="BM79" ca="1">INDIRECT(ADDRESS($B79,BM$50+$A79,1,1,$D79))</f>
        <v>0</v>
      </c>
      <c r="BN79" s="1" cm="1">
        <f t="array" aca="1" ref="BN79" ca="1">INDIRECT(ADDRESS($B79,BN$50+$A79,1,1,$D79))</f>
        <v>0</v>
      </c>
      <c r="BO79" s="1" cm="1">
        <f t="array" aca="1" ref="BO79" ca="1">INDIRECT(ADDRESS($B79,BO$50+$A79,1,1,$D79))</f>
        <v>0</v>
      </c>
      <c r="BP79" s="1" cm="1">
        <f t="array" aca="1" ref="BP79" ca="1">INDIRECT(ADDRESS($B79,BP$50+$A79,1,1,$D79))</f>
        <v>0</v>
      </c>
      <c r="BQ79" s="1" cm="1">
        <f t="array" aca="1" ref="BQ79" ca="1">INDIRECT(ADDRESS($B79,BQ$50+$A79,1,1,$D79))</f>
        <v>0</v>
      </c>
      <c r="BR79" s="1" cm="1">
        <f t="array" aca="1" ref="BR79" ca="1">INDIRECT(ADDRESS($B79,BR$50+$A79,1,1,$D79))</f>
        <v>0</v>
      </c>
      <c r="BS79" s="1" cm="1">
        <f t="array" aca="1" ref="BS79" ca="1">INDIRECT(ADDRESS($B79,BS$50+$A79,1,1,$D79))</f>
        <v>0</v>
      </c>
      <c r="BT79" s="1" cm="1">
        <f t="array" aca="1" ref="BT79" ca="1">INDIRECT(ADDRESS($B79,BT$50+$A79,1,1,$D79))</f>
        <v>0</v>
      </c>
      <c r="BU79" s="1" cm="1">
        <f t="array" aca="1" ref="BU79" ca="1">INDIRECT(ADDRESS($B79,BU$50+$A79,1,1,$D79))</f>
        <v>0</v>
      </c>
      <c r="BV79" s="1" cm="1">
        <f t="array" aca="1" ref="BV79" ca="1">INDIRECT(ADDRESS($B79,BV$50+$A79,1,1,$D79))</f>
        <v>0</v>
      </c>
    </row>
    <row r="80" spans="1:74" x14ac:dyDescent="0.25">
      <c r="A80">
        <v>6</v>
      </c>
      <c r="B80">
        <f t="shared" ca="1" si="8"/>
        <v>14</v>
      </c>
      <c r="C80" s="1" t="str">
        <f t="shared" si="9"/>
        <v>Switzerland</v>
      </c>
      <c r="D80" t="str">
        <f>D79</f>
        <v>Hospitalized</v>
      </c>
      <c r="E80" s="1" cm="1">
        <f t="array" aca="1" ref="E80" ca="1">INDIRECT(ADDRESS($B80,E$50+$A80,1,1,$D80))</f>
        <v>0</v>
      </c>
      <c r="F80" s="1" cm="1">
        <f t="array" aca="1" ref="F80" ca="1">INDIRECT(ADDRESS($B80,F$50+$A80,1,1,$D80))</f>
        <v>0</v>
      </c>
      <c r="G80" s="1" cm="1">
        <f t="array" aca="1" ref="G80" ca="1">INDIRECT(ADDRESS($B80,G$50+$A80,1,1,$D80))</f>
        <v>0</v>
      </c>
      <c r="H80" s="1" cm="1">
        <f t="array" aca="1" ref="H80" ca="1">INDIRECT(ADDRESS($B80,H$50+$A80,1,1,$D80))</f>
        <v>0</v>
      </c>
      <c r="I80" s="1" cm="1">
        <f t="array" aca="1" ref="I80" ca="1">INDIRECT(ADDRESS($B80,I$50+$A80,1,1,$D80))</f>
        <v>0</v>
      </c>
      <c r="J80" s="1" cm="1">
        <f t="array" aca="1" ref="J80" ca="1">INDIRECT(ADDRESS($B80,J$50+$A80,1,1,$D80))</f>
        <v>0</v>
      </c>
      <c r="K80" s="1" cm="1">
        <f t="array" aca="1" ref="K80" ca="1">INDIRECT(ADDRESS($B80,K$50+$A80,1,1,$D80))</f>
        <v>0</v>
      </c>
      <c r="L80" s="1" cm="1">
        <f t="array" aca="1" ref="L80" ca="1">INDIRECT(ADDRESS($B80,L$50+$A80,1,1,$D80))</f>
        <v>0</v>
      </c>
      <c r="M80" s="1" cm="1">
        <f t="array" aca="1" ref="M80" ca="1">INDIRECT(ADDRESS($B80,M$50+$A80,1,1,$D80))</f>
        <v>0</v>
      </c>
      <c r="N80" s="1" cm="1">
        <f t="array" aca="1" ref="N80" ca="1">INDIRECT(ADDRESS($B80,N$50+$A80,1,1,$D80))</f>
        <v>0</v>
      </c>
      <c r="O80" s="1" cm="1">
        <f t="array" aca="1" ref="O80" ca="1">INDIRECT(ADDRESS($B80,O$50+$A80,1,1,$D80))</f>
        <v>0</v>
      </c>
      <c r="P80" s="1" cm="1">
        <f t="array" aca="1" ref="P80" ca="1">INDIRECT(ADDRESS($B80,P$50+$A80,1,1,$D80))</f>
        <v>0</v>
      </c>
      <c r="Q80" s="1" cm="1">
        <f t="array" aca="1" ref="Q80" ca="1">INDIRECT(ADDRESS($B80,Q$50+$A80,1,1,$D80))</f>
        <v>0</v>
      </c>
      <c r="R80" s="1" cm="1">
        <f t="array" aca="1" ref="R80" ca="1">INDIRECT(ADDRESS($B80,R$50+$A80,1,1,$D80))</f>
        <v>0</v>
      </c>
      <c r="S80" s="1" cm="1">
        <f t="array" aca="1" ref="S80" ca="1">INDIRECT(ADDRESS($B80,S$50+$A80,1,1,$D80))</f>
        <v>0</v>
      </c>
      <c r="T80" s="1" cm="1">
        <f t="array" aca="1" ref="T80" ca="1">INDIRECT(ADDRESS($B80,T$50+$A80,1,1,$D80))</f>
        <v>0</v>
      </c>
      <c r="U80" s="1" cm="1">
        <f t="array" aca="1" ref="U80" ca="1">INDIRECT(ADDRESS($B80,U$50+$A80,1,1,$D80))</f>
        <v>0</v>
      </c>
      <c r="V80" s="1" cm="1">
        <f t="array" aca="1" ref="V80" ca="1">INDIRECT(ADDRESS($B80,V$50+$A80,1,1,$D80))</f>
        <v>0</v>
      </c>
      <c r="W80" s="1" cm="1">
        <f t="array" aca="1" ref="W80" ca="1">INDIRECT(ADDRESS($B80,W$50+$A80,1,1,$D80))</f>
        <v>0</v>
      </c>
      <c r="X80" s="1" cm="1">
        <f t="array" aca="1" ref="X80" ca="1">INDIRECT(ADDRESS($B80,X$50+$A80,1,1,$D80))</f>
        <v>0</v>
      </c>
      <c r="Y80" s="1" cm="1">
        <f t="array" aca="1" ref="Y80" ca="1">INDIRECT(ADDRESS($B80,Y$50+$A80,1,1,$D80))</f>
        <v>0</v>
      </c>
      <c r="Z80" s="1" cm="1">
        <f t="array" aca="1" ref="Z80" ca="1">INDIRECT(ADDRESS($B80,Z$50+$A80,1,1,$D80))</f>
        <v>0</v>
      </c>
      <c r="AA80" s="1" cm="1">
        <f t="array" aca="1" ref="AA80" ca="1">INDIRECT(ADDRESS($B80,AA$50+$A80,1,1,$D80))</f>
        <v>0</v>
      </c>
      <c r="AB80" s="1" cm="1">
        <f t="array" aca="1" ref="AB80" ca="1">INDIRECT(ADDRESS($B80,AB$50+$A80,1,1,$D80))</f>
        <v>0</v>
      </c>
      <c r="AC80" s="1" cm="1">
        <f t="array" aca="1" ref="AC80" ca="1">INDIRECT(ADDRESS($B80,AC$50+$A80,1,1,$D80))</f>
        <v>0</v>
      </c>
      <c r="AD80" s="1" cm="1">
        <f t="array" aca="1" ref="AD80" ca="1">INDIRECT(ADDRESS($B80,AD$50+$A80,1,1,$D80))</f>
        <v>0</v>
      </c>
      <c r="AE80" s="1" cm="1">
        <f t="array" aca="1" ref="AE80" ca="1">INDIRECT(ADDRESS($B80,AE$50+$A80,1,1,$D80))</f>
        <v>0</v>
      </c>
      <c r="AF80" s="1" cm="1">
        <f t="array" aca="1" ref="AF80" ca="1">INDIRECT(ADDRESS($B80,AF$50+$A80,1,1,$D80))</f>
        <v>0</v>
      </c>
      <c r="AG80" s="1" cm="1">
        <f t="array" aca="1" ref="AG80" ca="1">INDIRECT(ADDRESS($B80,AG$50+$A80,1,1,$D80))</f>
        <v>0</v>
      </c>
      <c r="AH80" s="1" cm="1">
        <f t="array" aca="1" ref="AH80" ca="1">INDIRECT(ADDRESS($B80,AH$50+$A80,1,1,$D80))</f>
        <v>0</v>
      </c>
      <c r="AI80" s="1" cm="1">
        <f t="array" aca="1" ref="AI80" ca="1">INDIRECT(ADDRESS($B80,AI$50+$A80,1,1,$D80))</f>
        <v>0</v>
      </c>
      <c r="AJ80" s="1" cm="1">
        <f t="array" aca="1" ref="AJ80" ca="1">INDIRECT(ADDRESS($B80,AJ$50+$A80,1,1,$D80))</f>
        <v>0</v>
      </c>
      <c r="AK80" s="1" cm="1">
        <f t="array" aca="1" ref="AK80" ca="1">INDIRECT(ADDRESS($B80,AK$50+$A80,1,1,$D80))</f>
        <v>0</v>
      </c>
      <c r="AL80" s="1" cm="1">
        <f t="array" aca="1" ref="AL80" ca="1">INDIRECT(ADDRESS($B80,AL$50+$A80,1,1,$D80))</f>
        <v>0</v>
      </c>
      <c r="AM80" s="1" cm="1">
        <f t="array" aca="1" ref="AM80" ca="1">INDIRECT(ADDRESS($B80,AM$50+$A80,1,1,$D80))</f>
        <v>0</v>
      </c>
      <c r="AN80" s="1" cm="1">
        <f t="array" aca="1" ref="AN80" ca="1">INDIRECT(ADDRESS($B80,AN$50+$A80,1,1,$D80))</f>
        <v>0</v>
      </c>
      <c r="AO80" s="1" cm="1">
        <f t="array" aca="1" ref="AO80" ca="1">INDIRECT(ADDRESS($B80,AO$50+$A80,1,1,$D80))</f>
        <v>0</v>
      </c>
      <c r="AP80" s="1" cm="1">
        <f t="array" aca="1" ref="AP80" ca="1">INDIRECT(ADDRESS($B80,AP$50+$A80,1,1,$D80))</f>
        <v>0</v>
      </c>
      <c r="AQ80" s="1" cm="1">
        <f t="array" aca="1" ref="AQ80" ca="1">INDIRECT(ADDRESS($B80,AQ$50+$A80,1,1,$D80))</f>
        <v>0</v>
      </c>
      <c r="AR80" s="1" cm="1">
        <f t="array" aca="1" ref="AR80" ca="1">INDIRECT(ADDRESS($B80,AR$50+$A80,1,1,$D80))</f>
        <v>0</v>
      </c>
      <c r="AS80" s="1" cm="1">
        <f t="array" aca="1" ref="AS80" ca="1">INDIRECT(ADDRESS($B80,AS$50+$A80,1,1,$D80))</f>
        <v>0</v>
      </c>
      <c r="AT80" s="1" cm="1">
        <f t="array" aca="1" ref="AT80" ca="1">INDIRECT(ADDRESS($B80,AT$50+$A80,1,1,$D80))</f>
        <v>0</v>
      </c>
      <c r="AU80" s="1" cm="1">
        <f t="array" aca="1" ref="AU80" ca="1">INDIRECT(ADDRESS($B80,AU$50+$A80,1,1,$D80))</f>
        <v>0</v>
      </c>
      <c r="AV80" s="1" cm="1">
        <f t="array" aca="1" ref="AV80" ca="1">INDIRECT(ADDRESS($B80,AV$50+$A80,1,1,$D80))</f>
        <v>0</v>
      </c>
      <c r="AW80" s="1" cm="1">
        <f t="array" aca="1" ref="AW80" ca="1">INDIRECT(ADDRESS($B80,AW$50+$A80,1,1,$D80))</f>
        <v>0</v>
      </c>
      <c r="AX80" s="1" cm="1">
        <f t="array" aca="1" ref="AX80" ca="1">INDIRECT(ADDRESS($B80,AX$50+$A80,1,1,$D80))</f>
        <v>0</v>
      </c>
      <c r="AY80" s="1" cm="1">
        <f t="array" aca="1" ref="AY80" ca="1">INDIRECT(ADDRESS($B80,AY$50+$A80,1,1,$D80))</f>
        <v>0</v>
      </c>
      <c r="AZ80" s="1" cm="1">
        <f t="array" aca="1" ref="AZ80" ca="1">INDIRECT(ADDRESS($B80,AZ$50+$A80,1,1,$D80))</f>
        <v>0</v>
      </c>
      <c r="BA80" s="1" cm="1">
        <f t="array" aca="1" ref="BA80" ca="1">INDIRECT(ADDRESS($B80,BA$50+$A80,1,1,$D80))</f>
        <v>0</v>
      </c>
      <c r="BB80" s="1" cm="1">
        <f t="array" aca="1" ref="BB80" ca="1">INDIRECT(ADDRESS($B80,BB$50+$A80,1,1,$D80))</f>
        <v>0</v>
      </c>
      <c r="BC80" s="1" cm="1">
        <f t="array" aca="1" ref="BC80" ca="1">INDIRECT(ADDRESS($B80,BC$50+$A80,1,1,$D80))</f>
        <v>0</v>
      </c>
      <c r="BD80" s="1" cm="1">
        <f t="array" aca="1" ref="BD80" ca="1">INDIRECT(ADDRESS($B80,BD$50+$A80,1,1,$D80))</f>
        <v>0</v>
      </c>
      <c r="BE80" s="1" cm="1">
        <f t="array" aca="1" ref="BE80" ca="1">INDIRECT(ADDRESS($B80,BE$50+$A80,1,1,$D80))</f>
        <v>0</v>
      </c>
      <c r="BF80" s="1" cm="1">
        <f t="array" aca="1" ref="BF80" ca="1">INDIRECT(ADDRESS($B80,BF$50+$A80,1,1,$D80))</f>
        <v>0</v>
      </c>
      <c r="BG80" s="1" cm="1">
        <f t="array" aca="1" ref="BG80" ca="1">INDIRECT(ADDRESS($B80,BG$50+$A80,1,1,$D80))</f>
        <v>0</v>
      </c>
      <c r="BH80" s="1" cm="1">
        <f t="array" aca="1" ref="BH80" ca="1">INDIRECT(ADDRESS($B80,BH$50+$A80,1,1,$D80))</f>
        <v>0</v>
      </c>
      <c r="BI80" s="1" cm="1">
        <f t="array" aca="1" ref="BI80" ca="1">INDIRECT(ADDRESS($B80,BI$50+$A80,1,1,$D80))</f>
        <v>0</v>
      </c>
      <c r="BJ80" s="1" cm="1">
        <f t="array" aca="1" ref="BJ80" ca="1">INDIRECT(ADDRESS($B80,BJ$50+$A80,1,1,$D80))</f>
        <v>0</v>
      </c>
      <c r="BK80" s="1" cm="1">
        <f t="array" aca="1" ref="BK80" ca="1">INDIRECT(ADDRESS($B80,BK$50+$A80,1,1,$D80))</f>
        <v>0</v>
      </c>
      <c r="BL80" s="1" cm="1">
        <f t="array" aca="1" ref="BL80" ca="1">INDIRECT(ADDRESS($B80,BL$50+$A80,1,1,$D80))</f>
        <v>0</v>
      </c>
      <c r="BM80" s="1" cm="1">
        <f t="array" aca="1" ref="BM80" ca="1">INDIRECT(ADDRESS($B80,BM$50+$A80,1,1,$D80))</f>
        <v>0</v>
      </c>
      <c r="BN80" s="1" cm="1">
        <f t="array" aca="1" ref="BN80" ca="1">INDIRECT(ADDRESS($B80,BN$50+$A80,1,1,$D80))</f>
        <v>0</v>
      </c>
      <c r="BO80" s="1" cm="1">
        <f t="array" aca="1" ref="BO80" ca="1">INDIRECT(ADDRESS($B80,BO$50+$A80,1,1,$D80))</f>
        <v>0</v>
      </c>
      <c r="BP80" s="1" cm="1">
        <f t="array" aca="1" ref="BP80" ca="1">INDIRECT(ADDRESS($B80,BP$50+$A80,1,1,$D80))</f>
        <v>0</v>
      </c>
      <c r="BQ80" s="1" cm="1">
        <f t="array" aca="1" ref="BQ80" ca="1">INDIRECT(ADDRESS($B80,BQ$50+$A80,1,1,$D80))</f>
        <v>0</v>
      </c>
      <c r="BR80" s="1" cm="1">
        <f t="array" aca="1" ref="BR80" ca="1">INDIRECT(ADDRESS($B80,BR$50+$A80,1,1,$D80))</f>
        <v>0</v>
      </c>
      <c r="BS80" s="1" cm="1">
        <f t="array" aca="1" ref="BS80" ca="1">INDIRECT(ADDRESS($B80,BS$50+$A80,1,1,$D80))</f>
        <v>0</v>
      </c>
      <c r="BT80" s="1" cm="1">
        <f t="array" aca="1" ref="BT80" ca="1">INDIRECT(ADDRESS($B80,BT$50+$A80,1,1,$D80))</f>
        <v>0</v>
      </c>
      <c r="BU80" s="1" cm="1">
        <f t="array" aca="1" ref="BU80" ca="1">INDIRECT(ADDRESS($B80,BU$50+$A80,1,1,$D80))</f>
        <v>0</v>
      </c>
      <c r="BV80" s="1" cm="1">
        <f t="array" aca="1" ref="BV80" ca="1">INDIRECT(ADDRESS($B80,BV$50+$A80,1,1,$D80))</f>
        <v>0</v>
      </c>
    </row>
    <row r="81" spans="1:74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</row>
    <row r="82" spans="1:74" x14ac:dyDescent="0.25">
      <c r="A82">
        <v>8</v>
      </c>
      <c r="B82">
        <f ca="1">MATCH("Country/Region",INDIRECT("'Confirmed'!A:A"),0)</f>
        <v>1</v>
      </c>
      <c r="C82" s="4" t="s">
        <v>139</v>
      </c>
      <c r="D82" s="4"/>
      <c r="E82" s="5" t="str" cm="1">
        <f t="array" aca="1" ref="E82" ca="1">INDIRECT(ADDRESS($B82,E$50+$A82,1,1,$C82))</f>
        <v>2020-01-22</v>
      </c>
      <c r="F82" s="5" t="str" cm="1">
        <f t="array" aca="1" ref="F82" ca="1">INDIRECT(ADDRESS($B82,F$50+$A82,1,1,$C82))</f>
        <v>2020-01-23</v>
      </c>
      <c r="G82" s="5" t="str" cm="1">
        <f t="array" aca="1" ref="G82" ca="1">INDIRECT(ADDRESS($B82,G$50+$A82,1,1,$C82))</f>
        <v>2020-01-24</v>
      </c>
      <c r="H82" s="5" t="str" cm="1">
        <f t="array" aca="1" ref="H82" ca="1">INDIRECT(ADDRESS($B82,H$50+$A82,1,1,$C82))</f>
        <v>2020-01-25</v>
      </c>
      <c r="I82" s="5" t="str" cm="1">
        <f t="array" aca="1" ref="I82" ca="1">INDIRECT(ADDRESS($B82,I$50+$A82,1,1,$C82))</f>
        <v>2020-01-26</v>
      </c>
      <c r="J82" s="5" t="str" cm="1">
        <f t="array" aca="1" ref="J82" ca="1">INDIRECT(ADDRESS($B82,J$50+$A82,1,1,$C82))</f>
        <v>2020-01-27</v>
      </c>
      <c r="K82" s="5" t="str" cm="1">
        <f t="array" aca="1" ref="K82" ca="1">INDIRECT(ADDRESS($B82,K$50+$A82,1,1,$C82))</f>
        <v>2020-01-28</v>
      </c>
      <c r="L82" s="5" t="str" cm="1">
        <f t="array" aca="1" ref="L82" ca="1">INDIRECT(ADDRESS($B82,L$50+$A82,1,1,$C82))</f>
        <v>2020-01-29</v>
      </c>
      <c r="M82" s="5" t="str" cm="1">
        <f t="array" aca="1" ref="M82" ca="1">INDIRECT(ADDRESS($B82,M$50+$A82,1,1,$C82))</f>
        <v>2020-01-30</v>
      </c>
      <c r="N82" s="5" t="str" cm="1">
        <f t="array" aca="1" ref="N82" ca="1">INDIRECT(ADDRESS($B82,N$50+$A82,1,1,$C82))</f>
        <v>2020-01-31</v>
      </c>
      <c r="O82" s="5" t="str" cm="1">
        <f t="array" aca="1" ref="O82" ca="1">INDIRECT(ADDRESS($B82,O$50+$A82,1,1,$C82))</f>
        <v>2020-02-01</v>
      </c>
      <c r="P82" s="5" t="str" cm="1">
        <f t="array" aca="1" ref="P82" ca="1">INDIRECT(ADDRESS($B82,P$50+$A82,1,1,$C82))</f>
        <v>2020-02-02</v>
      </c>
      <c r="Q82" s="5" t="str" cm="1">
        <f t="array" aca="1" ref="Q82" ca="1">INDIRECT(ADDRESS($B82,Q$50+$A82,1,1,$C82))</f>
        <v>2020-02-03</v>
      </c>
      <c r="R82" s="5" t="str" cm="1">
        <f t="array" aca="1" ref="R82" ca="1">INDIRECT(ADDRESS($B82,R$50+$A82,1,1,$C82))</f>
        <v>2020-02-04</v>
      </c>
      <c r="S82" s="5" t="str" cm="1">
        <f t="array" aca="1" ref="S82" ca="1">INDIRECT(ADDRESS($B82,S$50+$A82,1,1,$C82))</f>
        <v>2020-02-05</v>
      </c>
      <c r="T82" s="5" t="str" cm="1">
        <f t="array" aca="1" ref="T82" ca="1">INDIRECT(ADDRESS($B82,T$50+$A82,1,1,$C82))</f>
        <v>2020-02-06</v>
      </c>
      <c r="U82" s="5" t="str" cm="1">
        <f t="array" aca="1" ref="U82" ca="1">INDIRECT(ADDRESS($B82,U$50+$A82,1,1,$C82))</f>
        <v>2020-02-07</v>
      </c>
      <c r="V82" s="5" t="str" cm="1">
        <f t="array" aca="1" ref="V82" ca="1">INDIRECT(ADDRESS($B82,V$50+$A82,1,1,$C82))</f>
        <v>2020-02-08</v>
      </c>
      <c r="W82" s="5" t="str" cm="1">
        <f t="array" aca="1" ref="W82" ca="1">INDIRECT(ADDRESS($B82,W$50+$A82,1,1,$C82))</f>
        <v>2020-02-09</v>
      </c>
      <c r="X82" s="5" t="str" cm="1">
        <f t="array" aca="1" ref="X82" ca="1">INDIRECT(ADDRESS($B82,X$50+$A82,1,1,$C82))</f>
        <v>2020-02-10</v>
      </c>
      <c r="Y82" s="5" t="str" cm="1">
        <f t="array" aca="1" ref="Y82" ca="1">INDIRECT(ADDRESS($B82,Y$50+$A82,1,1,$C82))</f>
        <v>2020-02-11</v>
      </c>
      <c r="Z82" s="5" t="str" cm="1">
        <f t="array" aca="1" ref="Z82" ca="1">INDIRECT(ADDRESS($B82,Z$50+$A82,1,1,$C82))</f>
        <v>2020-02-12</v>
      </c>
      <c r="AA82" s="5" t="str" cm="1">
        <f t="array" aca="1" ref="AA82" ca="1">INDIRECT(ADDRESS($B82,AA$50+$A82,1,1,$C82))</f>
        <v>2020-02-13</v>
      </c>
      <c r="AB82" s="5" t="str" cm="1">
        <f t="array" aca="1" ref="AB82" ca="1">INDIRECT(ADDRESS($B82,AB$50+$A82,1,1,$C82))</f>
        <v>2020-02-14</v>
      </c>
      <c r="AC82" s="5" t="str" cm="1">
        <f t="array" aca="1" ref="AC82" ca="1">INDIRECT(ADDRESS($B82,AC$50+$A82,1,1,$C82))</f>
        <v>2020-02-15</v>
      </c>
      <c r="AD82" s="5" t="str" cm="1">
        <f t="array" aca="1" ref="AD82" ca="1">INDIRECT(ADDRESS($B82,AD$50+$A82,1,1,$C82))</f>
        <v>2020-02-16</v>
      </c>
      <c r="AE82" s="5" t="str" cm="1">
        <f t="array" aca="1" ref="AE82" ca="1">INDIRECT(ADDRESS($B82,AE$50+$A82,1,1,$C82))</f>
        <v>2020-02-17</v>
      </c>
      <c r="AF82" s="5" t="str" cm="1">
        <f t="array" aca="1" ref="AF82" ca="1">INDIRECT(ADDRESS($B82,AF$50+$A82,1,1,$C82))</f>
        <v>2020-02-18</v>
      </c>
      <c r="AG82" s="5" t="str" cm="1">
        <f t="array" aca="1" ref="AG82" ca="1">INDIRECT(ADDRESS($B82,AG$50+$A82,1,1,$C82))</f>
        <v>2020-02-19</v>
      </c>
      <c r="AH82" s="5" t="str" cm="1">
        <f t="array" aca="1" ref="AH82" ca="1">INDIRECT(ADDRESS($B82,AH$50+$A82,1,1,$C82))</f>
        <v>2020-02-20</v>
      </c>
      <c r="AI82" s="5" t="str" cm="1">
        <f t="array" aca="1" ref="AI82" ca="1">INDIRECT(ADDRESS($B82,AI$50+$A82,1,1,$C82))</f>
        <v>2020-02-21</v>
      </c>
      <c r="AJ82" s="5" t="str" cm="1">
        <f t="array" aca="1" ref="AJ82" ca="1">INDIRECT(ADDRESS($B82,AJ$50+$A82,1,1,$C82))</f>
        <v>2020-02-22</v>
      </c>
      <c r="AK82" s="5" t="str" cm="1">
        <f t="array" aca="1" ref="AK82" ca="1">INDIRECT(ADDRESS($B82,AK$50+$A82,1,1,$C82))</f>
        <v>2020-02-23</v>
      </c>
      <c r="AL82" s="5" t="str" cm="1">
        <f t="array" aca="1" ref="AL82" ca="1">INDIRECT(ADDRESS($B82,AL$50+$A82,1,1,$C82))</f>
        <v>2020-02-24</v>
      </c>
      <c r="AM82" s="5" t="str" cm="1">
        <f t="array" aca="1" ref="AM82" ca="1">INDIRECT(ADDRESS($B82,AM$50+$A82,1,1,$C82))</f>
        <v>2020-02-25</v>
      </c>
      <c r="AN82" s="5" t="str" cm="1">
        <f t="array" aca="1" ref="AN82" ca="1">INDIRECT(ADDRESS($B82,AN$50+$A82,1,1,$C82))</f>
        <v>2020-02-26</v>
      </c>
      <c r="AO82" s="5" t="str" cm="1">
        <f t="array" aca="1" ref="AO82" ca="1">INDIRECT(ADDRESS($B82,AO$50+$A82,1,1,$C82))</f>
        <v>2020-02-27</v>
      </c>
      <c r="AP82" s="5" t="str" cm="1">
        <f t="array" aca="1" ref="AP82" ca="1">INDIRECT(ADDRESS($B82,AP$50+$A82,1,1,$C82))</f>
        <v>2020-02-28</v>
      </c>
      <c r="AQ82" s="5" t="str" cm="1">
        <f t="array" aca="1" ref="AQ82" ca="1">INDIRECT(ADDRESS($B82,AQ$50+$A82,1,1,$C82))</f>
        <v>2020-02-29</v>
      </c>
      <c r="AR82" s="5" t="str" cm="1">
        <f t="array" aca="1" ref="AR82" ca="1">INDIRECT(ADDRESS($B82,AR$50+$A82,1,1,$C82))</f>
        <v>2020-03-01</v>
      </c>
      <c r="AS82" s="5" t="str" cm="1">
        <f t="array" aca="1" ref="AS82" ca="1">INDIRECT(ADDRESS($B82,AS$50+$A82,1,1,$C82))</f>
        <v>2020-03-02</v>
      </c>
      <c r="AT82" s="5" t="str" cm="1">
        <f t="array" aca="1" ref="AT82" ca="1">INDIRECT(ADDRESS($B82,AT$50+$A82,1,1,$C82))</f>
        <v>2020-03-03</v>
      </c>
      <c r="AU82" s="5" t="str" cm="1">
        <f t="array" aca="1" ref="AU82" ca="1">INDIRECT(ADDRESS($B82,AU$50+$A82,1,1,$C82))</f>
        <v>2020-03-04</v>
      </c>
      <c r="AV82" s="5" t="str" cm="1">
        <f t="array" aca="1" ref="AV82" ca="1">INDIRECT(ADDRESS($B82,AV$50+$A82,1,1,$C82))</f>
        <v>2020-03-05</v>
      </c>
      <c r="AW82" s="5" t="str" cm="1">
        <f t="array" aca="1" ref="AW82" ca="1">INDIRECT(ADDRESS($B82,AW$50+$A82,1,1,$C82))</f>
        <v>2020-03-06</v>
      </c>
      <c r="AX82" s="5" t="str" cm="1">
        <f t="array" aca="1" ref="AX82" ca="1">INDIRECT(ADDRESS($B82,AX$50+$A82,1,1,$C82))</f>
        <v>2020-03-07</v>
      </c>
      <c r="AY82" s="5" t="str" cm="1">
        <f t="array" aca="1" ref="AY82" ca="1">INDIRECT(ADDRESS($B82,AY$50+$A82,1,1,$C82))</f>
        <v>2020-03-08</v>
      </c>
      <c r="AZ82" s="5" t="str" cm="1">
        <f t="array" aca="1" ref="AZ82" ca="1">INDIRECT(ADDRESS($B82,AZ$50+$A82,1,1,$C82))</f>
        <v>2020-03-09</v>
      </c>
      <c r="BA82" s="5" t="str" cm="1">
        <f t="array" aca="1" ref="BA82" ca="1">INDIRECT(ADDRESS($B82,BA$50+$A82,1,1,$C82))</f>
        <v>2020-03-10</v>
      </c>
      <c r="BB82" s="5" t="str" cm="1">
        <f t="array" aca="1" ref="BB82" ca="1">INDIRECT(ADDRESS($B82,BB$50+$A82,1,1,$C82))</f>
        <v>2020-03-11</v>
      </c>
      <c r="BC82" s="5" t="str" cm="1">
        <f t="array" aca="1" ref="BC82" ca="1">INDIRECT(ADDRESS($B82,BC$50+$A82,1,1,$C82))</f>
        <v>2020-03-12</v>
      </c>
      <c r="BD82" s="5" t="str" cm="1">
        <f t="array" aca="1" ref="BD82" ca="1">INDIRECT(ADDRESS($B82,BD$50+$A82,1,1,$C82))</f>
        <v>2020-03-13</v>
      </c>
      <c r="BE82" s="5" t="str" cm="1">
        <f t="array" aca="1" ref="BE82" ca="1">INDIRECT(ADDRESS($B82,BE$50+$A82,1,1,$C82))</f>
        <v>2020-03-14</v>
      </c>
      <c r="BF82" s="5" t="str" cm="1">
        <f t="array" aca="1" ref="BF82" ca="1">INDIRECT(ADDRESS($B82,BF$50+$A82,1,1,$C82))</f>
        <v>2020-03-15</v>
      </c>
      <c r="BG82" s="5" t="str" cm="1">
        <f t="array" aca="1" ref="BG82" ca="1">INDIRECT(ADDRESS($B82,BG$50+$A82,1,1,$C82))</f>
        <v>2020-03-16</v>
      </c>
      <c r="BH82" s="5" t="str" cm="1">
        <f t="array" aca="1" ref="BH82" ca="1">INDIRECT(ADDRESS($B82,BH$50+$A82,1,1,$C82))</f>
        <v>2020-03-17</v>
      </c>
      <c r="BI82" s="5" t="str" cm="1">
        <f t="array" aca="1" ref="BI82" ca="1">INDIRECT(ADDRESS($B82,BI$50+$A82,1,1,$C82))</f>
        <v>2020-03-18</v>
      </c>
      <c r="BJ82" s="5" t="str" cm="1">
        <f t="array" aca="1" ref="BJ82" ca="1">INDIRECT(ADDRESS($B82,BJ$50+$A82,1,1,$C82))</f>
        <v>2020-03-19</v>
      </c>
      <c r="BK82" s="5" t="str" cm="1">
        <f t="array" aca="1" ref="BK82" ca="1">INDIRECT(ADDRESS($B82,BK$50+$A82,1,1,$C82))</f>
        <v>2020-03-20</v>
      </c>
      <c r="BL82" s="5" t="str" cm="1">
        <f t="array" aca="1" ref="BL82" ca="1">INDIRECT(ADDRESS($B82,BL$50+$A82,1,1,$C82))</f>
        <v>2020-03-21</v>
      </c>
      <c r="BM82" s="5" t="str" cm="1">
        <f t="array" aca="1" ref="BM82" ca="1">INDIRECT(ADDRESS($B82,BM$50+$A82,1,1,$C82))</f>
        <v>2020-03-22</v>
      </c>
      <c r="BN82" s="5" t="str" cm="1">
        <f t="array" aca="1" ref="BN82" ca="1">INDIRECT(ADDRESS($B82,BN$50+$A82,1,1,$C82))</f>
        <v>2020-03-23</v>
      </c>
      <c r="BO82" s="5" t="str" cm="1">
        <f t="array" aca="1" ref="BO82" ca="1">INDIRECT(ADDRESS($B82,BO$50+$A82,1,1,$C82))</f>
        <v>2020-03-24</v>
      </c>
      <c r="BP82" s="5" t="str" cm="1">
        <f t="array" aca="1" ref="BP82" ca="1">INDIRECT(ADDRESS($B82,BP$50+$A82,1,1,$C82))</f>
        <v>2020-03-25</v>
      </c>
      <c r="BQ82" s="5" t="str" cm="1">
        <f t="array" aca="1" ref="BQ82" ca="1">INDIRECT(ADDRESS($B82,BQ$50+$A82,1,1,$C82))</f>
        <v>2020-03-26</v>
      </c>
      <c r="BR82" s="5" t="str" cm="1">
        <f t="array" aca="1" ref="BR82" ca="1">INDIRECT(ADDRESS($B82,BR$50+$A82,1,1,$C82))</f>
        <v>2020-03-27</v>
      </c>
      <c r="BS82" s="5" t="str" cm="1">
        <f t="array" aca="1" ref="BS82" ca="1">INDIRECT(ADDRESS($B82,BS$50+$A82,1,1,$C82))</f>
        <v>2020-03-28</v>
      </c>
      <c r="BT82" s="5" t="str" cm="1">
        <f t="array" aca="1" ref="BT82" ca="1">INDIRECT(ADDRESS($B82,BT$50+$A82,1,1,$C82))</f>
        <v>2020-03-29</v>
      </c>
      <c r="BU82" s="5" t="str" cm="1">
        <f t="array" aca="1" ref="BU82" ca="1">INDIRECT(ADDRESS($B82,BU$50+$A82,1,1,$C82))</f>
        <v>2020-03-30</v>
      </c>
      <c r="BV82" s="5" cm="1">
        <f t="array" aca="1" ref="BV82" ca="1">INDIRECT(ADDRESS($B82,BV$50+$A82,1,1,$C82))</f>
        <v>0</v>
      </c>
    </row>
    <row r="83" spans="1:74" x14ac:dyDescent="0.25">
      <c r="A83">
        <v>8</v>
      </c>
      <c r="B83">
        <f ca="1">MATCH($C83,INDIRECT("'"&amp;$C$58&amp;"'!A:A"),0)</f>
        <v>9</v>
      </c>
      <c r="C83" s="1" t="str">
        <f>C8</f>
        <v>Italy</v>
      </c>
      <c r="D83" t="str">
        <f>C82</f>
        <v>Deaths</v>
      </c>
      <c r="E83" s="1" cm="1">
        <f t="array" aca="1" ref="E83" ca="1">INDIRECT(ADDRESS($B83,E$50+$A83,1,1,$D83))</f>
        <v>0</v>
      </c>
      <c r="F83" s="1" cm="1">
        <f t="array" aca="1" ref="F83" ca="1">INDIRECT(ADDRESS($B83,F$50+$A83,1,1,$D83))</f>
        <v>0</v>
      </c>
      <c r="G83" s="1" cm="1">
        <f t="array" aca="1" ref="G83" ca="1">INDIRECT(ADDRESS($B83,G$50+$A83,1,1,$D83))</f>
        <v>0</v>
      </c>
      <c r="H83" s="1" cm="1">
        <f t="array" aca="1" ref="H83" ca="1">INDIRECT(ADDRESS($B83,H$50+$A83,1,1,$D83))</f>
        <v>0</v>
      </c>
      <c r="I83" s="1" cm="1">
        <f t="array" aca="1" ref="I83" ca="1">INDIRECT(ADDRESS($B83,I$50+$A83,1,1,$D83))</f>
        <v>0</v>
      </c>
      <c r="J83" s="1" cm="1">
        <f t="array" aca="1" ref="J83" ca="1">INDIRECT(ADDRESS($B83,J$50+$A83,1,1,$D83))</f>
        <v>0</v>
      </c>
      <c r="K83" s="1" cm="1">
        <f t="array" aca="1" ref="K83" ca="1">INDIRECT(ADDRESS($B83,K$50+$A83,1,1,$D83))</f>
        <v>0</v>
      </c>
      <c r="L83" s="1" cm="1">
        <f t="array" aca="1" ref="L83" ca="1">INDIRECT(ADDRESS($B83,L$50+$A83,1,1,$D83))</f>
        <v>0</v>
      </c>
      <c r="M83" s="1" cm="1">
        <f t="array" aca="1" ref="M83" ca="1">INDIRECT(ADDRESS($B83,M$50+$A83,1,1,$D83))</f>
        <v>0</v>
      </c>
      <c r="N83" s="1" cm="1">
        <f t="array" aca="1" ref="N83" ca="1">INDIRECT(ADDRESS($B83,N$50+$A83,1,1,$D83))</f>
        <v>0</v>
      </c>
      <c r="O83" s="1" cm="1">
        <f t="array" aca="1" ref="O83" ca="1">INDIRECT(ADDRESS($B83,O$50+$A83,1,1,$D83))</f>
        <v>0</v>
      </c>
      <c r="P83" s="1" cm="1">
        <f t="array" aca="1" ref="P83" ca="1">INDIRECT(ADDRESS($B83,P$50+$A83,1,1,$D83))</f>
        <v>0</v>
      </c>
      <c r="Q83" s="1" cm="1">
        <f t="array" aca="1" ref="Q83" ca="1">INDIRECT(ADDRESS($B83,Q$50+$A83,1,1,$D83))</f>
        <v>0</v>
      </c>
      <c r="R83" s="1" cm="1">
        <f t="array" aca="1" ref="R83" ca="1">INDIRECT(ADDRESS($B83,R$50+$A83,1,1,$D83))</f>
        <v>0</v>
      </c>
      <c r="S83" s="1" cm="1">
        <f t="array" aca="1" ref="S83" ca="1">INDIRECT(ADDRESS($B83,S$50+$A83,1,1,$D83))</f>
        <v>0</v>
      </c>
      <c r="T83" s="1" cm="1">
        <f t="array" aca="1" ref="T83" ca="1">INDIRECT(ADDRESS($B83,T$50+$A83,1,1,$D83))</f>
        <v>0</v>
      </c>
      <c r="U83" s="1" cm="1">
        <f t="array" aca="1" ref="U83" ca="1">INDIRECT(ADDRESS($B83,U$50+$A83,1,1,$D83))</f>
        <v>0</v>
      </c>
      <c r="V83" s="1" cm="1">
        <f t="array" aca="1" ref="V83" ca="1">INDIRECT(ADDRESS($B83,V$50+$A83,1,1,$D83))</f>
        <v>0</v>
      </c>
      <c r="W83" s="1" cm="1">
        <f t="array" aca="1" ref="W83" ca="1">INDIRECT(ADDRESS($B83,W$50+$A83,1,1,$D83))</f>
        <v>0</v>
      </c>
      <c r="X83" s="1" cm="1">
        <f t="array" aca="1" ref="X83" ca="1">INDIRECT(ADDRESS($B83,X$50+$A83,1,1,$D83))</f>
        <v>0</v>
      </c>
      <c r="Y83" s="1" cm="1">
        <f t="array" aca="1" ref="Y83" ca="1">INDIRECT(ADDRESS($B83,Y$50+$A83,1,1,$D83))</f>
        <v>0</v>
      </c>
      <c r="Z83" s="1" cm="1">
        <f t="array" aca="1" ref="Z83" ca="1">INDIRECT(ADDRESS($B83,Z$50+$A83,1,1,$D83))</f>
        <v>0</v>
      </c>
      <c r="AA83" s="1" cm="1">
        <f t="array" aca="1" ref="AA83" ca="1">INDIRECT(ADDRESS($B83,AA$50+$A83,1,1,$D83))</f>
        <v>0</v>
      </c>
      <c r="AB83" s="1" cm="1">
        <f t="array" aca="1" ref="AB83" ca="1">INDIRECT(ADDRESS($B83,AB$50+$A83,1,1,$D83))</f>
        <v>0</v>
      </c>
      <c r="AC83" s="1" cm="1">
        <f t="array" aca="1" ref="AC83" ca="1">INDIRECT(ADDRESS($B83,AC$50+$A83,1,1,$D83))</f>
        <v>0</v>
      </c>
      <c r="AD83" s="1" cm="1">
        <f t="array" aca="1" ref="AD83" ca="1">INDIRECT(ADDRESS($B83,AD$50+$A83,1,1,$D83))</f>
        <v>0</v>
      </c>
      <c r="AE83" s="1" cm="1">
        <f t="array" aca="1" ref="AE83" ca="1">INDIRECT(ADDRESS($B83,AE$50+$A83,1,1,$D83))</f>
        <v>0</v>
      </c>
      <c r="AF83" s="1" cm="1">
        <f t="array" aca="1" ref="AF83" ca="1">INDIRECT(ADDRESS($B83,AF$50+$A83,1,1,$D83))</f>
        <v>0</v>
      </c>
      <c r="AG83" s="1" cm="1">
        <f t="array" aca="1" ref="AG83" ca="1">INDIRECT(ADDRESS($B83,AG$50+$A83,1,1,$D83))</f>
        <v>0</v>
      </c>
      <c r="AH83" s="1" cm="1">
        <f t="array" aca="1" ref="AH83" ca="1">INDIRECT(ADDRESS($B83,AH$50+$A83,1,1,$D83))</f>
        <v>0</v>
      </c>
      <c r="AI83" s="1" cm="1">
        <f t="array" aca="1" ref="AI83" ca="1">INDIRECT(ADDRESS($B83,AI$50+$A83,1,1,$D83))</f>
        <v>1</v>
      </c>
      <c r="AJ83" s="1" cm="1">
        <f t="array" aca="1" ref="AJ83" ca="1">INDIRECT(ADDRESS($B83,AJ$50+$A83,1,1,$D83))</f>
        <v>2</v>
      </c>
      <c r="AK83" s="1" cm="1">
        <f t="array" aca="1" ref="AK83" ca="1">INDIRECT(ADDRESS($B83,AK$50+$A83,1,1,$D83))</f>
        <v>3</v>
      </c>
      <c r="AL83" s="1" cm="1">
        <f t="array" aca="1" ref="AL83" ca="1">INDIRECT(ADDRESS($B83,AL$50+$A83,1,1,$D83))</f>
        <v>7</v>
      </c>
      <c r="AM83" s="1" cm="1">
        <f t="array" aca="1" ref="AM83" ca="1">INDIRECT(ADDRESS($B83,AM$50+$A83,1,1,$D83))</f>
        <v>10</v>
      </c>
      <c r="AN83" s="1" cm="1">
        <f t="array" aca="1" ref="AN83" ca="1">INDIRECT(ADDRESS($B83,AN$50+$A83,1,1,$D83))</f>
        <v>12</v>
      </c>
      <c r="AO83" s="1" cm="1">
        <f t="array" aca="1" ref="AO83" ca="1">INDIRECT(ADDRESS($B83,AO$50+$A83,1,1,$D83))</f>
        <v>17</v>
      </c>
      <c r="AP83" s="1" cm="1">
        <f t="array" aca="1" ref="AP83" ca="1">INDIRECT(ADDRESS($B83,AP$50+$A83,1,1,$D83))</f>
        <v>21</v>
      </c>
      <c r="AQ83" s="1" cm="1">
        <f t="array" aca="1" ref="AQ83" ca="1">INDIRECT(ADDRESS($B83,AQ$50+$A83,1,1,$D83))</f>
        <v>29</v>
      </c>
      <c r="AR83" s="1" cm="1">
        <f t="array" aca="1" ref="AR83" ca="1">INDIRECT(ADDRESS($B83,AR$50+$A83,1,1,$D83))</f>
        <v>34</v>
      </c>
      <c r="AS83" s="1" cm="1">
        <f t="array" aca="1" ref="AS83" ca="1">INDIRECT(ADDRESS($B83,AS$50+$A83,1,1,$D83))</f>
        <v>52</v>
      </c>
      <c r="AT83" s="1" cm="1">
        <f t="array" aca="1" ref="AT83" ca="1">INDIRECT(ADDRESS($B83,AT$50+$A83,1,1,$D83))</f>
        <v>79</v>
      </c>
      <c r="AU83" s="1" cm="1">
        <f t="array" aca="1" ref="AU83" ca="1">INDIRECT(ADDRESS($B83,AU$50+$A83,1,1,$D83))</f>
        <v>107</v>
      </c>
      <c r="AV83" s="1" cm="1">
        <f t="array" aca="1" ref="AV83" ca="1">INDIRECT(ADDRESS($B83,AV$50+$A83,1,1,$D83))</f>
        <v>148</v>
      </c>
      <c r="AW83" s="1" cm="1">
        <f t="array" aca="1" ref="AW83" ca="1">INDIRECT(ADDRESS($B83,AW$50+$A83,1,1,$D83))</f>
        <v>197</v>
      </c>
      <c r="AX83" s="1" cm="1">
        <f t="array" aca="1" ref="AX83" ca="1">INDIRECT(ADDRESS($B83,AX$50+$A83,1,1,$D83))</f>
        <v>233</v>
      </c>
      <c r="AY83" s="1" cm="1">
        <f t="array" aca="1" ref="AY83" ca="1">INDIRECT(ADDRESS($B83,AY$50+$A83,1,1,$D83))</f>
        <v>366</v>
      </c>
      <c r="AZ83" s="1" cm="1">
        <f t="array" aca="1" ref="AZ83" ca="1">INDIRECT(ADDRESS($B83,AZ$50+$A83,1,1,$D83))</f>
        <v>463</v>
      </c>
      <c r="BA83" s="1" cm="1">
        <f t="array" aca="1" ref="BA83" ca="1">INDIRECT(ADDRESS($B83,BA$50+$A83,1,1,$D83))</f>
        <v>631</v>
      </c>
      <c r="BB83" s="1" cm="1">
        <f t="array" aca="1" ref="BB83" ca="1">INDIRECT(ADDRESS($B83,BB$50+$A83,1,1,$D83))</f>
        <v>827</v>
      </c>
      <c r="BC83" s="1" cm="1">
        <f t="array" aca="1" ref="BC83" ca="1">INDIRECT(ADDRESS($B83,BC$50+$A83,1,1,$D83))</f>
        <v>827</v>
      </c>
      <c r="BD83" s="1" cm="1">
        <f t="array" aca="1" ref="BD83" ca="1">INDIRECT(ADDRESS($B83,BD$50+$A83,1,1,$D83))</f>
        <v>1266</v>
      </c>
      <c r="BE83" s="1" cm="1">
        <f t="array" aca="1" ref="BE83" ca="1">INDIRECT(ADDRESS($B83,BE$50+$A83,1,1,$D83))</f>
        <v>1441</v>
      </c>
      <c r="BF83" s="1" cm="1">
        <f t="array" aca="1" ref="BF83" ca="1">INDIRECT(ADDRESS($B83,BF$50+$A83,1,1,$D83))</f>
        <v>1809</v>
      </c>
      <c r="BG83" s="1" cm="1">
        <f t="array" aca="1" ref="BG83" ca="1">INDIRECT(ADDRESS($B83,BG$50+$A83,1,1,$D83))</f>
        <v>2158</v>
      </c>
      <c r="BH83" s="1" cm="1">
        <f t="array" aca="1" ref="BH83" ca="1">INDIRECT(ADDRESS($B83,BH$50+$A83,1,1,$D83))</f>
        <v>2503</v>
      </c>
      <c r="BI83" s="1" cm="1">
        <f t="array" aca="1" ref="BI83" ca="1">INDIRECT(ADDRESS($B83,BI$50+$A83,1,1,$D83))</f>
        <v>2978</v>
      </c>
      <c r="BJ83" s="1" cm="1">
        <f t="array" aca="1" ref="BJ83" ca="1">INDIRECT(ADDRESS($B83,BJ$50+$A83,1,1,$D83))</f>
        <v>3405</v>
      </c>
      <c r="BK83" s="1" cm="1">
        <f t="array" aca="1" ref="BK83" ca="1">INDIRECT(ADDRESS($B83,BK$50+$A83,1,1,$D83))</f>
        <v>4032</v>
      </c>
      <c r="BL83" s="1" cm="1">
        <f t="array" aca="1" ref="BL83" ca="1">INDIRECT(ADDRESS($B83,BL$50+$A83,1,1,$D83))</f>
        <v>4825</v>
      </c>
      <c r="BM83" s="1" cm="1">
        <f t="array" aca="1" ref="BM83" ca="1">INDIRECT(ADDRESS($B83,BM$50+$A83,1,1,$D83))</f>
        <v>5476</v>
      </c>
      <c r="BN83" s="1" cm="1">
        <f t="array" aca="1" ref="BN83" ca="1">INDIRECT(ADDRESS($B83,BN$50+$A83,1,1,$D83))</f>
        <v>6077</v>
      </c>
      <c r="BO83" s="1" cm="1">
        <f t="array" aca="1" ref="BO83" ca="1">INDIRECT(ADDRESS($B83,BO$50+$A83,1,1,$D83))</f>
        <v>6820</v>
      </c>
      <c r="BP83" s="1" cm="1">
        <f t="array" aca="1" ref="BP83" ca="1">INDIRECT(ADDRESS($B83,BP$50+$A83,1,1,$D83))</f>
        <v>7503</v>
      </c>
      <c r="BQ83" s="1" cm="1">
        <f t="array" aca="1" ref="BQ83" ca="1">INDIRECT(ADDRESS($B83,BQ$50+$A83,1,1,$D83))</f>
        <v>8215</v>
      </c>
      <c r="BR83" s="1" cm="1">
        <f t="array" aca="1" ref="BR83" ca="1">INDIRECT(ADDRESS($B83,BR$50+$A83,1,1,$D83))</f>
        <v>9134</v>
      </c>
      <c r="BS83" s="1" cm="1">
        <f t="array" aca="1" ref="BS83" ca="1">INDIRECT(ADDRESS($B83,BS$50+$A83,1,1,$D83))</f>
        <v>10023</v>
      </c>
      <c r="BT83" s="1" cm="1">
        <f t="array" aca="1" ref="BT83" ca="1">INDIRECT(ADDRESS($B83,BT$50+$A83,1,1,$D83))</f>
        <v>10779</v>
      </c>
      <c r="BU83" s="1" cm="1">
        <f t="array" aca="1" ref="BU83" ca="1">INDIRECT(ADDRESS($B83,BU$50+$A83,1,1,$D83))</f>
        <v>11591</v>
      </c>
      <c r="BV83" s="1" cm="1">
        <f t="array" aca="1" ref="BV83" ca="1">INDIRECT(ADDRESS($B83,BV$50+$A83,1,1,$D83))</f>
        <v>0</v>
      </c>
    </row>
    <row r="84" spans="1:74" x14ac:dyDescent="0.25">
      <c r="A84">
        <v>8</v>
      </c>
      <c r="B84">
        <f ca="1">MATCH($C84,INDIRECT("'"&amp;$C$100&amp;"'!A:A"),0)</f>
        <v>12</v>
      </c>
      <c r="C84" s="1" t="str">
        <f>C9</f>
        <v>Spain</v>
      </c>
      <c r="D84" t="str">
        <f>D83</f>
        <v>Deaths</v>
      </c>
      <c r="E84" s="1" cm="1">
        <f t="array" aca="1" ref="E84" ca="1">INDIRECT(ADDRESS($B84,E$50+$A84,1,1,$D84))</f>
        <v>0</v>
      </c>
      <c r="F84" s="1" cm="1">
        <f t="array" aca="1" ref="F84" ca="1">INDIRECT(ADDRESS($B84,F$50+$A84,1,1,$D84))</f>
        <v>0</v>
      </c>
      <c r="G84" s="1" cm="1">
        <f t="array" aca="1" ref="G84" ca="1">INDIRECT(ADDRESS($B84,G$50+$A84,1,1,$D84))</f>
        <v>0</v>
      </c>
      <c r="H84" s="1" cm="1">
        <f t="array" aca="1" ref="H84" ca="1">INDIRECT(ADDRESS($B84,H$50+$A84,1,1,$D84))</f>
        <v>0</v>
      </c>
      <c r="I84" s="1" cm="1">
        <f t="array" aca="1" ref="I84" ca="1">INDIRECT(ADDRESS($B84,I$50+$A84,1,1,$D84))</f>
        <v>0</v>
      </c>
      <c r="J84" s="1" cm="1">
        <f t="array" aca="1" ref="J84" ca="1">INDIRECT(ADDRESS($B84,J$50+$A84,1,1,$D84))</f>
        <v>0</v>
      </c>
      <c r="K84" s="1" cm="1">
        <f t="array" aca="1" ref="K84" ca="1">INDIRECT(ADDRESS($B84,K$50+$A84,1,1,$D84))</f>
        <v>0</v>
      </c>
      <c r="L84" s="1" cm="1">
        <f t="array" aca="1" ref="L84" ca="1">INDIRECT(ADDRESS($B84,L$50+$A84,1,1,$D84))</f>
        <v>0</v>
      </c>
      <c r="M84" s="1" cm="1">
        <f t="array" aca="1" ref="M84" ca="1">INDIRECT(ADDRESS($B84,M$50+$A84,1,1,$D84))</f>
        <v>0</v>
      </c>
      <c r="N84" s="1" cm="1">
        <f t="array" aca="1" ref="N84" ca="1">INDIRECT(ADDRESS($B84,N$50+$A84,1,1,$D84))</f>
        <v>0</v>
      </c>
      <c r="O84" s="1" cm="1">
        <f t="array" aca="1" ref="O84" ca="1">INDIRECT(ADDRESS($B84,O$50+$A84,1,1,$D84))</f>
        <v>0</v>
      </c>
      <c r="P84" s="1" cm="1">
        <f t="array" aca="1" ref="P84" ca="1">INDIRECT(ADDRESS($B84,P$50+$A84,1,1,$D84))</f>
        <v>0</v>
      </c>
      <c r="Q84" s="1" cm="1">
        <f t="array" aca="1" ref="Q84" ca="1">INDIRECT(ADDRESS($B84,Q$50+$A84,1,1,$D84))</f>
        <v>0</v>
      </c>
      <c r="R84" s="1" cm="1">
        <f t="array" aca="1" ref="R84" ca="1">INDIRECT(ADDRESS($B84,R$50+$A84,1,1,$D84))</f>
        <v>0</v>
      </c>
      <c r="S84" s="1" cm="1">
        <f t="array" aca="1" ref="S84" ca="1">INDIRECT(ADDRESS($B84,S$50+$A84,1,1,$D84))</f>
        <v>0</v>
      </c>
      <c r="T84" s="1" cm="1">
        <f t="array" aca="1" ref="T84" ca="1">INDIRECT(ADDRESS($B84,T$50+$A84,1,1,$D84))</f>
        <v>0</v>
      </c>
      <c r="U84" s="1" cm="1">
        <f t="array" aca="1" ref="U84" ca="1">INDIRECT(ADDRESS($B84,U$50+$A84,1,1,$D84))</f>
        <v>0</v>
      </c>
      <c r="V84" s="1" cm="1">
        <f t="array" aca="1" ref="V84" ca="1">INDIRECT(ADDRESS($B84,V$50+$A84,1,1,$D84))</f>
        <v>0</v>
      </c>
      <c r="W84" s="1" cm="1">
        <f t="array" aca="1" ref="W84" ca="1">INDIRECT(ADDRESS($B84,W$50+$A84,1,1,$D84))</f>
        <v>0</v>
      </c>
      <c r="X84" s="1" cm="1">
        <f t="array" aca="1" ref="X84" ca="1">INDIRECT(ADDRESS($B84,X$50+$A84,1,1,$D84))</f>
        <v>0</v>
      </c>
      <c r="Y84" s="1" cm="1">
        <f t="array" aca="1" ref="Y84" ca="1">INDIRECT(ADDRESS($B84,Y$50+$A84,1,1,$D84))</f>
        <v>0</v>
      </c>
      <c r="Z84" s="1" cm="1">
        <f t="array" aca="1" ref="Z84" ca="1">INDIRECT(ADDRESS($B84,Z$50+$A84,1,1,$D84))</f>
        <v>0</v>
      </c>
      <c r="AA84" s="1" cm="1">
        <f t="array" aca="1" ref="AA84" ca="1">INDIRECT(ADDRESS($B84,AA$50+$A84,1,1,$D84))</f>
        <v>0</v>
      </c>
      <c r="AB84" s="1" cm="1">
        <f t="array" aca="1" ref="AB84" ca="1">INDIRECT(ADDRESS($B84,AB$50+$A84,1,1,$D84))</f>
        <v>0</v>
      </c>
      <c r="AC84" s="1" cm="1">
        <f t="array" aca="1" ref="AC84" ca="1">INDIRECT(ADDRESS($B84,AC$50+$A84,1,1,$D84))</f>
        <v>0</v>
      </c>
      <c r="AD84" s="1" cm="1">
        <f t="array" aca="1" ref="AD84" ca="1">INDIRECT(ADDRESS($B84,AD$50+$A84,1,1,$D84))</f>
        <v>0</v>
      </c>
      <c r="AE84" s="1" cm="1">
        <f t="array" aca="1" ref="AE84" ca="1">INDIRECT(ADDRESS($B84,AE$50+$A84,1,1,$D84))</f>
        <v>0</v>
      </c>
      <c r="AF84" s="1" cm="1">
        <f t="array" aca="1" ref="AF84" ca="1">INDIRECT(ADDRESS($B84,AF$50+$A84,1,1,$D84))</f>
        <v>0</v>
      </c>
      <c r="AG84" s="1" cm="1">
        <f t="array" aca="1" ref="AG84" ca="1">INDIRECT(ADDRESS($B84,AG$50+$A84,1,1,$D84))</f>
        <v>0</v>
      </c>
      <c r="AH84" s="1" cm="1">
        <f t="array" aca="1" ref="AH84" ca="1">INDIRECT(ADDRESS($B84,AH$50+$A84,1,1,$D84))</f>
        <v>0</v>
      </c>
      <c r="AI84" s="1" cm="1">
        <f t="array" aca="1" ref="AI84" ca="1">INDIRECT(ADDRESS($B84,AI$50+$A84,1,1,$D84))</f>
        <v>0</v>
      </c>
      <c r="AJ84" s="1" cm="1">
        <f t="array" aca="1" ref="AJ84" ca="1">INDIRECT(ADDRESS($B84,AJ$50+$A84,1,1,$D84))</f>
        <v>0</v>
      </c>
      <c r="AK84" s="1" cm="1">
        <f t="array" aca="1" ref="AK84" ca="1">INDIRECT(ADDRESS($B84,AK$50+$A84,1,1,$D84))</f>
        <v>0</v>
      </c>
      <c r="AL84" s="1" cm="1">
        <f t="array" aca="1" ref="AL84" ca="1">INDIRECT(ADDRESS($B84,AL$50+$A84,1,1,$D84))</f>
        <v>0</v>
      </c>
      <c r="AM84" s="1" cm="1">
        <f t="array" aca="1" ref="AM84" ca="1">INDIRECT(ADDRESS($B84,AM$50+$A84,1,1,$D84))</f>
        <v>0</v>
      </c>
      <c r="AN84" s="1" cm="1">
        <f t="array" aca="1" ref="AN84" ca="1">INDIRECT(ADDRESS($B84,AN$50+$A84,1,1,$D84))</f>
        <v>0</v>
      </c>
      <c r="AO84" s="1" cm="1">
        <f t="array" aca="1" ref="AO84" ca="1">INDIRECT(ADDRESS($B84,AO$50+$A84,1,1,$D84))</f>
        <v>0</v>
      </c>
      <c r="AP84" s="1" cm="1">
        <f t="array" aca="1" ref="AP84" ca="1">INDIRECT(ADDRESS($B84,AP$50+$A84,1,1,$D84))</f>
        <v>0</v>
      </c>
      <c r="AQ84" s="1" cm="1">
        <f t="array" aca="1" ref="AQ84" ca="1">INDIRECT(ADDRESS($B84,AQ$50+$A84,1,1,$D84))</f>
        <v>0</v>
      </c>
      <c r="AR84" s="1" cm="1">
        <f t="array" aca="1" ref="AR84" ca="1">INDIRECT(ADDRESS($B84,AR$50+$A84,1,1,$D84))</f>
        <v>0</v>
      </c>
      <c r="AS84" s="1" cm="1">
        <f t="array" aca="1" ref="AS84" ca="1">INDIRECT(ADDRESS($B84,AS$50+$A84,1,1,$D84))</f>
        <v>0</v>
      </c>
      <c r="AT84" s="1" cm="1">
        <f t="array" aca="1" ref="AT84" ca="1">INDIRECT(ADDRESS($B84,AT$50+$A84,1,1,$D84))</f>
        <v>1</v>
      </c>
      <c r="AU84" s="1" cm="1">
        <f t="array" aca="1" ref="AU84" ca="1">INDIRECT(ADDRESS($B84,AU$50+$A84,1,1,$D84))</f>
        <v>2</v>
      </c>
      <c r="AV84" s="1" cm="1">
        <f t="array" aca="1" ref="AV84" ca="1">INDIRECT(ADDRESS($B84,AV$50+$A84,1,1,$D84))</f>
        <v>3</v>
      </c>
      <c r="AW84" s="1" cm="1">
        <f t="array" aca="1" ref="AW84" ca="1">INDIRECT(ADDRESS($B84,AW$50+$A84,1,1,$D84))</f>
        <v>5</v>
      </c>
      <c r="AX84" s="1" cm="1">
        <f t="array" aca="1" ref="AX84" ca="1">INDIRECT(ADDRESS($B84,AX$50+$A84,1,1,$D84))</f>
        <v>10</v>
      </c>
      <c r="AY84" s="1" cm="1">
        <f t="array" aca="1" ref="AY84" ca="1">INDIRECT(ADDRESS($B84,AY$50+$A84,1,1,$D84))</f>
        <v>17</v>
      </c>
      <c r="AZ84" s="1" cm="1">
        <f t="array" aca="1" ref="AZ84" ca="1">INDIRECT(ADDRESS($B84,AZ$50+$A84,1,1,$D84))</f>
        <v>28</v>
      </c>
      <c r="BA84" s="1" cm="1">
        <f t="array" aca="1" ref="BA84" ca="1">INDIRECT(ADDRESS($B84,BA$50+$A84,1,1,$D84))</f>
        <v>35</v>
      </c>
      <c r="BB84" s="1" cm="1">
        <f t="array" aca="1" ref="BB84" ca="1">INDIRECT(ADDRESS($B84,BB$50+$A84,1,1,$D84))</f>
        <v>54</v>
      </c>
      <c r="BC84" s="1" cm="1">
        <f t="array" aca="1" ref="BC84" ca="1">INDIRECT(ADDRESS($B84,BC$50+$A84,1,1,$D84))</f>
        <v>55</v>
      </c>
      <c r="BD84" s="1" cm="1">
        <f t="array" aca="1" ref="BD84" ca="1">INDIRECT(ADDRESS($B84,BD$50+$A84,1,1,$D84))</f>
        <v>133</v>
      </c>
      <c r="BE84" s="1" cm="1">
        <f t="array" aca="1" ref="BE84" ca="1">INDIRECT(ADDRESS($B84,BE$50+$A84,1,1,$D84))</f>
        <v>195</v>
      </c>
      <c r="BF84" s="1" cm="1">
        <f t="array" aca="1" ref="BF84" ca="1">INDIRECT(ADDRESS($B84,BF$50+$A84,1,1,$D84))</f>
        <v>289</v>
      </c>
      <c r="BG84" s="1" cm="1">
        <f t="array" aca="1" ref="BG84" ca="1">INDIRECT(ADDRESS($B84,BG$50+$A84,1,1,$D84))</f>
        <v>342</v>
      </c>
      <c r="BH84" s="1" cm="1">
        <f t="array" aca="1" ref="BH84" ca="1">INDIRECT(ADDRESS($B84,BH$50+$A84,1,1,$D84))</f>
        <v>533</v>
      </c>
      <c r="BI84" s="1" cm="1">
        <f t="array" aca="1" ref="BI84" ca="1">INDIRECT(ADDRESS($B84,BI$50+$A84,1,1,$D84))</f>
        <v>623</v>
      </c>
      <c r="BJ84" s="1" cm="1">
        <f t="array" aca="1" ref="BJ84" ca="1">INDIRECT(ADDRESS($B84,BJ$50+$A84,1,1,$D84))</f>
        <v>830</v>
      </c>
      <c r="BK84" s="1" cm="1">
        <f t="array" aca="1" ref="BK84" ca="1">INDIRECT(ADDRESS($B84,BK$50+$A84,1,1,$D84))</f>
        <v>1043</v>
      </c>
      <c r="BL84" s="1" cm="1">
        <f t="array" aca="1" ref="BL84" ca="1">INDIRECT(ADDRESS($B84,BL$50+$A84,1,1,$D84))</f>
        <v>1375</v>
      </c>
      <c r="BM84" s="1" cm="1">
        <f t="array" aca="1" ref="BM84" ca="1">INDIRECT(ADDRESS($B84,BM$50+$A84,1,1,$D84))</f>
        <v>1772</v>
      </c>
      <c r="BN84" s="1" cm="1">
        <f t="array" aca="1" ref="BN84" ca="1">INDIRECT(ADDRESS($B84,BN$50+$A84,1,1,$D84))</f>
        <v>2311</v>
      </c>
      <c r="BO84" s="1" cm="1">
        <f t="array" aca="1" ref="BO84" ca="1">INDIRECT(ADDRESS($B84,BO$50+$A84,1,1,$D84))</f>
        <v>2808</v>
      </c>
      <c r="BP84" s="1" cm="1">
        <f t="array" aca="1" ref="BP84" ca="1">INDIRECT(ADDRESS($B84,BP$50+$A84,1,1,$D84))</f>
        <v>3647</v>
      </c>
      <c r="BQ84" s="1" cm="1">
        <f t="array" aca="1" ref="BQ84" ca="1">INDIRECT(ADDRESS($B84,BQ$50+$A84,1,1,$D84))</f>
        <v>4365</v>
      </c>
      <c r="BR84" s="1" cm="1">
        <f t="array" aca="1" ref="BR84" ca="1">INDIRECT(ADDRESS($B84,BR$50+$A84,1,1,$D84))</f>
        <v>5138</v>
      </c>
      <c r="BS84" s="1" cm="1">
        <f t="array" aca="1" ref="BS84" ca="1">INDIRECT(ADDRESS($B84,BS$50+$A84,1,1,$D84))</f>
        <v>5982</v>
      </c>
      <c r="BT84" s="1" cm="1">
        <f t="array" aca="1" ref="BT84" ca="1">INDIRECT(ADDRESS($B84,BT$50+$A84,1,1,$D84))</f>
        <v>6803</v>
      </c>
      <c r="BU84" s="1" cm="1">
        <f t="array" aca="1" ref="BU84" ca="1">INDIRECT(ADDRESS($B84,BU$50+$A84,1,1,$D84))</f>
        <v>7716</v>
      </c>
      <c r="BV84" s="1" cm="1">
        <f t="array" aca="1" ref="BV84" ca="1">INDIRECT(ADDRESS($B84,BV$50+$A84,1,1,$D84))</f>
        <v>0</v>
      </c>
    </row>
    <row r="85" spans="1:74" x14ac:dyDescent="0.25">
      <c r="A85">
        <v>8</v>
      </c>
      <c r="B85">
        <f ca="1">MATCH($C85,INDIRECT("'"&amp;$C$100&amp;"'!A:A"),0)</f>
        <v>15</v>
      </c>
      <c r="C85" s="1" t="str">
        <f>C10</f>
        <v>US</v>
      </c>
      <c r="D85" t="str">
        <f>D84</f>
        <v>Deaths</v>
      </c>
      <c r="E85" s="1" cm="1">
        <f t="array" aca="1" ref="E85" ca="1">INDIRECT(ADDRESS($B85,E$50+$A85,1,1,$D85))</f>
        <v>0</v>
      </c>
      <c r="F85" s="1" cm="1">
        <f t="array" aca="1" ref="F85" ca="1">INDIRECT(ADDRESS($B85,F$50+$A85,1,1,$D85))</f>
        <v>0</v>
      </c>
      <c r="G85" s="1" cm="1">
        <f t="array" aca="1" ref="G85" ca="1">INDIRECT(ADDRESS($B85,G$50+$A85,1,1,$D85))</f>
        <v>0</v>
      </c>
      <c r="H85" s="1" cm="1">
        <f t="array" aca="1" ref="H85" ca="1">INDIRECT(ADDRESS($B85,H$50+$A85,1,1,$D85))</f>
        <v>0</v>
      </c>
      <c r="I85" s="1" cm="1">
        <f t="array" aca="1" ref="I85" ca="1">INDIRECT(ADDRESS($B85,I$50+$A85,1,1,$D85))</f>
        <v>0</v>
      </c>
      <c r="J85" s="1" cm="1">
        <f t="array" aca="1" ref="J85" ca="1">INDIRECT(ADDRESS($B85,J$50+$A85,1,1,$D85))</f>
        <v>0</v>
      </c>
      <c r="K85" s="1" cm="1">
        <f t="array" aca="1" ref="K85" ca="1">INDIRECT(ADDRESS($B85,K$50+$A85,1,1,$D85))</f>
        <v>0</v>
      </c>
      <c r="L85" s="1" cm="1">
        <f t="array" aca="1" ref="L85" ca="1">INDIRECT(ADDRESS($B85,L$50+$A85,1,1,$D85))</f>
        <v>0</v>
      </c>
      <c r="M85" s="1" cm="1">
        <f t="array" aca="1" ref="M85" ca="1">INDIRECT(ADDRESS($B85,M$50+$A85,1,1,$D85))</f>
        <v>0</v>
      </c>
      <c r="N85" s="1" cm="1">
        <f t="array" aca="1" ref="N85" ca="1">INDIRECT(ADDRESS($B85,N$50+$A85,1,1,$D85))</f>
        <v>0</v>
      </c>
      <c r="O85" s="1" cm="1">
        <f t="array" aca="1" ref="O85" ca="1">INDIRECT(ADDRESS($B85,O$50+$A85,1,1,$D85))</f>
        <v>0</v>
      </c>
      <c r="P85" s="1" cm="1">
        <f t="array" aca="1" ref="P85" ca="1">INDIRECT(ADDRESS($B85,P$50+$A85,1,1,$D85))</f>
        <v>0</v>
      </c>
      <c r="Q85" s="1" cm="1">
        <f t="array" aca="1" ref="Q85" ca="1">INDIRECT(ADDRESS($B85,Q$50+$A85,1,1,$D85))</f>
        <v>0</v>
      </c>
      <c r="R85" s="1" cm="1">
        <f t="array" aca="1" ref="R85" ca="1">INDIRECT(ADDRESS($B85,R$50+$A85,1,1,$D85))</f>
        <v>0</v>
      </c>
      <c r="S85" s="1" cm="1">
        <f t="array" aca="1" ref="S85" ca="1">INDIRECT(ADDRESS($B85,S$50+$A85,1,1,$D85))</f>
        <v>0</v>
      </c>
      <c r="T85" s="1" cm="1">
        <f t="array" aca="1" ref="T85" ca="1">INDIRECT(ADDRESS($B85,T$50+$A85,1,1,$D85))</f>
        <v>0</v>
      </c>
      <c r="U85" s="1" cm="1">
        <f t="array" aca="1" ref="U85" ca="1">INDIRECT(ADDRESS($B85,U$50+$A85,1,1,$D85))</f>
        <v>0</v>
      </c>
      <c r="V85" s="1" cm="1">
        <f t="array" aca="1" ref="V85" ca="1">INDIRECT(ADDRESS($B85,V$50+$A85,1,1,$D85))</f>
        <v>0</v>
      </c>
      <c r="W85" s="1" cm="1">
        <f t="array" aca="1" ref="W85" ca="1">INDIRECT(ADDRESS($B85,W$50+$A85,1,1,$D85))</f>
        <v>0</v>
      </c>
      <c r="X85" s="1" cm="1">
        <f t="array" aca="1" ref="X85" ca="1">INDIRECT(ADDRESS($B85,X$50+$A85,1,1,$D85))</f>
        <v>0</v>
      </c>
      <c r="Y85" s="1" cm="1">
        <f t="array" aca="1" ref="Y85" ca="1">INDIRECT(ADDRESS($B85,Y$50+$A85,1,1,$D85))</f>
        <v>0</v>
      </c>
      <c r="Z85" s="1" cm="1">
        <f t="array" aca="1" ref="Z85" ca="1">INDIRECT(ADDRESS($B85,Z$50+$A85,1,1,$D85))</f>
        <v>0</v>
      </c>
      <c r="AA85" s="1" cm="1">
        <f t="array" aca="1" ref="AA85" ca="1">INDIRECT(ADDRESS($B85,AA$50+$A85,1,1,$D85))</f>
        <v>0</v>
      </c>
      <c r="AB85" s="1" cm="1">
        <f t="array" aca="1" ref="AB85" ca="1">INDIRECT(ADDRESS($B85,AB$50+$A85,1,1,$D85))</f>
        <v>0</v>
      </c>
      <c r="AC85" s="1" cm="1">
        <f t="array" aca="1" ref="AC85" ca="1">INDIRECT(ADDRESS($B85,AC$50+$A85,1,1,$D85))</f>
        <v>0</v>
      </c>
      <c r="AD85" s="1" cm="1">
        <f t="array" aca="1" ref="AD85" ca="1">INDIRECT(ADDRESS($B85,AD$50+$A85,1,1,$D85))</f>
        <v>0</v>
      </c>
      <c r="AE85" s="1" cm="1">
        <f t="array" aca="1" ref="AE85" ca="1">INDIRECT(ADDRESS($B85,AE$50+$A85,1,1,$D85))</f>
        <v>0</v>
      </c>
      <c r="AF85" s="1" cm="1">
        <f t="array" aca="1" ref="AF85" ca="1">INDIRECT(ADDRESS($B85,AF$50+$A85,1,1,$D85))</f>
        <v>0</v>
      </c>
      <c r="AG85" s="1" cm="1">
        <f t="array" aca="1" ref="AG85" ca="1">INDIRECT(ADDRESS($B85,AG$50+$A85,1,1,$D85))</f>
        <v>0</v>
      </c>
      <c r="AH85" s="1" cm="1">
        <f t="array" aca="1" ref="AH85" ca="1">INDIRECT(ADDRESS($B85,AH$50+$A85,1,1,$D85))</f>
        <v>0</v>
      </c>
      <c r="AI85" s="1" cm="1">
        <f t="array" aca="1" ref="AI85" ca="1">INDIRECT(ADDRESS($B85,AI$50+$A85,1,1,$D85))</f>
        <v>0</v>
      </c>
      <c r="AJ85" s="1" cm="1">
        <f t="array" aca="1" ref="AJ85" ca="1">INDIRECT(ADDRESS($B85,AJ$50+$A85,1,1,$D85))</f>
        <v>0</v>
      </c>
      <c r="AK85" s="1" cm="1">
        <f t="array" aca="1" ref="AK85" ca="1">INDIRECT(ADDRESS($B85,AK$50+$A85,1,1,$D85))</f>
        <v>0</v>
      </c>
      <c r="AL85" s="1" cm="1">
        <f t="array" aca="1" ref="AL85" ca="1">INDIRECT(ADDRESS($B85,AL$50+$A85,1,1,$D85))</f>
        <v>0</v>
      </c>
      <c r="AM85" s="1" cm="1">
        <f t="array" aca="1" ref="AM85" ca="1">INDIRECT(ADDRESS($B85,AM$50+$A85,1,1,$D85))</f>
        <v>0</v>
      </c>
      <c r="AN85" s="1" cm="1">
        <f t="array" aca="1" ref="AN85" ca="1">INDIRECT(ADDRESS($B85,AN$50+$A85,1,1,$D85))</f>
        <v>0</v>
      </c>
      <c r="AO85" s="1" cm="1">
        <f t="array" aca="1" ref="AO85" ca="1">INDIRECT(ADDRESS($B85,AO$50+$A85,1,1,$D85))</f>
        <v>0</v>
      </c>
      <c r="AP85" s="1" cm="1">
        <f t="array" aca="1" ref="AP85" ca="1">INDIRECT(ADDRESS($B85,AP$50+$A85,1,1,$D85))</f>
        <v>0</v>
      </c>
      <c r="AQ85" s="1" cm="1">
        <f t="array" aca="1" ref="AQ85" ca="1">INDIRECT(ADDRESS($B85,AQ$50+$A85,1,1,$D85))</f>
        <v>1</v>
      </c>
      <c r="AR85" s="1" cm="1">
        <f t="array" aca="1" ref="AR85" ca="1">INDIRECT(ADDRESS($B85,AR$50+$A85,1,1,$D85))</f>
        <v>1</v>
      </c>
      <c r="AS85" s="1" cm="1">
        <f t="array" aca="1" ref="AS85" ca="1">INDIRECT(ADDRESS($B85,AS$50+$A85,1,1,$D85))</f>
        <v>6</v>
      </c>
      <c r="AT85" s="1" cm="1">
        <f t="array" aca="1" ref="AT85" ca="1">INDIRECT(ADDRESS($B85,AT$50+$A85,1,1,$D85))</f>
        <v>7</v>
      </c>
      <c r="AU85" s="1" cm="1">
        <f t="array" aca="1" ref="AU85" ca="1">INDIRECT(ADDRESS($B85,AU$50+$A85,1,1,$D85))</f>
        <v>11</v>
      </c>
      <c r="AV85" s="1" cm="1">
        <f t="array" aca="1" ref="AV85" ca="1">INDIRECT(ADDRESS($B85,AV$50+$A85,1,1,$D85))</f>
        <v>12</v>
      </c>
      <c r="AW85" s="1" cm="1">
        <f t="array" aca="1" ref="AW85" ca="1">INDIRECT(ADDRESS($B85,AW$50+$A85,1,1,$D85))</f>
        <v>14</v>
      </c>
      <c r="AX85" s="1" cm="1">
        <f t="array" aca="1" ref="AX85" ca="1">INDIRECT(ADDRESS($B85,AX$50+$A85,1,1,$D85))</f>
        <v>17</v>
      </c>
      <c r="AY85" s="1" cm="1">
        <f t="array" aca="1" ref="AY85" ca="1">INDIRECT(ADDRESS($B85,AY$50+$A85,1,1,$D85))</f>
        <v>21</v>
      </c>
      <c r="AZ85" s="1" cm="1">
        <f t="array" aca="1" ref="AZ85" ca="1">INDIRECT(ADDRESS($B85,AZ$50+$A85,1,1,$D85))</f>
        <v>22</v>
      </c>
      <c r="BA85" s="1" cm="1">
        <f t="array" aca="1" ref="BA85" ca="1">INDIRECT(ADDRESS($B85,BA$50+$A85,1,1,$D85))</f>
        <v>28</v>
      </c>
      <c r="BB85" s="1" cm="1">
        <f t="array" aca="1" ref="BB85" ca="1">INDIRECT(ADDRESS($B85,BB$50+$A85,1,1,$D85))</f>
        <v>36</v>
      </c>
      <c r="BC85" s="1" cm="1">
        <f t="array" aca="1" ref="BC85" ca="1">INDIRECT(ADDRESS($B85,BC$50+$A85,1,1,$D85))</f>
        <v>40</v>
      </c>
      <c r="BD85" s="1" cm="1">
        <f t="array" aca="1" ref="BD85" ca="1">INDIRECT(ADDRESS($B85,BD$50+$A85,1,1,$D85))</f>
        <v>47</v>
      </c>
      <c r="BE85" s="1" cm="1">
        <f t="array" aca="1" ref="BE85" ca="1">INDIRECT(ADDRESS($B85,BE$50+$A85,1,1,$D85))</f>
        <v>54</v>
      </c>
      <c r="BF85" s="1" cm="1">
        <f t="array" aca="1" ref="BF85" ca="1">INDIRECT(ADDRESS($B85,BF$50+$A85,1,1,$D85))</f>
        <v>63</v>
      </c>
      <c r="BG85" s="1" cm="1">
        <f t="array" aca="1" ref="BG85" ca="1">INDIRECT(ADDRESS($B85,BG$50+$A85,1,1,$D85))</f>
        <v>85</v>
      </c>
      <c r="BH85" s="1" cm="1">
        <f t="array" aca="1" ref="BH85" ca="1">INDIRECT(ADDRESS($B85,BH$50+$A85,1,1,$D85))</f>
        <v>108</v>
      </c>
      <c r="BI85" s="1" cm="1">
        <f t="array" aca="1" ref="BI85" ca="1">INDIRECT(ADDRESS($B85,BI$50+$A85,1,1,$D85))</f>
        <v>118</v>
      </c>
      <c r="BJ85" s="1" cm="1">
        <f t="array" aca="1" ref="BJ85" ca="1">INDIRECT(ADDRESS($B85,BJ$50+$A85,1,1,$D85))</f>
        <v>200</v>
      </c>
      <c r="BK85" s="1" cm="1">
        <f t="array" aca="1" ref="BK85" ca="1">INDIRECT(ADDRESS($B85,BK$50+$A85,1,1,$D85))</f>
        <v>244</v>
      </c>
      <c r="BL85" s="1" cm="1">
        <f t="array" aca="1" ref="BL85" ca="1">INDIRECT(ADDRESS($B85,BL$50+$A85,1,1,$D85))</f>
        <v>307</v>
      </c>
      <c r="BM85" s="1" cm="1">
        <f t="array" aca="1" ref="BM85" ca="1">INDIRECT(ADDRESS($B85,BM$50+$A85,1,1,$D85))</f>
        <v>417</v>
      </c>
      <c r="BN85" s="1" cm="1">
        <f t="array" aca="1" ref="BN85" ca="1">INDIRECT(ADDRESS($B85,BN$50+$A85,1,1,$D85))</f>
        <v>557</v>
      </c>
      <c r="BO85" s="1" cm="1">
        <f t="array" aca="1" ref="BO85" ca="1">INDIRECT(ADDRESS($B85,BO$50+$A85,1,1,$D85))</f>
        <v>706</v>
      </c>
      <c r="BP85" s="1" cm="1">
        <f t="array" aca="1" ref="BP85" ca="1">INDIRECT(ADDRESS($B85,BP$50+$A85,1,1,$D85))</f>
        <v>942</v>
      </c>
      <c r="BQ85" s="1" cm="1">
        <f t="array" aca="1" ref="BQ85" ca="1">INDIRECT(ADDRESS($B85,BQ$50+$A85,1,1,$D85))</f>
        <v>1209</v>
      </c>
      <c r="BR85" s="1" cm="1">
        <f t="array" aca="1" ref="BR85" ca="1">INDIRECT(ADDRESS($B85,BR$50+$A85,1,1,$D85))</f>
        <v>1581</v>
      </c>
      <c r="BS85" s="1" cm="1">
        <f t="array" aca="1" ref="BS85" ca="1">INDIRECT(ADDRESS($B85,BS$50+$A85,1,1,$D85))</f>
        <v>2026</v>
      </c>
      <c r="BT85" s="1" cm="1">
        <f t="array" aca="1" ref="BT85" ca="1">INDIRECT(ADDRESS($B85,BT$50+$A85,1,1,$D85))</f>
        <v>2467</v>
      </c>
      <c r="BU85" s="1" cm="1">
        <f t="array" aca="1" ref="BU85" ca="1">INDIRECT(ADDRESS($B85,BU$50+$A85,1,1,$D85))</f>
        <v>2978</v>
      </c>
      <c r="BV85" s="1" cm="1">
        <f t="array" aca="1" ref="BV85" ca="1">INDIRECT(ADDRESS($B85,BV$50+$A85,1,1,$D85))</f>
        <v>0</v>
      </c>
    </row>
    <row r="86" spans="1:74" x14ac:dyDescent="0.25">
      <c r="A86">
        <v>8</v>
      </c>
      <c r="B86">
        <f ca="1">MATCH($C86,INDIRECT("'"&amp;$C$100&amp;"'!A:A"),0)</f>
        <v>14</v>
      </c>
      <c r="C86" s="1" t="str">
        <f>C11</f>
        <v>Switzerland</v>
      </c>
      <c r="D86" t="str">
        <f>D85</f>
        <v>Deaths</v>
      </c>
      <c r="E86" s="1" cm="1">
        <f t="array" aca="1" ref="E86" ca="1">INDIRECT(ADDRESS($B86,E$50+$A86,1,1,$D86))</f>
        <v>0</v>
      </c>
      <c r="F86" s="1" cm="1">
        <f t="array" aca="1" ref="F86" ca="1">INDIRECT(ADDRESS($B86,F$50+$A86,1,1,$D86))</f>
        <v>0</v>
      </c>
      <c r="G86" s="1" cm="1">
        <f t="array" aca="1" ref="G86" ca="1">INDIRECT(ADDRESS($B86,G$50+$A86,1,1,$D86))</f>
        <v>0</v>
      </c>
      <c r="H86" s="1" cm="1">
        <f t="array" aca="1" ref="H86" ca="1">INDIRECT(ADDRESS($B86,H$50+$A86,1,1,$D86))</f>
        <v>0</v>
      </c>
      <c r="I86" s="1" cm="1">
        <f t="array" aca="1" ref="I86" ca="1">INDIRECT(ADDRESS($B86,I$50+$A86,1,1,$D86))</f>
        <v>0</v>
      </c>
      <c r="J86" s="1" cm="1">
        <f t="array" aca="1" ref="J86" ca="1">INDIRECT(ADDRESS($B86,J$50+$A86,1,1,$D86))</f>
        <v>0</v>
      </c>
      <c r="K86" s="1" cm="1">
        <f t="array" aca="1" ref="K86" ca="1">INDIRECT(ADDRESS($B86,K$50+$A86,1,1,$D86))</f>
        <v>0</v>
      </c>
      <c r="L86" s="1" cm="1">
        <f t="array" aca="1" ref="L86" ca="1">INDIRECT(ADDRESS($B86,L$50+$A86,1,1,$D86))</f>
        <v>0</v>
      </c>
      <c r="M86" s="1" cm="1">
        <f t="array" aca="1" ref="M86" ca="1">INDIRECT(ADDRESS($B86,M$50+$A86,1,1,$D86))</f>
        <v>0</v>
      </c>
      <c r="N86" s="1" cm="1">
        <f t="array" aca="1" ref="N86" ca="1">INDIRECT(ADDRESS($B86,N$50+$A86,1,1,$D86))</f>
        <v>0</v>
      </c>
      <c r="O86" s="1" cm="1">
        <f t="array" aca="1" ref="O86" ca="1">INDIRECT(ADDRESS($B86,O$50+$A86,1,1,$D86))</f>
        <v>0</v>
      </c>
      <c r="P86" s="1" cm="1">
        <f t="array" aca="1" ref="P86" ca="1">INDIRECT(ADDRESS($B86,P$50+$A86,1,1,$D86))</f>
        <v>0</v>
      </c>
      <c r="Q86" s="1" cm="1">
        <f t="array" aca="1" ref="Q86" ca="1">INDIRECT(ADDRESS($B86,Q$50+$A86,1,1,$D86))</f>
        <v>0</v>
      </c>
      <c r="R86" s="1" cm="1">
        <f t="array" aca="1" ref="R86" ca="1">INDIRECT(ADDRESS($B86,R$50+$A86,1,1,$D86))</f>
        <v>0</v>
      </c>
      <c r="S86" s="1" cm="1">
        <f t="array" aca="1" ref="S86" ca="1">INDIRECT(ADDRESS($B86,S$50+$A86,1,1,$D86))</f>
        <v>0</v>
      </c>
      <c r="T86" s="1" cm="1">
        <f t="array" aca="1" ref="T86" ca="1">INDIRECT(ADDRESS($B86,T$50+$A86,1,1,$D86))</f>
        <v>0</v>
      </c>
      <c r="U86" s="1" cm="1">
        <f t="array" aca="1" ref="U86" ca="1">INDIRECT(ADDRESS($B86,U$50+$A86,1,1,$D86))</f>
        <v>0</v>
      </c>
      <c r="V86" s="1" cm="1">
        <f t="array" aca="1" ref="V86" ca="1">INDIRECT(ADDRESS($B86,V$50+$A86,1,1,$D86))</f>
        <v>0</v>
      </c>
      <c r="W86" s="1" cm="1">
        <f t="array" aca="1" ref="W86" ca="1">INDIRECT(ADDRESS($B86,W$50+$A86,1,1,$D86))</f>
        <v>0</v>
      </c>
      <c r="X86" s="1" cm="1">
        <f t="array" aca="1" ref="X86" ca="1">INDIRECT(ADDRESS($B86,X$50+$A86,1,1,$D86))</f>
        <v>0</v>
      </c>
      <c r="Y86" s="1" cm="1">
        <f t="array" aca="1" ref="Y86" ca="1">INDIRECT(ADDRESS($B86,Y$50+$A86,1,1,$D86))</f>
        <v>0</v>
      </c>
      <c r="Z86" s="1" cm="1">
        <f t="array" aca="1" ref="Z86" ca="1">INDIRECT(ADDRESS($B86,Z$50+$A86,1,1,$D86))</f>
        <v>0</v>
      </c>
      <c r="AA86" s="1" cm="1">
        <f t="array" aca="1" ref="AA86" ca="1">INDIRECT(ADDRESS($B86,AA$50+$A86,1,1,$D86))</f>
        <v>0</v>
      </c>
      <c r="AB86" s="1" cm="1">
        <f t="array" aca="1" ref="AB86" ca="1">INDIRECT(ADDRESS($B86,AB$50+$A86,1,1,$D86))</f>
        <v>0</v>
      </c>
      <c r="AC86" s="1" cm="1">
        <f t="array" aca="1" ref="AC86" ca="1">INDIRECT(ADDRESS($B86,AC$50+$A86,1,1,$D86))</f>
        <v>0</v>
      </c>
      <c r="AD86" s="1" cm="1">
        <f t="array" aca="1" ref="AD86" ca="1">INDIRECT(ADDRESS($B86,AD$50+$A86,1,1,$D86))</f>
        <v>0</v>
      </c>
      <c r="AE86" s="1" cm="1">
        <f t="array" aca="1" ref="AE86" ca="1">INDIRECT(ADDRESS($B86,AE$50+$A86,1,1,$D86))</f>
        <v>0</v>
      </c>
      <c r="AF86" s="1" cm="1">
        <f t="array" aca="1" ref="AF86" ca="1">INDIRECT(ADDRESS($B86,AF$50+$A86,1,1,$D86))</f>
        <v>0</v>
      </c>
      <c r="AG86" s="1" cm="1">
        <f t="array" aca="1" ref="AG86" ca="1">INDIRECT(ADDRESS($B86,AG$50+$A86,1,1,$D86))</f>
        <v>0</v>
      </c>
      <c r="AH86" s="1" cm="1">
        <f t="array" aca="1" ref="AH86" ca="1">INDIRECT(ADDRESS($B86,AH$50+$A86,1,1,$D86))</f>
        <v>0</v>
      </c>
      <c r="AI86" s="1" cm="1">
        <f t="array" aca="1" ref="AI86" ca="1">INDIRECT(ADDRESS($B86,AI$50+$A86,1,1,$D86))</f>
        <v>0</v>
      </c>
      <c r="AJ86" s="1" cm="1">
        <f t="array" aca="1" ref="AJ86" ca="1">INDIRECT(ADDRESS($B86,AJ$50+$A86,1,1,$D86))</f>
        <v>0</v>
      </c>
      <c r="AK86" s="1" cm="1">
        <f t="array" aca="1" ref="AK86" ca="1">INDIRECT(ADDRESS($B86,AK$50+$A86,1,1,$D86))</f>
        <v>0</v>
      </c>
      <c r="AL86" s="1" cm="1">
        <f t="array" aca="1" ref="AL86" ca="1">INDIRECT(ADDRESS($B86,AL$50+$A86,1,1,$D86))</f>
        <v>0</v>
      </c>
      <c r="AM86" s="1" cm="1">
        <f t="array" aca="1" ref="AM86" ca="1">INDIRECT(ADDRESS($B86,AM$50+$A86,1,1,$D86))</f>
        <v>0</v>
      </c>
      <c r="AN86" s="1" cm="1">
        <f t="array" aca="1" ref="AN86" ca="1">INDIRECT(ADDRESS($B86,AN$50+$A86,1,1,$D86))</f>
        <v>0</v>
      </c>
      <c r="AO86" s="1" cm="1">
        <f t="array" aca="1" ref="AO86" ca="1">INDIRECT(ADDRESS($B86,AO$50+$A86,1,1,$D86))</f>
        <v>0</v>
      </c>
      <c r="AP86" s="1" cm="1">
        <f t="array" aca="1" ref="AP86" ca="1">INDIRECT(ADDRESS($B86,AP$50+$A86,1,1,$D86))</f>
        <v>0</v>
      </c>
      <c r="AQ86" s="1" cm="1">
        <f t="array" aca="1" ref="AQ86" ca="1">INDIRECT(ADDRESS($B86,AQ$50+$A86,1,1,$D86))</f>
        <v>0</v>
      </c>
      <c r="AR86" s="1" cm="1">
        <f t="array" aca="1" ref="AR86" ca="1">INDIRECT(ADDRESS($B86,AR$50+$A86,1,1,$D86))</f>
        <v>0</v>
      </c>
      <c r="AS86" s="1" cm="1">
        <f t="array" aca="1" ref="AS86" ca="1">INDIRECT(ADDRESS($B86,AS$50+$A86,1,1,$D86))</f>
        <v>0</v>
      </c>
      <c r="AT86" s="1" cm="1">
        <f t="array" aca="1" ref="AT86" ca="1">INDIRECT(ADDRESS($B86,AT$50+$A86,1,1,$D86))</f>
        <v>0</v>
      </c>
      <c r="AU86" s="1" cm="1">
        <f t="array" aca="1" ref="AU86" ca="1">INDIRECT(ADDRESS($B86,AU$50+$A86,1,1,$D86))</f>
        <v>0</v>
      </c>
      <c r="AV86" s="1" cm="1">
        <f t="array" aca="1" ref="AV86" ca="1">INDIRECT(ADDRESS($B86,AV$50+$A86,1,1,$D86))</f>
        <v>1</v>
      </c>
      <c r="AW86" s="1" cm="1">
        <f t="array" aca="1" ref="AW86" ca="1">INDIRECT(ADDRESS($B86,AW$50+$A86,1,1,$D86))</f>
        <v>1</v>
      </c>
      <c r="AX86" s="1" cm="1">
        <f t="array" aca="1" ref="AX86" ca="1">INDIRECT(ADDRESS($B86,AX$50+$A86,1,1,$D86))</f>
        <v>1</v>
      </c>
      <c r="AY86" s="1" cm="1">
        <f t="array" aca="1" ref="AY86" ca="1">INDIRECT(ADDRESS($B86,AY$50+$A86,1,1,$D86))</f>
        <v>2</v>
      </c>
      <c r="AZ86" s="1" cm="1">
        <f t="array" aca="1" ref="AZ86" ca="1">INDIRECT(ADDRESS($B86,AZ$50+$A86,1,1,$D86))</f>
        <v>2</v>
      </c>
      <c r="BA86" s="1" cm="1">
        <f t="array" aca="1" ref="BA86" ca="1">INDIRECT(ADDRESS($B86,BA$50+$A86,1,1,$D86))</f>
        <v>3</v>
      </c>
      <c r="BB86" s="1" cm="1">
        <f t="array" aca="1" ref="BB86" ca="1">INDIRECT(ADDRESS($B86,BB$50+$A86,1,1,$D86))</f>
        <v>4</v>
      </c>
      <c r="BC86" s="1" cm="1">
        <f t="array" aca="1" ref="BC86" ca="1">INDIRECT(ADDRESS($B86,BC$50+$A86,1,1,$D86))</f>
        <v>4</v>
      </c>
      <c r="BD86" s="1" cm="1">
        <f t="array" aca="1" ref="BD86" ca="1">INDIRECT(ADDRESS($B86,BD$50+$A86,1,1,$D86))</f>
        <v>11</v>
      </c>
      <c r="BE86" s="1" cm="1">
        <f t="array" aca="1" ref="BE86" ca="1">INDIRECT(ADDRESS($B86,BE$50+$A86,1,1,$D86))</f>
        <v>13</v>
      </c>
      <c r="BF86" s="1" cm="1">
        <f t="array" aca="1" ref="BF86" ca="1">INDIRECT(ADDRESS($B86,BF$50+$A86,1,1,$D86))</f>
        <v>14</v>
      </c>
      <c r="BG86" s="1" cm="1">
        <f t="array" aca="1" ref="BG86" ca="1">INDIRECT(ADDRESS($B86,BG$50+$A86,1,1,$D86))</f>
        <v>14</v>
      </c>
      <c r="BH86" s="1" cm="1">
        <f t="array" aca="1" ref="BH86" ca="1">INDIRECT(ADDRESS($B86,BH$50+$A86,1,1,$D86))</f>
        <v>27</v>
      </c>
      <c r="BI86" s="1" cm="1">
        <f t="array" aca="1" ref="BI86" ca="1">INDIRECT(ADDRESS($B86,BI$50+$A86,1,1,$D86))</f>
        <v>28</v>
      </c>
      <c r="BJ86" s="1" cm="1">
        <f t="array" aca="1" ref="BJ86" ca="1">INDIRECT(ADDRESS($B86,BJ$50+$A86,1,1,$D86))</f>
        <v>41</v>
      </c>
      <c r="BK86" s="1" cm="1">
        <f t="array" aca="1" ref="BK86" ca="1">INDIRECT(ADDRESS($B86,BK$50+$A86,1,1,$D86))</f>
        <v>54</v>
      </c>
      <c r="BL86" s="1" cm="1">
        <f t="array" aca="1" ref="BL86" ca="1">INDIRECT(ADDRESS($B86,BL$50+$A86,1,1,$D86))</f>
        <v>75</v>
      </c>
      <c r="BM86" s="1" cm="1">
        <f t="array" aca="1" ref="BM86" ca="1">INDIRECT(ADDRESS($B86,BM$50+$A86,1,1,$D86))</f>
        <v>98</v>
      </c>
      <c r="BN86" s="1" cm="1">
        <f t="array" aca="1" ref="BN86" ca="1">INDIRECT(ADDRESS($B86,BN$50+$A86,1,1,$D86))</f>
        <v>120</v>
      </c>
      <c r="BO86" s="1" cm="1">
        <f t="array" aca="1" ref="BO86" ca="1">INDIRECT(ADDRESS($B86,BO$50+$A86,1,1,$D86))</f>
        <v>122</v>
      </c>
      <c r="BP86" s="1" cm="1">
        <f t="array" aca="1" ref="BP86" ca="1">INDIRECT(ADDRESS($B86,BP$50+$A86,1,1,$D86))</f>
        <v>153</v>
      </c>
      <c r="BQ86" s="1" cm="1">
        <f t="array" aca="1" ref="BQ86" ca="1">INDIRECT(ADDRESS($B86,BQ$50+$A86,1,1,$D86))</f>
        <v>191</v>
      </c>
      <c r="BR86" s="1" cm="1">
        <f t="array" aca="1" ref="BR86" ca="1">INDIRECT(ADDRESS($B86,BR$50+$A86,1,1,$D86))</f>
        <v>231</v>
      </c>
      <c r="BS86" s="1" cm="1">
        <f t="array" aca="1" ref="BS86" ca="1">INDIRECT(ADDRESS($B86,BS$50+$A86,1,1,$D86))</f>
        <v>264</v>
      </c>
      <c r="BT86" s="1" cm="1">
        <f t="array" aca="1" ref="BT86" ca="1">INDIRECT(ADDRESS($B86,BT$50+$A86,1,1,$D86))</f>
        <v>300</v>
      </c>
      <c r="BU86" s="1" cm="1">
        <f t="array" aca="1" ref="BU86" ca="1">INDIRECT(ADDRESS($B86,BU$50+$A86,1,1,$D86))</f>
        <v>359</v>
      </c>
      <c r="BV86" s="1" cm="1">
        <f t="array" aca="1" ref="BV86" ca="1">INDIRECT(ADDRESS($B86,BV$50+$A86,1,1,$D86))</f>
        <v>0</v>
      </c>
    </row>
    <row r="87" spans="1:74" x14ac:dyDescent="0.25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</row>
    <row r="88" spans="1:74" x14ac:dyDescent="0.25">
      <c r="C88" s="4" t="s">
        <v>143</v>
      </c>
      <c r="D88" s="4"/>
      <c r="E88" s="5" t="str">
        <f t="shared" ref="E88:AJ88" ca="1" si="10">E58</f>
        <v>2020-01-22</v>
      </c>
      <c r="F88" s="5" t="str">
        <f t="shared" ca="1" si="10"/>
        <v>2020-01-23</v>
      </c>
      <c r="G88" s="5" t="str">
        <f t="shared" ca="1" si="10"/>
        <v>2020-01-24</v>
      </c>
      <c r="H88" s="5" t="str">
        <f t="shared" ca="1" si="10"/>
        <v>2020-01-25</v>
      </c>
      <c r="I88" s="5" t="str">
        <f t="shared" ca="1" si="10"/>
        <v>2020-01-26</v>
      </c>
      <c r="J88" s="5" t="str">
        <f t="shared" ca="1" si="10"/>
        <v>2020-01-27</v>
      </c>
      <c r="K88" s="5" t="str">
        <f t="shared" ca="1" si="10"/>
        <v>2020-01-28</v>
      </c>
      <c r="L88" s="5" t="str">
        <f t="shared" ca="1" si="10"/>
        <v>2020-01-29</v>
      </c>
      <c r="M88" s="5" t="str">
        <f t="shared" ca="1" si="10"/>
        <v>2020-01-30</v>
      </c>
      <c r="N88" s="5" t="str">
        <f t="shared" ca="1" si="10"/>
        <v>2020-01-31</v>
      </c>
      <c r="O88" s="5" t="str">
        <f t="shared" ca="1" si="10"/>
        <v>2020-02-01</v>
      </c>
      <c r="P88" s="5" t="str">
        <f t="shared" ca="1" si="10"/>
        <v>2020-02-02</v>
      </c>
      <c r="Q88" s="5" t="str">
        <f t="shared" ca="1" si="10"/>
        <v>2020-02-03</v>
      </c>
      <c r="R88" s="5" t="str">
        <f t="shared" ca="1" si="10"/>
        <v>2020-02-04</v>
      </c>
      <c r="S88" s="5" t="str">
        <f t="shared" ca="1" si="10"/>
        <v>2020-02-05</v>
      </c>
      <c r="T88" s="5" t="str">
        <f t="shared" ca="1" si="10"/>
        <v>2020-02-06</v>
      </c>
      <c r="U88" s="5" t="str">
        <f t="shared" ca="1" si="10"/>
        <v>2020-02-07</v>
      </c>
      <c r="V88" s="5" t="str">
        <f t="shared" ca="1" si="10"/>
        <v>2020-02-08</v>
      </c>
      <c r="W88" s="5" t="str">
        <f t="shared" ca="1" si="10"/>
        <v>2020-02-09</v>
      </c>
      <c r="X88" s="5" t="str">
        <f t="shared" ca="1" si="10"/>
        <v>2020-02-10</v>
      </c>
      <c r="Y88" s="5" t="str">
        <f t="shared" ca="1" si="10"/>
        <v>2020-02-11</v>
      </c>
      <c r="Z88" s="5" t="str">
        <f t="shared" ca="1" si="10"/>
        <v>2020-02-12</v>
      </c>
      <c r="AA88" s="5" t="str">
        <f t="shared" ca="1" si="10"/>
        <v>2020-02-13</v>
      </c>
      <c r="AB88" s="5" t="str">
        <f t="shared" ca="1" si="10"/>
        <v>2020-02-14</v>
      </c>
      <c r="AC88" s="5" t="str">
        <f t="shared" ca="1" si="10"/>
        <v>2020-02-15</v>
      </c>
      <c r="AD88" s="5" t="str">
        <f t="shared" ca="1" si="10"/>
        <v>2020-02-16</v>
      </c>
      <c r="AE88" s="5" t="str">
        <f t="shared" ca="1" si="10"/>
        <v>2020-02-17</v>
      </c>
      <c r="AF88" s="5" t="str">
        <f t="shared" ca="1" si="10"/>
        <v>2020-02-18</v>
      </c>
      <c r="AG88" s="5" t="str">
        <f t="shared" ca="1" si="10"/>
        <v>2020-02-19</v>
      </c>
      <c r="AH88" s="5" t="str">
        <f t="shared" ca="1" si="10"/>
        <v>2020-02-20</v>
      </c>
      <c r="AI88" s="5" t="str">
        <f t="shared" ca="1" si="10"/>
        <v>2020-02-21</v>
      </c>
      <c r="AJ88" s="5" t="str">
        <f t="shared" ca="1" si="10"/>
        <v>2020-02-22</v>
      </c>
      <c r="AK88" s="5" t="str">
        <f t="shared" ref="AK88:BP88" ca="1" si="11">AK58</f>
        <v>2020-02-23</v>
      </c>
      <c r="AL88" s="5" t="str">
        <f t="shared" ca="1" si="11"/>
        <v>2020-02-24</v>
      </c>
      <c r="AM88" s="5" t="str">
        <f t="shared" ca="1" si="11"/>
        <v>2020-02-25</v>
      </c>
      <c r="AN88" s="5" t="str">
        <f t="shared" ca="1" si="11"/>
        <v>2020-02-26</v>
      </c>
      <c r="AO88" s="5" t="str">
        <f t="shared" ca="1" si="11"/>
        <v>2020-02-27</v>
      </c>
      <c r="AP88" s="5" t="str">
        <f t="shared" ca="1" si="11"/>
        <v>2020-02-28</v>
      </c>
      <c r="AQ88" s="5" t="str">
        <f t="shared" ca="1" si="11"/>
        <v>2020-02-29</v>
      </c>
      <c r="AR88" s="5" t="str">
        <f t="shared" ca="1" si="11"/>
        <v>2020-03-01</v>
      </c>
      <c r="AS88" s="5" t="str">
        <f t="shared" ca="1" si="11"/>
        <v>2020-03-02</v>
      </c>
      <c r="AT88" s="5" t="str">
        <f t="shared" ca="1" si="11"/>
        <v>2020-03-03</v>
      </c>
      <c r="AU88" s="5" t="str">
        <f t="shared" ca="1" si="11"/>
        <v>2020-03-04</v>
      </c>
      <c r="AV88" s="5" t="str">
        <f t="shared" ca="1" si="11"/>
        <v>2020-03-05</v>
      </c>
      <c r="AW88" s="5" t="str">
        <f t="shared" ca="1" si="11"/>
        <v>2020-03-06</v>
      </c>
      <c r="AX88" s="5" t="str">
        <f t="shared" ca="1" si="11"/>
        <v>2020-03-07</v>
      </c>
      <c r="AY88" s="5" t="str">
        <f t="shared" ca="1" si="11"/>
        <v>2020-03-08</v>
      </c>
      <c r="AZ88" s="5" t="str">
        <f t="shared" ca="1" si="11"/>
        <v>2020-03-09</v>
      </c>
      <c r="BA88" s="5" t="str">
        <f t="shared" ca="1" si="11"/>
        <v>2020-03-10</v>
      </c>
      <c r="BB88" s="5" t="str">
        <f t="shared" ca="1" si="11"/>
        <v>2020-03-11</v>
      </c>
      <c r="BC88" s="5" t="str">
        <f t="shared" ca="1" si="11"/>
        <v>2020-03-12</v>
      </c>
      <c r="BD88" s="5" t="str">
        <f t="shared" ca="1" si="11"/>
        <v>2020-03-13</v>
      </c>
      <c r="BE88" s="5" t="str">
        <f t="shared" ca="1" si="11"/>
        <v>2020-03-14</v>
      </c>
      <c r="BF88" s="5" t="str">
        <f t="shared" ca="1" si="11"/>
        <v>2020-03-15</v>
      </c>
      <c r="BG88" s="5" t="str">
        <f t="shared" ca="1" si="11"/>
        <v>2020-03-16</v>
      </c>
      <c r="BH88" s="5" t="str">
        <f t="shared" ca="1" si="11"/>
        <v>2020-03-17</v>
      </c>
      <c r="BI88" s="5" t="str">
        <f t="shared" ca="1" si="11"/>
        <v>2020-03-18</v>
      </c>
      <c r="BJ88" s="5" t="str">
        <f t="shared" ca="1" si="11"/>
        <v>2020-03-19</v>
      </c>
      <c r="BK88" s="5" t="str">
        <f t="shared" ca="1" si="11"/>
        <v>2020-03-20</v>
      </c>
      <c r="BL88" s="5" t="str">
        <f t="shared" ca="1" si="11"/>
        <v>2020-03-21</v>
      </c>
      <c r="BM88" s="5" t="str">
        <f t="shared" ca="1" si="11"/>
        <v>2020-03-22</v>
      </c>
      <c r="BN88" s="5" t="str">
        <f t="shared" ca="1" si="11"/>
        <v>2020-03-23</v>
      </c>
      <c r="BO88" s="5" t="str">
        <f t="shared" ca="1" si="11"/>
        <v>2020-03-24</v>
      </c>
      <c r="BP88" s="5" t="str">
        <f t="shared" ca="1" si="11"/>
        <v>2020-03-25</v>
      </c>
      <c r="BQ88" s="5" t="str">
        <f t="shared" ref="BQ88:BV88" ca="1" si="12">BQ58</f>
        <v>2020-03-26</v>
      </c>
      <c r="BR88" s="5" t="str">
        <f t="shared" ca="1" si="12"/>
        <v>2020-03-27</v>
      </c>
      <c r="BS88" s="5" t="str">
        <f t="shared" ca="1" si="12"/>
        <v>2020-03-28</v>
      </c>
      <c r="BT88" s="5" t="str">
        <f t="shared" ca="1" si="12"/>
        <v>2020-03-29</v>
      </c>
      <c r="BU88" s="5" t="str">
        <f t="shared" ca="1" si="12"/>
        <v>2020-03-30</v>
      </c>
      <c r="BV88" s="5">
        <f t="shared" ca="1" si="12"/>
        <v>0</v>
      </c>
    </row>
    <row r="89" spans="1:74" x14ac:dyDescent="0.25">
      <c r="C89" s="1" t="str">
        <f>C8</f>
        <v>Italy</v>
      </c>
      <c r="D89" t="str">
        <f>C88</f>
        <v>Presently ill</v>
      </c>
      <c r="E89" s="1">
        <f t="shared" ref="E89:AJ89" ca="1" si="13">E59-E71-E83</f>
        <v>0</v>
      </c>
      <c r="F89" s="1">
        <f t="shared" ca="1" si="13"/>
        <v>0</v>
      </c>
      <c r="G89" s="1">
        <f t="shared" ca="1" si="13"/>
        <v>0</v>
      </c>
      <c r="H89" s="1">
        <f t="shared" ca="1" si="13"/>
        <v>0</v>
      </c>
      <c r="I89" s="1">
        <f t="shared" ca="1" si="13"/>
        <v>0</v>
      </c>
      <c r="J89" s="1">
        <f t="shared" ca="1" si="13"/>
        <v>0</v>
      </c>
      <c r="K89" s="1">
        <f t="shared" ca="1" si="13"/>
        <v>0</v>
      </c>
      <c r="L89" s="1">
        <f t="shared" ca="1" si="13"/>
        <v>0</v>
      </c>
      <c r="M89" s="1">
        <f t="shared" ca="1" si="13"/>
        <v>0</v>
      </c>
      <c r="N89" s="1">
        <f t="shared" ca="1" si="13"/>
        <v>2</v>
      </c>
      <c r="O89" s="1">
        <f t="shared" ca="1" si="13"/>
        <v>2</v>
      </c>
      <c r="P89" s="1">
        <f t="shared" ca="1" si="13"/>
        <v>2</v>
      </c>
      <c r="Q89" s="1">
        <f t="shared" ca="1" si="13"/>
        <v>2</v>
      </c>
      <c r="R89" s="1">
        <f t="shared" ca="1" si="13"/>
        <v>2</v>
      </c>
      <c r="S89" s="1">
        <f t="shared" ca="1" si="13"/>
        <v>2</v>
      </c>
      <c r="T89" s="1">
        <f t="shared" ca="1" si="13"/>
        <v>2</v>
      </c>
      <c r="U89" s="1">
        <f t="shared" ca="1" si="13"/>
        <v>3</v>
      </c>
      <c r="V89" s="1">
        <f t="shared" ca="1" si="13"/>
        <v>3</v>
      </c>
      <c r="W89" s="1">
        <f t="shared" ca="1" si="13"/>
        <v>3</v>
      </c>
      <c r="X89" s="1">
        <f t="shared" ca="1" si="13"/>
        <v>3</v>
      </c>
      <c r="Y89" s="1">
        <f t="shared" ca="1" si="13"/>
        <v>3</v>
      </c>
      <c r="Z89" s="1">
        <f t="shared" ca="1" si="13"/>
        <v>3</v>
      </c>
      <c r="AA89" s="1">
        <f t="shared" ca="1" si="13"/>
        <v>3</v>
      </c>
      <c r="AB89" s="1">
        <f t="shared" ca="1" si="13"/>
        <v>1</v>
      </c>
      <c r="AC89" s="1">
        <f t="shared" ca="1" si="13"/>
        <v>1</v>
      </c>
      <c r="AD89" s="1">
        <f t="shared" ca="1" si="13"/>
        <v>1</v>
      </c>
      <c r="AE89" s="1">
        <f t="shared" ca="1" si="13"/>
        <v>1</v>
      </c>
      <c r="AF89" s="1">
        <f t="shared" ca="1" si="13"/>
        <v>1</v>
      </c>
      <c r="AG89" s="1">
        <f t="shared" ca="1" si="13"/>
        <v>1</v>
      </c>
      <c r="AH89" s="1">
        <f t="shared" ca="1" si="13"/>
        <v>1</v>
      </c>
      <c r="AI89" s="1">
        <f t="shared" ca="1" si="13"/>
        <v>17</v>
      </c>
      <c r="AJ89" s="1">
        <f t="shared" ca="1" si="13"/>
        <v>59</v>
      </c>
      <c r="AK89" s="1">
        <f t="shared" ref="AK89:BP89" ca="1" si="14">AK59-AK71-AK83</f>
        <v>152</v>
      </c>
      <c r="AL89" s="1">
        <f t="shared" ca="1" si="14"/>
        <v>222</v>
      </c>
      <c r="AM89" s="1">
        <f t="shared" ca="1" si="14"/>
        <v>312</v>
      </c>
      <c r="AN89" s="1">
        <f t="shared" ca="1" si="14"/>
        <v>441</v>
      </c>
      <c r="AO89" s="1">
        <f t="shared" ca="1" si="14"/>
        <v>638</v>
      </c>
      <c r="AP89" s="1">
        <f t="shared" ca="1" si="14"/>
        <v>867</v>
      </c>
      <c r="AQ89" s="1">
        <f t="shared" ca="1" si="14"/>
        <v>1099</v>
      </c>
      <c r="AR89" s="1">
        <f t="shared" ca="1" si="14"/>
        <v>1660</v>
      </c>
      <c r="AS89" s="1">
        <f t="shared" ca="1" si="14"/>
        <v>1984</v>
      </c>
      <c r="AT89" s="1">
        <f t="shared" ca="1" si="14"/>
        <v>2423</v>
      </c>
      <c r="AU89" s="1">
        <f t="shared" ca="1" si="14"/>
        <v>2982</v>
      </c>
      <c r="AV89" s="1">
        <f t="shared" ca="1" si="14"/>
        <v>3710</v>
      </c>
      <c r="AW89" s="1">
        <f t="shared" ca="1" si="14"/>
        <v>4439</v>
      </c>
      <c r="AX89" s="1">
        <f t="shared" ca="1" si="14"/>
        <v>5650</v>
      </c>
      <c r="AY89" s="1">
        <f t="shared" ca="1" si="14"/>
        <v>7009</v>
      </c>
      <c r="AZ89" s="1">
        <f t="shared" ca="1" si="14"/>
        <v>8709</v>
      </c>
      <c r="BA89" s="1">
        <f t="shared" ca="1" si="14"/>
        <v>9518</v>
      </c>
      <c r="BB89" s="1">
        <f t="shared" ca="1" si="14"/>
        <v>11635</v>
      </c>
      <c r="BC89" s="1">
        <f t="shared" ca="1" si="14"/>
        <v>11635</v>
      </c>
      <c r="BD89" s="1">
        <f t="shared" ca="1" si="14"/>
        <v>16394</v>
      </c>
      <c r="BE89" s="1">
        <f t="shared" ca="1" si="14"/>
        <v>19716</v>
      </c>
      <c r="BF89" s="1">
        <f t="shared" ca="1" si="14"/>
        <v>22938</v>
      </c>
      <c r="BG89" s="1">
        <f t="shared" ca="1" si="14"/>
        <v>25822</v>
      </c>
      <c r="BH89" s="1">
        <f t="shared" ca="1" si="14"/>
        <v>29003</v>
      </c>
      <c r="BI89" s="1">
        <f t="shared" ca="1" si="14"/>
        <v>32624</v>
      </c>
      <c r="BJ89" s="1">
        <f t="shared" ca="1" si="14"/>
        <v>37177</v>
      </c>
      <c r="BK89" s="1">
        <f t="shared" ca="1" si="14"/>
        <v>42385</v>
      </c>
      <c r="BL89" s="1">
        <f t="shared" ca="1" si="14"/>
        <v>47695</v>
      </c>
      <c r="BM89" s="1">
        <f t="shared" ca="1" si="14"/>
        <v>51763</v>
      </c>
      <c r="BN89" s="1">
        <f t="shared" ca="1" si="14"/>
        <v>54755</v>
      </c>
      <c r="BO89" s="1">
        <f t="shared" ca="1" si="14"/>
        <v>59027</v>
      </c>
      <c r="BP89" s="1">
        <f t="shared" ca="1" si="14"/>
        <v>61924</v>
      </c>
      <c r="BQ89" s="1">
        <f t="shared" ref="BQ89:BV89" ca="1" si="15">BQ59-BQ71-BQ83</f>
        <v>68127</v>
      </c>
      <c r="BR89" s="1">
        <f t="shared" ca="1" si="15"/>
        <v>68838</v>
      </c>
      <c r="BS89" s="1">
        <f t="shared" ca="1" si="15"/>
        <v>71315</v>
      </c>
      <c r="BT89" s="1">
        <f t="shared" ca="1" si="15"/>
        <v>72942</v>
      </c>
      <c r="BU89" s="1">
        <f t="shared" ca="1" si="15"/>
        <v>73759</v>
      </c>
      <c r="BV89" s="1">
        <f t="shared" ca="1" si="15"/>
        <v>0</v>
      </c>
    </row>
    <row r="90" spans="1:74" x14ac:dyDescent="0.25">
      <c r="C90" s="1" t="str">
        <f>C9</f>
        <v>Spain</v>
      </c>
      <c r="D90" t="str">
        <f>D89</f>
        <v>Presently ill</v>
      </c>
      <c r="E90" s="1">
        <f t="shared" ref="E90:AJ90" ca="1" si="16">E60-E72-E84</f>
        <v>0</v>
      </c>
      <c r="F90" s="1">
        <f t="shared" ca="1" si="16"/>
        <v>0</v>
      </c>
      <c r="G90" s="1">
        <f t="shared" ca="1" si="16"/>
        <v>0</v>
      </c>
      <c r="H90" s="1">
        <f t="shared" ca="1" si="16"/>
        <v>0</v>
      </c>
      <c r="I90" s="1">
        <f t="shared" ca="1" si="16"/>
        <v>0</v>
      </c>
      <c r="J90" s="1">
        <f t="shared" ca="1" si="16"/>
        <v>0</v>
      </c>
      <c r="K90" s="1">
        <f t="shared" ca="1" si="16"/>
        <v>0</v>
      </c>
      <c r="L90" s="1">
        <f t="shared" ca="1" si="16"/>
        <v>0</v>
      </c>
      <c r="M90" s="1">
        <f t="shared" ca="1" si="16"/>
        <v>0</v>
      </c>
      <c r="N90" s="1">
        <f t="shared" ca="1" si="16"/>
        <v>0</v>
      </c>
      <c r="O90" s="1">
        <f t="shared" ca="1" si="16"/>
        <v>1</v>
      </c>
      <c r="P90" s="1">
        <f t="shared" ca="1" si="16"/>
        <v>1</v>
      </c>
      <c r="Q90" s="1">
        <f t="shared" ca="1" si="16"/>
        <v>1</v>
      </c>
      <c r="R90" s="1">
        <f t="shared" ca="1" si="16"/>
        <v>1</v>
      </c>
      <c r="S90" s="1">
        <f t="shared" ca="1" si="16"/>
        <v>1</v>
      </c>
      <c r="T90" s="1">
        <f t="shared" ca="1" si="16"/>
        <v>1</v>
      </c>
      <c r="U90" s="1">
        <f t="shared" ca="1" si="16"/>
        <v>1</v>
      </c>
      <c r="V90" s="1">
        <f t="shared" ca="1" si="16"/>
        <v>1</v>
      </c>
      <c r="W90" s="1">
        <f t="shared" ca="1" si="16"/>
        <v>2</v>
      </c>
      <c r="X90" s="1">
        <f t="shared" ca="1" si="16"/>
        <v>2</v>
      </c>
      <c r="Y90" s="1">
        <f t="shared" ca="1" si="16"/>
        <v>2</v>
      </c>
      <c r="Z90" s="1">
        <f t="shared" ca="1" si="16"/>
        <v>2</v>
      </c>
      <c r="AA90" s="1">
        <f t="shared" ca="1" si="16"/>
        <v>2</v>
      </c>
      <c r="AB90" s="1">
        <f t="shared" ca="1" si="16"/>
        <v>2</v>
      </c>
      <c r="AC90" s="1">
        <f t="shared" ca="1" si="16"/>
        <v>1</v>
      </c>
      <c r="AD90" s="1">
        <f t="shared" ca="1" si="16"/>
        <v>1</v>
      </c>
      <c r="AE90" s="1">
        <f t="shared" ca="1" si="16"/>
        <v>1</v>
      </c>
      <c r="AF90" s="1">
        <f t="shared" ca="1" si="16"/>
        <v>1</v>
      </c>
      <c r="AG90" s="1">
        <f t="shared" ca="1" si="16"/>
        <v>1</v>
      </c>
      <c r="AH90" s="1">
        <f t="shared" ca="1" si="16"/>
        <v>1</v>
      </c>
      <c r="AI90" s="1">
        <f t="shared" ca="1" si="16"/>
        <v>1</v>
      </c>
      <c r="AJ90" s="1">
        <f t="shared" ca="1" si="16"/>
        <v>1</v>
      </c>
      <c r="AK90" s="1">
        <f t="shared" ref="AK90:BP90" ca="1" si="17">AK60-AK72-AK84</f>
        <v>0</v>
      </c>
      <c r="AL90" s="1">
        <f t="shared" ca="1" si="17"/>
        <v>0</v>
      </c>
      <c r="AM90" s="1">
        <f t="shared" ca="1" si="17"/>
        <v>4</v>
      </c>
      <c r="AN90" s="1">
        <f t="shared" ca="1" si="17"/>
        <v>11</v>
      </c>
      <c r="AO90" s="1">
        <f t="shared" ca="1" si="17"/>
        <v>13</v>
      </c>
      <c r="AP90" s="1">
        <f t="shared" ca="1" si="17"/>
        <v>30</v>
      </c>
      <c r="AQ90" s="1">
        <f t="shared" ca="1" si="17"/>
        <v>43</v>
      </c>
      <c r="AR90" s="1">
        <f t="shared" ca="1" si="17"/>
        <v>82</v>
      </c>
      <c r="AS90" s="1">
        <f t="shared" ca="1" si="17"/>
        <v>118</v>
      </c>
      <c r="AT90" s="1">
        <f t="shared" ca="1" si="17"/>
        <v>163</v>
      </c>
      <c r="AU90" s="1">
        <f t="shared" ca="1" si="17"/>
        <v>220</v>
      </c>
      <c r="AV90" s="1">
        <f t="shared" ca="1" si="17"/>
        <v>256</v>
      </c>
      <c r="AW90" s="1">
        <f t="shared" ca="1" si="17"/>
        <v>395</v>
      </c>
      <c r="AX90" s="1">
        <f t="shared" ca="1" si="17"/>
        <v>490</v>
      </c>
      <c r="AY90" s="1">
        <f t="shared" ca="1" si="17"/>
        <v>656</v>
      </c>
      <c r="AZ90" s="1">
        <f t="shared" ca="1" si="17"/>
        <v>1045</v>
      </c>
      <c r="BA90" s="1">
        <f t="shared" ca="1" si="17"/>
        <v>1660</v>
      </c>
      <c r="BB90" s="1">
        <f t="shared" ca="1" si="17"/>
        <v>2223</v>
      </c>
      <c r="BC90" s="1">
        <f t="shared" ca="1" si="17"/>
        <v>2222</v>
      </c>
      <c r="BD90" s="1">
        <f t="shared" ca="1" si="17"/>
        <v>5099</v>
      </c>
      <c r="BE90" s="1">
        <f t="shared" ca="1" si="17"/>
        <v>6196</v>
      </c>
      <c r="BF90" s="1">
        <f t="shared" ca="1" si="17"/>
        <v>7509</v>
      </c>
      <c r="BG90" s="1">
        <f t="shared" ca="1" si="17"/>
        <v>9600</v>
      </c>
      <c r="BH90" s="1">
        <f t="shared" ca="1" si="17"/>
        <v>11215</v>
      </c>
      <c r="BI90" s="1">
        <f t="shared" ca="1" si="17"/>
        <v>13287</v>
      </c>
      <c r="BJ90" s="1">
        <f t="shared" ca="1" si="17"/>
        <v>17133</v>
      </c>
      <c r="BK90" s="1">
        <f t="shared" ca="1" si="17"/>
        <v>19367</v>
      </c>
      <c r="BL90" s="1">
        <f t="shared" ca="1" si="17"/>
        <v>23999</v>
      </c>
      <c r="BM90" s="1">
        <f t="shared" ca="1" si="17"/>
        <v>26996</v>
      </c>
      <c r="BN90" s="1">
        <f t="shared" ca="1" si="17"/>
        <v>32825</v>
      </c>
      <c r="BO90" s="1">
        <f t="shared" ca="1" si="17"/>
        <v>37077</v>
      </c>
      <c r="BP90" s="1">
        <f t="shared" ca="1" si="17"/>
        <v>45868</v>
      </c>
      <c r="BQ90" s="1">
        <f t="shared" ref="BQ90:BV90" ca="1" si="18">BQ60-BQ72-BQ84</f>
        <v>53421</v>
      </c>
      <c r="BR90" s="1">
        <f t="shared" ca="1" si="18"/>
        <v>60487</v>
      </c>
      <c r="BS90" s="1">
        <f t="shared" ca="1" si="18"/>
        <v>66844</v>
      </c>
      <c r="BT90" s="1">
        <f t="shared" ca="1" si="18"/>
        <v>72312</v>
      </c>
      <c r="BU90" s="1">
        <f t="shared" ca="1" si="18"/>
        <v>78014</v>
      </c>
      <c r="BV90" s="1">
        <f t="shared" ca="1" si="18"/>
        <v>0</v>
      </c>
    </row>
    <row r="91" spans="1:74" x14ac:dyDescent="0.25">
      <c r="C91" s="1" t="str">
        <f>C10</f>
        <v>US</v>
      </c>
      <c r="D91" t="str">
        <f>D90</f>
        <v>Presently ill</v>
      </c>
      <c r="E91" s="1">
        <f t="shared" ref="E91:AJ91" ca="1" si="19">E61-E73-E85</f>
        <v>1</v>
      </c>
      <c r="F91" s="1">
        <f t="shared" ca="1" si="19"/>
        <v>1</v>
      </c>
      <c r="G91" s="1">
        <f t="shared" ca="1" si="19"/>
        <v>2</v>
      </c>
      <c r="H91" s="1">
        <f t="shared" ca="1" si="19"/>
        <v>2</v>
      </c>
      <c r="I91" s="1">
        <f t="shared" ca="1" si="19"/>
        <v>5</v>
      </c>
      <c r="J91" s="1">
        <f t="shared" ca="1" si="19"/>
        <v>5</v>
      </c>
      <c r="K91" s="1">
        <f t="shared" ca="1" si="19"/>
        <v>5</v>
      </c>
      <c r="L91" s="1">
        <f t="shared" ca="1" si="19"/>
        <v>5</v>
      </c>
      <c r="M91" s="1">
        <f t="shared" ca="1" si="19"/>
        <v>5</v>
      </c>
      <c r="N91" s="1">
        <f t="shared" ca="1" si="19"/>
        <v>7</v>
      </c>
      <c r="O91" s="1">
        <f t="shared" ca="1" si="19"/>
        <v>8</v>
      </c>
      <c r="P91" s="1">
        <f t="shared" ca="1" si="19"/>
        <v>8</v>
      </c>
      <c r="Q91" s="1">
        <f t="shared" ca="1" si="19"/>
        <v>11</v>
      </c>
      <c r="R91" s="1">
        <f t="shared" ca="1" si="19"/>
        <v>11</v>
      </c>
      <c r="S91" s="1">
        <f t="shared" ca="1" si="19"/>
        <v>10</v>
      </c>
      <c r="T91" s="1">
        <f t="shared" ca="1" si="19"/>
        <v>10</v>
      </c>
      <c r="U91" s="1">
        <f t="shared" ca="1" si="19"/>
        <v>9</v>
      </c>
      <c r="V91" s="1">
        <f t="shared" ca="1" si="19"/>
        <v>9</v>
      </c>
      <c r="W91" s="1">
        <f t="shared" ca="1" si="19"/>
        <v>6</v>
      </c>
      <c r="X91" s="1">
        <f t="shared" ca="1" si="19"/>
        <v>6</v>
      </c>
      <c r="Y91" s="1">
        <f t="shared" ca="1" si="19"/>
        <v>7</v>
      </c>
      <c r="Z91" s="1">
        <f t="shared" ca="1" si="19"/>
        <v>7</v>
      </c>
      <c r="AA91" s="1">
        <f t="shared" ca="1" si="19"/>
        <v>8</v>
      </c>
      <c r="AB91" s="1">
        <f t="shared" ca="1" si="19"/>
        <v>6</v>
      </c>
      <c r="AC91" s="1">
        <f t="shared" ca="1" si="19"/>
        <v>5</v>
      </c>
      <c r="AD91" s="1">
        <f t="shared" ca="1" si="19"/>
        <v>5</v>
      </c>
      <c r="AE91" s="1">
        <f t="shared" ca="1" si="19"/>
        <v>2</v>
      </c>
      <c r="AF91" s="1">
        <f t="shared" ca="1" si="19"/>
        <v>2</v>
      </c>
      <c r="AG91" s="1">
        <f t="shared" ca="1" si="19"/>
        <v>2</v>
      </c>
      <c r="AH91" s="1">
        <f t="shared" ca="1" si="19"/>
        <v>2</v>
      </c>
      <c r="AI91" s="1">
        <f t="shared" ca="1" si="19"/>
        <v>4</v>
      </c>
      <c r="AJ91" s="1">
        <f t="shared" ca="1" si="19"/>
        <v>4</v>
      </c>
      <c r="AK91" s="1">
        <f t="shared" ref="AK91:BP91" ca="1" si="20">AK61-AK73-AK85</f>
        <v>4</v>
      </c>
      <c r="AL91" s="1">
        <f t="shared" ca="1" si="20"/>
        <v>40</v>
      </c>
      <c r="AM91" s="1">
        <f t="shared" ca="1" si="20"/>
        <v>39</v>
      </c>
      <c r="AN91" s="1">
        <f t="shared" ca="1" si="20"/>
        <v>45</v>
      </c>
      <c r="AO91" s="1">
        <f t="shared" ca="1" si="20"/>
        <v>45</v>
      </c>
      <c r="AP91" s="1">
        <f t="shared" ca="1" si="20"/>
        <v>47</v>
      </c>
      <c r="AQ91" s="1">
        <f t="shared" ca="1" si="20"/>
        <v>55</v>
      </c>
      <c r="AR91" s="1">
        <f t="shared" ca="1" si="20"/>
        <v>61</v>
      </c>
      <c r="AS91" s="1">
        <f t="shared" ca="1" si="20"/>
        <v>85</v>
      </c>
      <c r="AT91" s="1">
        <f t="shared" ca="1" si="20"/>
        <v>105</v>
      </c>
      <c r="AU91" s="1">
        <f t="shared" ca="1" si="20"/>
        <v>136</v>
      </c>
      <c r="AV91" s="1">
        <f t="shared" ca="1" si="20"/>
        <v>204</v>
      </c>
      <c r="AW91" s="1">
        <f t="shared" ca="1" si="20"/>
        <v>247</v>
      </c>
      <c r="AX91" s="1">
        <f t="shared" ca="1" si="20"/>
        <v>385</v>
      </c>
      <c r="AY91" s="1">
        <f t="shared" ca="1" si="20"/>
        <v>497</v>
      </c>
      <c r="AZ91" s="1">
        <f t="shared" ca="1" si="20"/>
        <v>532</v>
      </c>
      <c r="BA91" s="1">
        <f t="shared" ca="1" si="20"/>
        <v>908</v>
      </c>
      <c r="BB91" s="1">
        <f t="shared" ca="1" si="20"/>
        <v>1224</v>
      </c>
      <c r="BC91" s="1">
        <f t="shared" ca="1" si="20"/>
        <v>1605</v>
      </c>
      <c r="BD91" s="1">
        <f t="shared" ca="1" si="20"/>
        <v>2119</v>
      </c>
      <c r="BE91" s="1">
        <f t="shared" ca="1" si="20"/>
        <v>2659</v>
      </c>
      <c r="BF91" s="1">
        <f t="shared" ca="1" si="20"/>
        <v>3425</v>
      </c>
      <c r="BG91" s="1">
        <f t="shared" ca="1" si="20"/>
        <v>4534</v>
      </c>
      <c r="BH91" s="1">
        <f t="shared" ca="1" si="20"/>
        <v>6303</v>
      </c>
      <c r="BI91" s="1">
        <f t="shared" ca="1" si="20"/>
        <v>7634</v>
      </c>
      <c r="BJ91" s="1">
        <f t="shared" ca="1" si="20"/>
        <v>13460</v>
      </c>
      <c r="BK91" s="1">
        <f t="shared" ca="1" si="20"/>
        <v>18838</v>
      </c>
      <c r="BL91" s="1">
        <f t="shared" ca="1" si="20"/>
        <v>25087</v>
      </c>
      <c r="BM91" s="1">
        <f t="shared" ca="1" si="20"/>
        <v>32758</v>
      </c>
      <c r="BN91" s="1">
        <f t="shared" ca="1" si="20"/>
        <v>43264</v>
      </c>
      <c r="BO91" s="1">
        <f t="shared" ca="1" si="20"/>
        <v>52781</v>
      </c>
      <c r="BP91" s="1">
        <f t="shared" ca="1" si="20"/>
        <v>64497</v>
      </c>
      <c r="BQ91" s="1">
        <f t="shared" ref="BQ91:BV91" ca="1" si="21">BQ61-BQ73-BQ85</f>
        <v>82173</v>
      </c>
      <c r="BR91" s="1">
        <f t="shared" ca="1" si="21"/>
        <v>99478</v>
      </c>
      <c r="BS91" s="1">
        <f t="shared" ca="1" si="21"/>
        <v>118751</v>
      </c>
      <c r="BT91" s="1">
        <f t="shared" ca="1" si="21"/>
        <v>137387</v>
      </c>
      <c r="BU91" s="1">
        <f t="shared" ca="1" si="21"/>
        <v>157175</v>
      </c>
      <c r="BV91" s="1">
        <f t="shared" ca="1" si="21"/>
        <v>0</v>
      </c>
    </row>
    <row r="92" spans="1:74" x14ac:dyDescent="0.25">
      <c r="C92" s="1" t="str">
        <f>C11</f>
        <v>Switzerland</v>
      </c>
      <c r="D92" t="str">
        <f>D91</f>
        <v>Presently ill</v>
      </c>
      <c r="E92" s="1">
        <f t="shared" ref="E92:AJ92" ca="1" si="22">E62-E74-E86</f>
        <v>0</v>
      </c>
      <c r="F92" s="1">
        <f t="shared" ca="1" si="22"/>
        <v>0</v>
      </c>
      <c r="G92" s="1">
        <f t="shared" ca="1" si="22"/>
        <v>0</v>
      </c>
      <c r="H92" s="1">
        <f t="shared" ca="1" si="22"/>
        <v>0</v>
      </c>
      <c r="I92" s="1">
        <f t="shared" ca="1" si="22"/>
        <v>0</v>
      </c>
      <c r="J92" s="1">
        <f t="shared" ca="1" si="22"/>
        <v>0</v>
      </c>
      <c r="K92" s="1">
        <f t="shared" ca="1" si="22"/>
        <v>0</v>
      </c>
      <c r="L92" s="1">
        <f t="shared" ca="1" si="22"/>
        <v>0</v>
      </c>
      <c r="M92" s="1">
        <f t="shared" ca="1" si="22"/>
        <v>0</v>
      </c>
      <c r="N92" s="1">
        <f t="shared" ca="1" si="22"/>
        <v>0</v>
      </c>
      <c r="O92" s="1">
        <f t="shared" ca="1" si="22"/>
        <v>0</v>
      </c>
      <c r="P92" s="1">
        <f t="shared" ca="1" si="22"/>
        <v>0</v>
      </c>
      <c r="Q92" s="1">
        <f t="shared" ca="1" si="22"/>
        <v>0</v>
      </c>
      <c r="R92" s="1">
        <f t="shared" ca="1" si="22"/>
        <v>0</v>
      </c>
      <c r="S92" s="1">
        <f t="shared" ca="1" si="22"/>
        <v>0</v>
      </c>
      <c r="T92" s="1">
        <f t="shared" ca="1" si="22"/>
        <v>0</v>
      </c>
      <c r="U92" s="1">
        <f t="shared" ca="1" si="22"/>
        <v>0</v>
      </c>
      <c r="V92" s="1">
        <f t="shared" ca="1" si="22"/>
        <v>0</v>
      </c>
      <c r="W92" s="1">
        <f t="shared" ca="1" si="22"/>
        <v>0</v>
      </c>
      <c r="X92" s="1">
        <f t="shared" ca="1" si="22"/>
        <v>0</v>
      </c>
      <c r="Y92" s="1">
        <f t="shared" ca="1" si="22"/>
        <v>0</v>
      </c>
      <c r="Z92" s="1">
        <f t="shared" ca="1" si="22"/>
        <v>0</v>
      </c>
      <c r="AA92" s="1">
        <f t="shared" ca="1" si="22"/>
        <v>0</v>
      </c>
      <c r="AB92" s="1">
        <f t="shared" ca="1" si="22"/>
        <v>0</v>
      </c>
      <c r="AC92" s="1">
        <f t="shared" ca="1" si="22"/>
        <v>0</v>
      </c>
      <c r="AD92" s="1">
        <f t="shared" ca="1" si="22"/>
        <v>0</v>
      </c>
      <c r="AE92" s="1">
        <f t="shared" ca="1" si="22"/>
        <v>0</v>
      </c>
      <c r="AF92" s="1">
        <f t="shared" ca="1" si="22"/>
        <v>0</v>
      </c>
      <c r="AG92" s="1">
        <f t="shared" ca="1" si="22"/>
        <v>0</v>
      </c>
      <c r="AH92" s="1">
        <f t="shared" ca="1" si="22"/>
        <v>0</v>
      </c>
      <c r="AI92" s="1">
        <f t="shared" ca="1" si="22"/>
        <v>0</v>
      </c>
      <c r="AJ92" s="1">
        <f t="shared" ca="1" si="22"/>
        <v>0</v>
      </c>
      <c r="AK92" s="1">
        <f t="shared" ref="AK92:BP92" ca="1" si="23">AK62-AK74-AK86</f>
        <v>0</v>
      </c>
      <c r="AL92" s="1">
        <f t="shared" ca="1" si="23"/>
        <v>0</v>
      </c>
      <c r="AM92" s="1">
        <f t="shared" ca="1" si="23"/>
        <v>1</v>
      </c>
      <c r="AN92" s="1">
        <f t="shared" ca="1" si="23"/>
        <v>1</v>
      </c>
      <c r="AO92" s="1">
        <f t="shared" ca="1" si="23"/>
        <v>8</v>
      </c>
      <c r="AP92" s="1">
        <f t="shared" ca="1" si="23"/>
        <v>8</v>
      </c>
      <c r="AQ92" s="1">
        <f t="shared" ca="1" si="23"/>
        <v>18</v>
      </c>
      <c r="AR92" s="1">
        <f t="shared" ca="1" si="23"/>
        <v>27</v>
      </c>
      <c r="AS92" s="1">
        <f t="shared" ca="1" si="23"/>
        <v>42</v>
      </c>
      <c r="AT92" s="1">
        <f t="shared" ca="1" si="23"/>
        <v>56</v>
      </c>
      <c r="AU92" s="1">
        <f t="shared" ca="1" si="23"/>
        <v>90</v>
      </c>
      <c r="AV92" s="1">
        <f t="shared" ca="1" si="23"/>
        <v>113</v>
      </c>
      <c r="AW92" s="1">
        <f t="shared" ca="1" si="23"/>
        <v>213</v>
      </c>
      <c r="AX92" s="1">
        <f t="shared" ca="1" si="23"/>
        <v>267</v>
      </c>
      <c r="AY92" s="1">
        <f t="shared" ca="1" si="23"/>
        <v>335</v>
      </c>
      <c r="AZ92" s="1">
        <f t="shared" ca="1" si="23"/>
        <v>372</v>
      </c>
      <c r="BA92" s="1">
        <f t="shared" ca="1" si="23"/>
        <v>488</v>
      </c>
      <c r="BB92" s="1">
        <f t="shared" ca="1" si="23"/>
        <v>648</v>
      </c>
      <c r="BC92" s="1">
        <f t="shared" ca="1" si="23"/>
        <v>644</v>
      </c>
      <c r="BD92" s="1">
        <f t="shared" ca="1" si="23"/>
        <v>1128</v>
      </c>
      <c r="BE92" s="1">
        <f t="shared" ca="1" si="23"/>
        <v>1341</v>
      </c>
      <c r="BF92" s="1">
        <f t="shared" ca="1" si="23"/>
        <v>2173</v>
      </c>
      <c r="BG92" s="1">
        <f t="shared" ca="1" si="23"/>
        <v>2158</v>
      </c>
      <c r="BH92" s="1">
        <f t="shared" ca="1" si="23"/>
        <v>2644</v>
      </c>
      <c r="BI92" s="1">
        <f t="shared" ca="1" si="23"/>
        <v>2938</v>
      </c>
      <c r="BJ92" s="1">
        <f t="shared" ca="1" si="23"/>
        <v>3961</v>
      </c>
      <c r="BK92" s="1">
        <f t="shared" ca="1" si="23"/>
        <v>5080</v>
      </c>
      <c r="BL92" s="1">
        <f t="shared" ca="1" si="23"/>
        <v>6307</v>
      </c>
      <c r="BM92" s="1">
        <f t="shared" ca="1" si="23"/>
        <v>7137</v>
      </c>
      <c r="BN92" s="1">
        <f t="shared" ca="1" si="23"/>
        <v>8421</v>
      </c>
      <c r="BO92" s="1">
        <f t="shared" ca="1" si="23"/>
        <v>9386</v>
      </c>
      <c r="BP92" s="1">
        <f t="shared" ca="1" si="23"/>
        <v>10245</v>
      </c>
      <c r="BQ92" s="1">
        <f t="shared" ref="BQ92:BV92" ca="1" si="24">BQ62-BQ74-BQ86</f>
        <v>11159</v>
      </c>
      <c r="BR92" s="1">
        <f t="shared" ca="1" si="24"/>
        <v>11789</v>
      </c>
      <c r="BS92" s="1">
        <f t="shared" ca="1" si="24"/>
        <v>12717</v>
      </c>
      <c r="BT92" s="1">
        <f t="shared" ca="1" si="24"/>
        <v>12629</v>
      </c>
      <c r="BU92" s="1">
        <f t="shared" ca="1" si="24"/>
        <v>13722</v>
      </c>
      <c r="BV92" s="1">
        <f t="shared" ca="1" si="24"/>
        <v>0</v>
      </c>
    </row>
    <row r="93" spans="1:74" x14ac:dyDescent="0.25"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</row>
    <row r="94" spans="1:74" x14ac:dyDescent="0.25">
      <c r="C94" s="4" t="s">
        <v>144</v>
      </c>
      <c r="D94" s="4"/>
      <c r="E94" s="5" t="str">
        <f t="shared" ref="E94:AJ94" ca="1" si="25">E58</f>
        <v>2020-01-22</v>
      </c>
      <c r="F94" s="5" t="str">
        <f t="shared" ca="1" si="25"/>
        <v>2020-01-23</v>
      </c>
      <c r="G94" s="5" t="str">
        <f t="shared" ca="1" si="25"/>
        <v>2020-01-24</v>
      </c>
      <c r="H94" s="5" t="str">
        <f t="shared" ca="1" si="25"/>
        <v>2020-01-25</v>
      </c>
      <c r="I94" s="5" t="str">
        <f t="shared" ca="1" si="25"/>
        <v>2020-01-26</v>
      </c>
      <c r="J94" s="5" t="str">
        <f t="shared" ca="1" si="25"/>
        <v>2020-01-27</v>
      </c>
      <c r="K94" s="5" t="str">
        <f t="shared" ca="1" si="25"/>
        <v>2020-01-28</v>
      </c>
      <c r="L94" s="5" t="str">
        <f t="shared" ca="1" si="25"/>
        <v>2020-01-29</v>
      </c>
      <c r="M94" s="5" t="str">
        <f t="shared" ca="1" si="25"/>
        <v>2020-01-30</v>
      </c>
      <c r="N94" s="5" t="str">
        <f t="shared" ca="1" si="25"/>
        <v>2020-01-31</v>
      </c>
      <c r="O94" s="5" t="str">
        <f t="shared" ca="1" si="25"/>
        <v>2020-02-01</v>
      </c>
      <c r="P94" s="5" t="str">
        <f t="shared" ca="1" si="25"/>
        <v>2020-02-02</v>
      </c>
      <c r="Q94" s="5" t="str">
        <f t="shared" ca="1" si="25"/>
        <v>2020-02-03</v>
      </c>
      <c r="R94" s="5" t="str">
        <f t="shared" ca="1" si="25"/>
        <v>2020-02-04</v>
      </c>
      <c r="S94" s="5" t="str">
        <f t="shared" ca="1" si="25"/>
        <v>2020-02-05</v>
      </c>
      <c r="T94" s="5" t="str">
        <f t="shared" ca="1" si="25"/>
        <v>2020-02-06</v>
      </c>
      <c r="U94" s="5" t="str">
        <f t="shared" ca="1" si="25"/>
        <v>2020-02-07</v>
      </c>
      <c r="V94" s="5" t="str">
        <f t="shared" ca="1" si="25"/>
        <v>2020-02-08</v>
      </c>
      <c r="W94" s="5" t="str">
        <f t="shared" ca="1" si="25"/>
        <v>2020-02-09</v>
      </c>
      <c r="X94" s="5" t="str">
        <f t="shared" ca="1" si="25"/>
        <v>2020-02-10</v>
      </c>
      <c r="Y94" s="5" t="str">
        <f t="shared" ca="1" si="25"/>
        <v>2020-02-11</v>
      </c>
      <c r="Z94" s="5" t="str">
        <f t="shared" ca="1" si="25"/>
        <v>2020-02-12</v>
      </c>
      <c r="AA94" s="5" t="str">
        <f t="shared" ca="1" si="25"/>
        <v>2020-02-13</v>
      </c>
      <c r="AB94" s="5" t="str">
        <f t="shared" ca="1" si="25"/>
        <v>2020-02-14</v>
      </c>
      <c r="AC94" s="5" t="str">
        <f t="shared" ca="1" si="25"/>
        <v>2020-02-15</v>
      </c>
      <c r="AD94" s="5" t="str">
        <f t="shared" ca="1" si="25"/>
        <v>2020-02-16</v>
      </c>
      <c r="AE94" s="5" t="str">
        <f t="shared" ca="1" si="25"/>
        <v>2020-02-17</v>
      </c>
      <c r="AF94" s="5" t="str">
        <f t="shared" ca="1" si="25"/>
        <v>2020-02-18</v>
      </c>
      <c r="AG94" s="5" t="str">
        <f t="shared" ca="1" si="25"/>
        <v>2020-02-19</v>
      </c>
      <c r="AH94" s="5" t="str">
        <f t="shared" ca="1" si="25"/>
        <v>2020-02-20</v>
      </c>
      <c r="AI94" s="5" t="str">
        <f t="shared" ca="1" si="25"/>
        <v>2020-02-21</v>
      </c>
      <c r="AJ94" s="5" t="str">
        <f t="shared" ca="1" si="25"/>
        <v>2020-02-22</v>
      </c>
      <c r="AK94" s="5" t="str">
        <f t="shared" ref="AK94:BP94" ca="1" si="26">AK58</f>
        <v>2020-02-23</v>
      </c>
      <c r="AL94" s="5" t="str">
        <f t="shared" ca="1" si="26"/>
        <v>2020-02-24</v>
      </c>
      <c r="AM94" s="5" t="str">
        <f t="shared" ca="1" si="26"/>
        <v>2020-02-25</v>
      </c>
      <c r="AN94" s="5" t="str">
        <f t="shared" ca="1" si="26"/>
        <v>2020-02-26</v>
      </c>
      <c r="AO94" s="5" t="str">
        <f t="shared" ca="1" si="26"/>
        <v>2020-02-27</v>
      </c>
      <c r="AP94" s="5" t="str">
        <f t="shared" ca="1" si="26"/>
        <v>2020-02-28</v>
      </c>
      <c r="AQ94" s="5" t="str">
        <f t="shared" ca="1" si="26"/>
        <v>2020-02-29</v>
      </c>
      <c r="AR94" s="5" t="str">
        <f t="shared" ca="1" si="26"/>
        <v>2020-03-01</v>
      </c>
      <c r="AS94" s="5" t="str">
        <f t="shared" ca="1" si="26"/>
        <v>2020-03-02</v>
      </c>
      <c r="AT94" s="5" t="str">
        <f t="shared" ca="1" si="26"/>
        <v>2020-03-03</v>
      </c>
      <c r="AU94" s="5" t="str">
        <f t="shared" ca="1" si="26"/>
        <v>2020-03-04</v>
      </c>
      <c r="AV94" s="5" t="str">
        <f t="shared" ca="1" si="26"/>
        <v>2020-03-05</v>
      </c>
      <c r="AW94" s="5" t="str">
        <f t="shared" ca="1" si="26"/>
        <v>2020-03-06</v>
      </c>
      <c r="AX94" s="5" t="str">
        <f t="shared" ca="1" si="26"/>
        <v>2020-03-07</v>
      </c>
      <c r="AY94" s="5" t="str">
        <f t="shared" ca="1" si="26"/>
        <v>2020-03-08</v>
      </c>
      <c r="AZ94" s="5" t="str">
        <f t="shared" ca="1" si="26"/>
        <v>2020-03-09</v>
      </c>
      <c r="BA94" s="5" t="str">
        <f t="shared" ca="1" si="26"/>
        <v>2020-03-10</v>
      </c>
      <c r="BB94" s="5" t="str">
        <f t="shared" ca="1" si="26"/>
        <v>2020-03-11</v>
      </c>
      <c r="BC94" s="5" t="str">
        <f t="shared" ca="1" si="26"/>
        <v>2020-03-12</v>
      </c>
      <c r="BD94" s="5" t="str">
        <f t="shared" ca="1" si="26"/>
        <v>2020-03-13</v>
      </c>
      <c r="BE94" s="5" t="str">
        <f t="shared" ca="1" si="26"/>
        <v>2020-03-14</v>
      </c>
      <c r="BF94" s="5" t="str">
        <f t="shared" ca="1" si="26"/>
        <v>2020-03-15</v>
      </c>
      <c r="BG94" s="5" t="str">
        <f t="shared" ca="1" si="26"/>
        <v>2020-03-16</v>
      </c>
      <c r="BH94" s="5" t="str">
        <f t="shared" ca="1" si="26"/>
        <v>2020-03-17</v>
      </c>
      <c r="BI94" s="5" t="str">
        <f t="shared" ca="1" si="26"/>
        <v>2020-03-18</v>
      </c>
      <c r="BJ94" s="5" t="str">
        <f t="shared" ca="1" si="26"/>
        <v>2020-03-19</v>
      </c>
      <c r="BK94" s="5" t="str">
        <f t="shared" ca="1" si="26"/>
        <v>2020-03-20</v>
      </c>
      <c r="BL94" s="5" t="str">
        <f t="shared" ca="1" si="26"/>
        <v>2020-03-21</v>
      </c>
      <c r="BM94" s="5" t="str">
        <f t="shared" ca="1" si="26"/>
        <v>2020-03-22</v>
      </c>
      <c r="BN94" s="5" t="str">
        <f t="shared" ca="1" si="26"/>
        <v>2020-03-23</v>
      </c>
      <c r="BO94" s="5" t="str">
        <f t="shared" ca="1" si="26"/>
        <v>2020-03-24</v>
      </c>
      <c r="BP94" s="5" t="str">
        <f t="shared" ca="1" si="26"/>
        <v>2020-03-25</v>
      </c>
      <c r="BQ94" s="5" t="str">
        <f t="shared" ref="BQ94:BV94" ca="1" si="27">BQ58</f>
        <v>2020-03-26</v>
      </c>
      <c r="BR94" s="5" t="str">
        <f t="shared" ca="1" si="27"/>
        <v>2020-03-27</v>
      </c>
      <c r="BS94" s="5" t="str">
        <f t="shared" ca="1" si="27"/>
        <v>2020-03-28</v>
      </c>
      <c r="BT94" s="5" t="str">
        <f t="shared" ca="1" si="27"/>
        <v>2020-03-29</v>
      </c>
      <c r="BU94" s="5" t="str">
        <f t="shared" ca="1" si="27"/>
        <v>2020-03-30</v>
      </c>
      <c r="BV94" s="5">
        <f t="shared" ca="1" si="27"/>
        <v>0</v>
      </c>
    </row>
    <row r="95" spans="1:74" x14ac:dyDescent="0.25">
      <c r="C95" s="1" t="str">
        <f>C8</f>
        <v>Italy</v>
      </c>
      <c r="D95" t="str">
        <f>C94</f>
        <v>Recovered not reported</v>
      </c>
      <c r="E95" s="1">
        <f t="shared" ref="E95:AJ95" ca="1" si="28">E71-E65</f>
        <v>0</v>
      </c>
      <c r="F95" s="1">
        <f t="shared" ca="1" si="28"/>
        <v>0</v>
      </c>
      <c r="G95" s="1">
        <f t="shared" ca="1" si="28"/>
        <v>0</v>
      </c>
      <c r="H95" s="1">
        <f t="shared" ca="1" si="28"/>
        <v>0</v>
      </c>
      <c r="I95" s="1">
        <f t="shared" ca="1" si="28"/>
        <v>0</v>
      </c>
      <c r="J95" s="1">
        <f t="shared" ca="1" si="28"/>
        <v>0</v>
      </c>
      <c r="K95" s="1">
        <f t="shared" ca="1" si="28"/>
        <v>0</v>
      </c>
      <c r="L95" s="1">
        <f t="shared" ca="1" si="28"/>
        <v>0</v>
      </c>
      <c r="M95" s="1">
        <f t="shared" ca="1" si="28"/>
        <v>0</v>
      </c>
      <c r="N95" s="1">
        <f t="shared" ca="1" si="28"/>
        <v>0</v>
      </c>
      <c r="O95" s="1">
        <f t="shared" ca="1" si="28"/>
        <v>0</v>
      </c>
      <c r="P95" s="1">
        <f t="shared" ca="1" si="28"/>
        <v>0</v>
      </c>
      <c r="Q95" s="1">
        <f t="shared" ca="1" si="28"/>
        <v>0</v>
      </c>
      <c r="R95" s="1">
        <f t="shared" ca="1" si="28"/>
        <v>0</v>
      </c>
      <c r="S95" s="1">
        <f t="shared" ca="1" si="28"/>
        <v>0</v>
      </c>
      <c r="T95" s="1">
        <f t="shared" ca="1" si="28"/>
        <v>0</v>
      </c>
      <c r="U95" s="1">
        <f t="shared" ca="1" si="28"/>
        <v>0</v>
      </c>
      <c r="V95" s="1">
        <f t="shared" ca="1" si="28"/>
        <v>0</v>
      </c>
      <c r="W95" s="1">
        <f t="shared" ca="1" si="28"/>
        <v>0</v>
      </c>
      <c r="X95" s="1">
        <f t="shared" ca="1" si="28"/>
        <v>0</v>
      </c>
      <c r="Y95" s="1">
        <f t="shared" ca="1" si="28"/>
        <v>0</v>
      </c>
      <c r="Z95" s="1">
        <f t="shared" ca="1" si="28"/>
        <v>0</v>
      </c>
      <c r="AA95" s="1">
        <f t="shared" ca="1" si="28"/>
        <v>0</v>
      </c>
      <c r="AB95" s="1">
        <f t="shared" ca="1" si="28"/>
        <v>2</v>
      </c>
      <c r="AC95" s="1">
        <f t="shared" ca="1" si="28"/>
        <v>2</v>
      </c>
      <c r="AD95" s="1">
        <f t="shared" ca="1" si="28"/>
        <v>2</v>
      </c>
      <c r="AE95" s="1">
        <f t="shared" ca="1" si="28"/>
        <v>2</v>
      </c>
      <c r="AF95" s="1">
        <f t="shared" ca="1" si="28"/>
        <v>2</v>
      </c>
      <c r="AG95" s="1">
        <f t="shared" ca="1" si="28"/>
        <v>2</v>
      </c>
      <c r="AH95" s="1">
        <f t="shared" ca="1" si="28"/>
        <v>2</v>
      </c>
      <c r="AI95" s="1">
        <f t="shared" ca="1" si="28"/>
        <v>2</v>
      </c>
      <c r="AJ95" s="1">
        <f t="shared" ca="1" si="28"/>
        <v>1</v>
      </c>
      <c r="AK95" s="1">
        <f t="shared" ref="AK95:BP95" ca="1" si="29">AK71-AK65</f>
        <v>0</v>
      </c>
      <c r="AL95" s="1">
        <f t="shared" ca="1" si="29"/>
        <v>0</v>
      </c>
      <c r="AM95" s="1">
        <f t="shared" ca="1" si="29"/>
        <v>0</v>
      </c>
      <c r="AN95" s="1">
        <f t="shared" ca="1" si="29"/>
        <v>0</v>
      </c>
      <c r="AO95" s="1">
        <f t="shared" ca="1" si="29"/>
        <v>0</v>
      </c>
      <c r="AP95" s="1">
        <f t="shared" ca="1" si="29"/>
        <v>0</v>
      </c>
      <c r="AQ95" s="1">
        <f t="shared" ca="1" si="29"/>
        <v>0</v>
      </c>
      <c r="AR95" s="1">
        <f t="shared" ca="1" si="29"/>
        <v>0</v>
      </c>
      <c r="AS95" s="1">
        <f t="shared" ca="1" si="29"/>
        <v>0</v>
      </c>
      <c r="AT95" s="1">
        <f t="shared" ca="1" si="29"/>
        <v>0</v>
      </c>
      <c r="AU95" s="1">
        <f t="shared" ca="1" si="29"/>
        <v>0</v>
      </c>
      <c r="AV95" s="1">
        <f t="shared" ca="1" si="29"/>
        <v>0</v>
      </c>
      <c r="AW95" s="1">
        <f t="shared" ca="1" si="29"/>
        <v>0</v>
      </c>
      <c r="AX95" s="1">
        <f t="shared" ca="1" si="29"/>
        <v>0</v>
      </c>
      <c r="AY95" s="1">
        <f t="shared" ca="1" si="29"/>
        <v>0</v>
      </c>
      <c r="AZ95" s="1">
        <f t="shared" ca="1" si="29"/>
        <v>0</v>
      </c>
      <c r="BA95" s="1">
        <f t="shared" ca="1" si="29"/>
        <v>0</v>
      </c>
      <c r="BB95" s="1">
        <f t="shared" ca="1" si="29"/>
        <v>0</v>
      </c>
      <c r="BC95" s="1">
        <f t="shared" ca="1" si="29"/>
        <v>0</v>
      </c>
      <c r="BD95" s="1">
        <f t="shared" ca="1" si="29"/>
        <v>0</v>
      </c>
      <c r="BE95" s="1">
        <f t="shared" ca="1" si="29"/>
        <v>0</v>
      </c>
      <c r="BF95" s="1">
        <f t="shared" ca="1" si="29"/>
        <v>0</v>
      </c>
      <c r="BG95" s="1">
        <f t="shared" ca="1" si="29"/>
        <v>0</v>
      </c>
      <c r="BH95" s="1">
        <f t="shared" ca="1" si="29"/>
        <v>0</v>
      </c>
      <c r="BI95" s="1">
        <f t="shared" ca="1" si="29"/>
        <v>111</v>
      </c>
      <c r="BJ95" s="1">
        <f t="shared" ca="1" si="29"/>
        <v>453</v>
      </c>
      <c r="BK95" s="1">
        <f t="shared" ca="1" si="29"/>
        <v>604</v>
      </c>
      <c r="BL95" s="1">
        <f t="shared" ca="1" si="29"/>
        <v>1058</v>
      </c>
      <c r="BM95" s="1">
        <f t="shared" ca="1" si="29"/>
        <v>1899</v>
      </c>
      <c r="BN95" s="1">
        <f t="shared" ca="1" si="29"/>
        <v>3095</v>
      </c>
      <c r="BO95" s="1">
        <f t="shared" ca="1" si="29"/>
        <v>3329</v>
      </c>
      <c r="BP95" s="1">
        <f t="shared" ca="1" si="29"/>
        <v>4959</v>
      </c>
      <c r="BQ95" s="1">
        <f t="shared" ref="BQ95:BV95" ca="1" si="30">BQ71-BQ65</f>
        <v>4247</v>
      </c>
      <c r="BR95" s="1">
        <f t="shared" ca="1" si="30"/>
        <v>8526</v>
      </c>
      <c r="BS95" s="1">
        <f t="shared" ca="1" si="30"/>
        <v>11134</v>
      </c>
      <c r="BT95" s="1">
        <f t="shared" ca="1" si="30"/>
        <v>13968</v>
      </c>
      <c r="BU95" s="1">
        <f t="shared" ca="1" si="30"/>
        <v>16389</v>
      </c>
      <c r="BV95" s="1">
        <f t="shared" ca="1" si="30"/>
        <v>0</v>
      </c>
    </row>
    <row r="96" spans="1:74" x14ac:dyDescent="0.25">
      <c r="C96" s="1" t="str">
        <f>C9</f>
        <v>Spain</v>
      </c>
      <c r="D96" t="str">
        <f>D95</f>
        <v>Recovered not reported</v>
      </c>
      <c r="E96" s="1">
        <f t="shared" ref="E96:AJ96" ca="1" si="31">E72-E66</f>
        <v>0</v>
      </c>
      <c r="F96" s="1">
        <f t="shared" ca="1" si="31"/>
        <v>0</v>
      </c>
      <c r="G96" s="1">
        <f t="shared" ca="1" si="31"/>
        <v>0</v>
      </c>
      <c r="H96" s="1">
        <f t="shared" ca="1" si="31"/>
        <v>0</v>
      </c>
      <c r="I96" s="1">
        <f t="shared" ca="1" si="31"/>
        <v>0</v>
      </c>
      <c r="J96" s="1">
        <f t="shared" ca="1" si="31"/>
        <v>0</v>
      </c>
      <c r="K96" s="1">
        <f t="shared" ca="1" si="31"/>
        <v>0</v>
      </c>
      <c r="L96" s="1">
        <f t="shared" ca="1" si="31"/>
        <v>0</v>
      </c>
      <c r="M96" s="1">
        <f t="shared" ca="1" si="31"/>
        <v>0</v>
      </c>
      <c r="N96" s="1">
        <f t="shared" ca="1" si="31"/>
        <v>0</v>
      </c>
      <c r="O96" s="1">
        <f t="shared" ca="1" si="31"/>
        <v>0</v>
      </c>
      <c r="P96" s="1">
        <f t="shared" ca="1" si="31"/>
        <v>0</v>
      </c>
      <c r="Q96" s="1">
        <f t="shared" ca="1" si="31"/>
        <v>0</v>
      </c>
      <c r="R96" s="1">
        <f t="shared" ca="1" si="31"/>
        <v>0</v>
      </c>
      <c r="S96" s="1">
        <f t="shared" ca="1" si="31"/>
        <v>0</v>
      </c>
      <c r="T96" s="1">
        <f t="shared" ca="1" si="31"/>
        <v>0</v>
      </c>
      <c r="U96" s="1">
        <f t="shared" ca="1" si="31"/>
        <v>0</v>
      </c>
      <c r="V96" s="1">
        <f t="shared" ca="1" si="31"/>
        <v>0</v>
      </c>
      <c r="W96" s="1">
        <f t="shared" ca="1" si="31"/>
        <v>0</v>
      </c>
      <c r="X96" s="1">
        <f t="shared" ca="1" si="31"/>
        <v>0</v>
      </c>
      <c r="Y96" s="1">
        <f t="shared" ca="1" si="31"/>
        <v>0</v>
      </c>
      <c r="Z96" s="1">
        <f t="shared" ca="1" si="31"/>
        <v>0</v>
      </c>
      <c r="AA96" s="1">
        <f t="shared" ca="1" si="31"/>
        <v>0</v>
      </c>
      <c r="AB96" s="1">
        <f t="shared" ca="1" si="31"/>
        <v>0</v>
      </c>
      <c r="AC96" s="1">
        <f t="shared" ca="1" si="31"/>
        <v>1</v>
      </c>
      <c r="AD96" s="1">
        <f t="shared" ca="1" si="31"/>
        <v>1</v>
      </c>
      <c r="AE96" s="1">
        <f t="shared" ca="1" si="31"/>
        <v>1</v>
      </c>
      <c r="AF96" s="1">
        <f t="shared" ca="1" si="31"/>
        <v>1</v>
      </c>
      <c r="AG96" s="1">
        <f t="shared" ca="1" si="31"/>
        <v>1</v>
      </c>
      <c r="AH96" s="1">
        <f t="shared" ca="1" si="31"/>
        <v>1</v>
      </c>
      <c r="AI96" s="1">
        <f t="shared" ca="1" si="31"/>
        <v>1</v>
      </c>
      <c r="AJ96" s="1">
        <f t="shared" ca="1" si="31"/>
        <v>1</v>
      </c>
      <c r="AK96" s="1">
        <f t="shared" ref="AK96:BP96" ca="1" si="32">AK72-AK66</f>
        <v>2</v>
      </c>
      <c r="AL96" s="1">
        <f t="shared" ca="1" si="32"/>
        <v>2</v>
      </c>
      <c r="AM96" s="1">
        <f t="shared" ca="1" si="32"/>
        <v>2</v>
      </c>
      <c r="AN96" s="1">
        <f t="shared" ca="1" si="32"/>
        <v>2</v>
      </c>
      <c r="AO96" s="1">
        <f t="shared" ca="1" si="32"/>
        <v>2</v>
      </c>
      <c r="AP96" s="1">
        <f t="shared" ca="1" si="32"/>
        <v>2</v>
      </c>
      <c r="AQ96" s="1">
        <f t="shared" ca="1" si="32"/>
        <v>2</v>
      </c>
      <c r="AR96" s="1">
        <f t="shared" ca="1" si="32"/>
        <v>2</v>
      </c>
      <c r="AS96" s="1">
        <f t="shared" ca="1" si="32"/>
        <v>2</v>
      </c>
      <c r="AT96" s="1">
        <f t="shared" ca="1" si="32"/>
        <v>1</v>
      </c>
      <c r="AU96" s="1">
        <f t="shared" ca="1" si="32"/>
        <v>0</v>
      </c>
      <c r="AV96" s="1">
        <f t="shared" ca="1" si="32"/>
        <v>0</v>
      </c>
      <c r="AW96" s="1">
        <f t="shared" ca="1" si="32"/>
        <v>0</v>
      </c>
      <c r="AX96" s="1">
        <f t="shared" ca="1" si="32"/>
        <v>0</v>
      </c>
      <c r="AY96" s="1">
        <f t="shared" ca="1" si="32"/>
        <v>0</v>
      </c>
      <c r="AZ96" s="1">
        <f t="shared" ca="1" si="32"/>
        <v>0</v>
      </c>
      <c r="BA96" s="1">
        <f t="shared" ca="1" si="32"/>
        <v>0</v>
      </c>
      <c r="BB96" s="1">
        <f t="shared" ca="1" si="32"/>
        <v>0</v>
      </c>
      <c r="BC96" s="1">
        <f t="shared" ca="1" si="32"/>
        <v>0</v>
      </c>
      <c r="BD96" s="1">
        <f t="shared" ca="1" si="32"/>
        <v>0</v>
      </c>
      <c r="BE96" s="1">
        <f t="shared" ca="1" si="32"/>
        <v>0</v>
      </c>
      <c r="BF96" s="1">
        <f t="shared" ca="1" si="32"/>
        <v>0</v>
      </c>
      <c r="BG96" s="1">
        <f t="shared" ca="1" si="32"/>
        <v>0</v>
      </c>
      <c r="BH96" s="1">
        <f t="shared" ca="1" si="32"/>
        <v>0</v>
      </c>
      <c r="BI96" s="1">
        <f t="shared" ca="1" si="32"/>
        <v>0</v>
      </c>
      <c r="BJ96" s="1">
        <f t="shared" ca="1" si="32"/>
        <v>0</v>
      </c>
      <c r="BK96" s="1">
        <f t="shared" ca="1" si="32"/>
        <v>0</v>
      </c>
      <c r="BL96" s="1">
        <f t="shared" ca="1" si="32"/>
        <v>0</v>
      </c>
      <c r="BM96" s="1">
        <f t="shared" ca="1" si="32"/>
        <v>0</v>
      </c>
      <c r="BN96" s="1">
        <f t="shared" ca="1" si="32"/>
        <v>0</v>
      </c>
      <c r="BO96" s="1">
        <f t="shared" ca="1" si="32"/>
        <v>0</v>
      </c>
      <c r="BP96" s="1">
        <f t="shared" ca="1" si="32"/>
        <v>0</v>
      </c>
      <c r="BQ96" s="1">
        <f t="shared" ref="BQ96:BV96" ca="1" si="33">BQ72-BQ66</f>
        <v>0</v>
      </c>
      <c r="BR96" s="1">
        <f t="shared" ca="1" si="33"/>
        <v>94</v>
      </c>
      <c r="BS96" s="1">
        <f t="shared" ca="1" si="33"/>
        <v>409</v>
      </c>
      <c r="BT96" s="1">
        <f t="shared" ca="1" si="33"/>
        <v>995</v>
      </c>
      <c r="BU96" s="1">
        <f t="shared" ca="1" si="33"/>
        <v>2226</v>
      </c>
      <c r="BV96" s="1">
        <f t="shared" ca="1" si="33"/>
        <v>0</v>
      </c>
    </row>
    <row r="97" spans="1:74" x14ac:dyDescent="0.25">
      <c r="C97" s="1" t="str">
        <f>C10</f>
        <v>US</v>
      </c>
      <c r="D97" t="str">
        <f>D96</f>
        <v>Recovered not reported</v>
      </c>
      <c r="E97" s="1">
        <f t="shared" ref="E97:AJ97" ca="1" si="34">E73-E67</f>
        <v>0</v>
      </c>
      <c r="F97" s="1">
        <f t="shared" ca="1" si="34"/>
        <v>0</v>
      </c>
      <c r="G97" s="1">
        <f t="shared" ca="1" si="34"/>
        <v>0</v>
      </c>
      <c r="H97" s="1">
        <f t="shared" ca="1" si="34"/>
        <v>0</v>
      </c>
      <c r="I97" s="1">
        <f t="shared" ca="1" si="34"/>
        <v>0</v>
      </c>
      <c r="J97" s="1">
        <f t="shared" ca="1" si="34"/>
        <v>0</v>
      </c>
      <c r="K97" s="1">
        <f t="shared" ca="1" si="34"/>
        <v>0</v>
      </c>
      <c r="L97" s="1">
        <f t="shared" ca="1" si="34"/>
        <v>0</v>
      </c>
      <c r="M97" s="1">
        <f t="shared" ca="1" si="34"/>
        <v>0</v>
      </c>
      <c r="N97" s="1">
        <f t="shared" ca="1" si="34"/>
        <v>0</v>
      </c>
      <c r="O97" s="1">
        <f t="shared" ca="1" si="34"/>
        <v>0</v>
      </c>
      <c r="P97" s="1">
        <f t="shared" ca="1" si="34"/>
        <v>0</v>
      </c>
      <c r="Q97" s="1">
        <f t="shared" ca="1" si="34"/>
        <v>0</v>
      </c>
      <c r="R97" s="1">
        <f t="shared" ca="1" si="34"/>
        <v>0</v>
      </c>
      <c r="S97" s="1">
        <f t="shared" ca="1" si="34"/>
        <v>1</v>
      </c>
      <c r="T97" s="1">
        <f t="shared" ca="1" si="34"/>
        <v>1</v>
      </c>
      <c r="U97" s="1">
        <f t="shared" ca="1" si="34"/>
        <v>2</v>
      </c>
      <c r="V97" s="1">
        <f t="shared" ca="1" si="34"/>
        <v>2</v>
      </c>
      <c r="W97" s="1">
        <f t="shared" ca="1" si="34"/>
        <v>5</v>
      </c>
      <c r="X97" s="1">
        <f t="shared" ca="1" si="34"/>
        <v>5</v>
      </c>
      <c r="Y97" s="1">
        <f t="shared" ca="1" si="34"/>
        <v>5</v>
      </c>
      <c r="Z97" s="1">
        <f t="shared" ca="1" si="34"/>
        <v>5</v>
      </c>
      <c r="AA97" s="1">
        <f t="shared" ca="1" si="34"/>
        <v>5</v>
      </c>
      <c r="AB97" s="1">
        <f t="shared" ca="1" si="34"/>
        <v>7</v>
      </c>
      <c r="AC97" s="1">
        <f t="shared" ca="1" si="34"/>
        <v>8</v>
      </c>
      <c r="AD97" s="1">
        <f t="shared" ca="1" si="34"/>
        <v>8</v>
      </c>
      <c r="AE97" s="1">
        <f t="shared" ca="1" si="34"/>
        <v>11</v>
      </c>
      <c r="AF97" s="1">
        <f t="shared" ca="1" si="34"/>
        <v>11</v>
      </c>
      <c r="AG97" s="1">
        <f t="shared" ca="1" si="34"/>
        <v>11</v>
      </c>
      <c r="AH97" s="1">
        <f t="shared" ca="1" si="34"/>
        <v>11</v>
      </c>
      <c r="AI97" s="1">
        <f t="shared" ca="1" si="34"/>
        <v>11</v>
      </c>
      <c r="AJ97" s="1">
        <f t="shared" ca="1" si="34"/>
        <v>11</v>
      </c>
      <c r="AK97" s="1">
        <f t="shared" ref="AK97:BP97" ca="1" si="35">AK73-AK67</f>
        <v>11</v>
      </c>
      <c r="AL97" s="1">
        <f t="shared" ca="1" si="35"/>
        <v>11</v>
      </c>
      <c r="AM97" s="1">
        <f t="shared" ca="1" si="35"/>
        <v>12</v>
      </c>
      <c r="AN97" s="1">
        <f t="shared" ca="1" si="35"/>
        <v>12</v>
      </c>
      <c r="AO97" s="1">
        <f t="shared" ca="1" si="35"/>
        <v>13</v>
      </c>
      <c r="AP97" s="1">
        <f t="shared" ca="1" si="35"/>
        <v>13</v>
      </c>
      <c r="AQ97" s="1">
        <f t="shared" ca="1" si="35"/>
        <v>12</v>
      </c>
      <c r="AR97" s="1">
        <f t="shared" ca="1" si="35"/>
        <v>12</v>
      </c>
      <c r="AS97" s="1">
        <f t="shared" ca="1" si="35"/>
        <v>7</v>
      </c>
      <c r="AT97" s="1">
        <f t="shared" ca="1" si="35"/>
        <v>6</v>
      </c>
      <c r="AU97" s="1">
        <f t="shared" ca="1" si="35"/>
        <v>2</v>
      </c>
      <c r="AV97" s="1">
        <f t="shared" ca="1" si="35"/>
        <v>1</v>
      </c>
      <c r="AW97" s="1">
        <f t="shared" ca="1" si="35"/>
        <v>1</v>
      </c>
      <c r="AX97" s="1">
        <f t="shared" ca="1" si="35"/>
        <v>0</v>
      </c>
      <c r="AY97" s="1">
        <f t="shared" ca="1" si="35"/>
        <v>0</v>
      </c>
      <c r="AZ97" s="1">
        <f t="shared" ca="1" si="35"/>
        <v>29</v>
      </c>
      <c r="BA97" s="1">
        <f t="shared" ca="1" si="35"/>
        <v>23</v>
      </c>
      <c r="BB97" s="1">
        <f t="shared" ca="1" si="35"/>
        <v>21</v>
      </c>
      <c r="BC97" s="1">
        <f t="shared" ca="1" si="35"/>
        <v>18</v>
      </c>
      <c r="BD97" s="1">
        <f t="shared" ca="1" si="35"/>
        <v>13</v>
      </c>
      <c r="BE97" s="1">
        <f t="shared" ca="1" si="35"/>
        <v>14</v>
      </c>
      <c r="BF97" s="1">
        <f t="shared" ca="1" si="35"/>
        <v>11</v>
      </c>
      <c r="BG97" s="1">
        <f t="shared" ca="1" si="35"/>
        <v>13</v>
      </c>
      <c r="BH97" s="1">
        <f t="shared" ca="1" si="35"/>
        <v>10</v>
      </c>
      <c r="BI97" s="1">
        <f t="shared" ca="1" si="35"/>
        <v>31</v>
      </c>
      <c r="BJ97" s="1">
        <f t="shared" ca="1" si="35"/>
        <v>17</v>
      </c>
      <c r="BK97" s="1">
        <f t="shared" ca="1" si="35"/>
        <v>18</v>
      </c>
      <c r="BL97" s="1">
        <f t="shared" ca="1" si="35"/>
        <v>95</v>
      </c>
      <c r="BM97" s="1">
        <f t="shared" ca="1" si="35"/>
        <v>101</v>
      </c>
      <c r="BN97" s="1">
        <f t="shared" ca="1" si="35"/>
        <v>26</v>
      </c>
      <c r="BO97" s="1">
        <f t="shared" ca="1" si="35"/>
        <v>253</v>
      </c>
      <c r="BP97" s="1">
        <f t="shared" ca="1" si="35"/>
        <v>339</v>
      </c>
      <c r="BQ97" s="1">
        <f t="shared" ref="BQ97:BV97" ca="1" si="36">BQ73-BQ67</f>
        <v>454</v>
      </c>
      <c r="BR97" s="1">
        <f t="shared" ca="1" si="36"/>
        <v>598</v>
      </c>
      <c r="BS97" s="1">
        <f t="shared" ca="1" si="36"/>
        <v>701</v>
      </c>
      <c r="BT97" s="1">
        <f t="shared" ca="1" si="36"/>
        <v>1032</v>
      </c>
      <c r="BU97" s="1">
        <f t="shared" ca="1" si="36"/>
        <v>1654</v>
      </c>
      <c r="BV97" s="1">
        <f t="shared" ca="1" si="36"/>
        <v>0</v>
      </c>
    </row>
    <row r="98" spans="1:74" x14ac:dyDescent="0.25">
      <c r="C98" s="1" t="str">
        <f>C11</f>
        <v>Switzerland</v>
      </c>
      <c r="D98" t="str">
        <f>D97</f>
        <v>Recovered not reported</v>
      </c>
      <c r="E98" s="1">
        <f t="shared" ref="E98:AJ98" ca="1" si="37">E74-E68</f>
        <v>0</v>
      </c>
      <c r="F98" s="1">
        <f t="shared" ca="1" si="37"/>
        <v>0</v>
      </c>
      <c r="G98" s="1">
        <f t="shared" ca="1" si="37"/>
        <v>0</v>
      </c>
      <c r="H98" s="1">
        <f t="shared" ca="1" si="37"/>
        <v>0</v>
      </c>
      <c r="I98" s="1">
        <f t="shared" ca="1" si="37"/>
        <v>0</v>
      </c>
      <c r="J98" s="1">
        <f t="shared" ca="1" si="37"/>
        <v>0</v>
      </c>
      <c r="K98" s="1">
        <f t="shared" ca="1" si="37"/>
        <v>0</v>
      </c>
      <c r="L98" s="1">
        <f t="shared" ca="1" si="37"/>
        <v>0</v>
      </c>
      <c r="M98" s="1">
        <f t="shared" ca="1" si="37"/>
        <v>0</v>
      </c>
      <c r="N98" s="1">
        <f t="shared" ca="1" si="37"/>
        <v>0</v>
      </c>
      <c r="O98" s="1">
        <f t="shared" ca="1" si="37"/>
        <v>0</v>
      </c>
      <c r="P98" s="1">
        <f t="shared" ca="1" si="37"/>
        <v>0</v>
      </c>
      <c r="Q98" s="1">
        <f t="shared" ca="1" si="37"/>
        <v>0</v>
      </c>
      <c r="R98" s="1">
        <f t="shared" ca="1" si="37"/>
        <v>0</v>
      </c>
      <c r="S98" s="1">
        <f t="shared" ca="1" si="37"/>
        <v>0</v>
      </c>
      <c r="T98" s="1">
        <f t="shared" ca="1" si="37"/>
        <v>0</v>
      </c>
      <c r="U98" s="1">
        <f t="shared" ca="1" si="37"/>
        <v>0</v>
      </c>
      <c r="V98" s="1">
        <f t="shared" ca="1" si="37"/>
        <v>0</v>
      </c>
      <c r="W98" s="1">
        <f t="shared" ca="1" si="37"/>
        <v>0</v>
      </c>
      <c r="X98" s="1">
        <f t="shared" ca="1" si="37"/>
        <v>0</v>
      </c>
      <c r="Y98" s="1">
        <f t="shared" ca="1" si="37"/>
        <v>0</v>
      </c>
      <c r="Z98" s="1">
        <f t="shared" ca="1" si="37"/>
        <v>0</v>
      </c>
      <c r="AA98" s="1">
        <f t="shared" ca="1" si="37"/>
        <v>0</v>
      </c>
      <c r="AB98" s="1">
        <f t="shared" ca="1" si="37"/>
        <v>0</v>
      </c>
      <c r="AC98" s="1">
        <f t="shared" ca="1" si="37"/>
        <v>0</v>
      </c>
      <c r="AD98" s="1">
        <f t="shared" ca="1" si="37"/>
        <v>0</v>
      </c>
      <c r="AE98" s="1">
        <f t="shared" ca="1" si="37"/>
        <v>0</v>
      </c>
      <c r="AF98" s="1">
        <f t="shared" ca="1" si="37"/>
        <v>0</v>
      </c>
      <c r="AG98" s="1">
        <f t="shared" ca="1" si="37"/>
        <v>0</v>
      </c>
      <c r="AH98" s="1">
        <f t="shared" ca="1" si="37"/>
        <v>0</v>
      </c>
      <c r="AI98" s="1">
        <f t="shared" ca="1" si="37"/>
        <v>0</v>
      </c>
      <c r="AJ98" s="1">
        <f t="shared" ca="1" si="37"/>
        <v>0</v>
      </c>
      <c r="AK98" s="1">
        <f t="shared" ref="AK98:BP98" ca="1" si="38">AK74-AK68</f>
        <v>0</v>
      </c>
      <c r="AL98" s="1">
        <f t="shared" ca="1" si="38"/>
        <v>0</v>
      </c>
      <c r="AM98" s="1">
        <f t="shared" ca="1" si="38"/>
        <v>0</v>
      </c>
      <c r="AN98" s="1">
        <f t="shared" ca="1" si="38"/>
        <v>0</v>
      </c>
      <c r="AO98" s="1">
        <f t="shared" ca="1" si="38"/>
        <v>0</v>
      </c>
      <c r="AP98" s="1">
        <f t="shared" ca="1" si="38"/>
        <v>0</v>
      </c>
      <c r="AQ98" s="1">
        <f t="shared" ca="1" si="38"/>
        <v>0</v>
      </c>
      <c r="AR98" s="1">
        <f t="shared" ca="1" si="38"/>
        <v>0</v>
      </c>
      <c r="AS98" s="1">
        <f t="shared" ca="1" si="38"/>
        <v>0</v>
      </c>
      <c r="AT98" s="1">
        <f t="shared" ca="1" si="38"/>
        <v>0</v>
      </c>
      <c r="AU98" s="1">
        <f t="shared" ca="1" si="38"/>
        <v>0</v>
      </c>
      <c r="AV98" s="1">
        <f t="shared" ca="1" si="38"/>
        <v>0</v>
      </c>
      <c r="AW98" s="1">
        <f t="shared" ca="1" si="38"/>
        <v>0</v>
      </c>
      <c r="AX98" s="1">
        <f t="shared" ca="1" si="38"/>
        <v>0</v>
      </c>
      <c r="AY98" s="1">
        <f t="shared" ca="1" si="38"/>
        <v>0</v>
      </c>
      <c r="AZ98" s="1">
        <f t="shared" ca="1" si="38"/>
        <v>0</v>
      </c>
      <c r="BA98" s="1">
        <f t="shared" ca="1" si="38"/>
        <v>0</v>
      </c>
      <c r="BB98" s="1">
        <f t="shared" ca="1" si="38"/>
        <v>0</v>
      </c>
      <c r="BC98" s="1">
        <f t="shared" ca="1" si="38"/>
        <v>4</v>
      </c>
      <c r="BD98" s="1">
        <f t="shared" ca="1" si="38"/>
        <v>0</v>
      </c>
      <c r="BE98" s="1">
        <f t="shared" ca="1" si="38"/>
        <v>5</v>
      </c>
      <c r="BF98" s="1">
        <f t="shared" ca="1" si="38"/>
        <v>13</v>
      </c>
      <c r="BG98" s="1">
        <f t="shared" ca="1" si="38"/>
        <v>28</v>
      </c>
      <c r="BH98" s="1">
        <f t="shared" ca="1" si="38"/>
        <v>29</v>
      </c>
      <c r="BI98" s="1">
        <f t="shared" ca="1" si="38"/>
        <v>62</v>
      </c>
      <c r="BJ98" s="1">
        <f t="shared" ca="1" si="38"/>
        <v>73</v>
      </c>
      <c r="BK98" s="1">
        <f t="shared" ca="1" si="38"/>
        <v>160</v>
      </c>
      <c r="BL98" s="1">
        <f t="shared" ca="1" si="38"/>
        <v>193</v>
      </c>
      <c r="BM98" s="1">
        <f t="shared" ca="1" si="38"/>
        <v>239</v>
      </c>
      <c r="BN98" s="1">
        <f t="shared" ca="1" si="38"/>
        <v>254</v>
      </c>
      <c r="BO98" s="1">
        <f t="shared" ca="1" si="38"/>
        <v>369</v>
      </c>
      <c r="BP98" s="1">
        <f t="shared" ca="1" si="38"/>
        <v>499</v>
      </c>
      <c r="BQ98" s="1">
        <f t="shared" ref="BQ98:BV98" ca="1" si="39">BQ74-BQ68</f>
        <v>461</v>
      </c>
      <c r="BR98" s="1">
        <f t="shared" ca="1" si="39"/>
        <v>908</v>
      </c>
      <c r="BS98" s="1">
        <f t="shared" ca="1" si="39"/>
        <v>1095</v>
      </c>
      <c r="BT98" s="1">
        <f t="shared" ca="1" si="39"/>
        <v>1900</v>
      </c>
      <c r="BU98" s="1">
        <f t="shared" ca="1" si="39"/>
        <v>1841</v>
      </c>
      <c r="BV98" s="1">
        <f t="shared" ca="1" si="39"/>
        <v>0</v>
      </c>
    </row>
    <row r="99" spans="1:74" x14ac:dyDescent="0.25"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</row>
    <row r="100" spans="1:74" x14ac:dyDescent="0.25">
      <c r="A100">
        <v>6</v>
      </c>
      <c r="B100">
        <f ca="1">MATCH("Country/Region",INDIRECT("'Confirmed'!A:A"),0)</f>
        <v>1</v>
      </c>
      <c r="C100" s="4" t="s">
        <v>137</v>
      </c>
      <c r="D100" s="4"/>
      <c r="E100" s="4" t="str" cm="1">
        <f t="array" aca="1" ref="E100" ca="1">INDIRECT(ADDRESS($B100,E$50+$A100,1,1,"Confirmed Trend"))</f>
        <v>2020-01-22</v>
      </c>
      <c r="F100" s="4" t="str" cm="1">
        <f t="array" aca="1" ref="F100" ca="1">INDIRECT(ADDRESS($B100,F$50+$A100,1,1,"Confirmed Trend"))</f>
        <v>2020-01-23</v>
      </c>
      <c r="G100" s="4" t="str" cm="1">
        <f t="array" aca="1" ref="G100" ca="1">INDIRECT(ADDRESS($B100,G$50+$A100,1,1,"Confirmed Trend"))</f>
        <v>2020-01-24</v>
      </c>
      <c r="H100" s="4" t="str" cm="1">
        <f t="array" aca="1" ref="H100" ca="1">INDIRECT(ADDRESS($B100,H$50+$A100,1,1,"Confirmed Trend"))</f>
        <v>2020-01-25</v>
      </c>
      <c r="I100" s="4" t="str" cm="1">
        <f t="array" aca="1" ref="I100" ca="1">INDIRECT(ADDRESS($B100,I$50+$A100,1,1,"Confirmed Trend"))</f>
        <v>2020-01-26</v>
      </c>
      <c r="J100" s="4" t="str" cm="1">
        <f t="array" aca="1" ref="J100" ca="1">INDIRECT(ADDRESS($B100,J$50+$A100,1,1,"Confirmed Trend"))</f>
        <v>2020-01-27</v>
      </c>
      <c r="K100" s="4" t="str" cm="1">
        <f t="array" aca="1" ref="K100" ca="1">INDIRECT(ADDRESS($B100,K$50+$A100,1,1,"Confirmed Trend"))</f>
        <v>2020-01-28</v>
      </c>
      <c r="L100" s="4" t="str" cm="1">
        <f t="array" aca="1" ref="L100" ca="1">INDIRECT(ADDRESS($B100,L$50+$A100,1,1,"Confirmed Trend"))</f>
        <v>2020-01-29</v>
      </c>
      <c r="M100" s="4" t="str" cm="1">
        <f t="array" aca="1" ref="M100" ca="1">INDIRECT(ADDRESS($B100,M$50+$A100,1,1,"Confirmed Trend"))</f>
        <v>2020-01-30</v>
      </c>
      <c r="N100" s="4" t="str" cm="1">
        <f t="array" aca="1" ref="N100" ca="1">INDIRECT(ADDRESS($B100,N$50+$A100,1,1,"Confirmed Trend"))</f>
        <v>2020-01-31</v>
      </c>
      <c r="O100" s="4" t="str" cm="1">
        <f t="array" aca="1" ref="O100" ca="1">INDIRECT(ADDRESS($B100,O$50+$A100,1,1,"Confirmed Trend"))</f>
        <v>2020-02-01</v>
      </c>
      <c r="P100" s="4" t="str" cm="1">
        <f t="array" aca="1" ref="P100" ca="1">INDIRECT(ADDRESS($B100,P$50+$A100,1,1,"Confirmed Trend"))</f>
        <v>2020-02-02</v>
      </c>
      <c r="Q100" s="4" t="str" cm="1">
        <f t="array" aca="1" ref="Q100" ca="1">INDIRECT(ADDRESS($B100,Q$50+$A100,1,1,"Confirmed Trend"))</f>
        <v>2020-02-03</v>
      </c>
      <c r="R100" s="4" t="str" cm="1">
        <f t="array" aca="1" ref="R100" ca="1">INDIRECT(ADDRESS($B100,R$50+$A100,1,1,"Confirmed Trend"))</f>
        <v>2020-02-04</v>
      </c>
      <c r="S100" s="4" t="str" cm="1">
        <f t="array" aca="1" ref="S100" ca="1">INDIRECT(ADDRESS($B100,S$50+$A100,1,1,"Confirmed Trend"))</f>
        <v>2020-02-05</v>
      </c>
      <c r="T100" s="4" t="str" cm="1">
        <f t="array" aca="1" ref="T100" ca="1">INDIRECT(ADDRESS($B100,T$50+$A100,1,1,"Confirmed Trend"))</f>
        <v>2020-02-06</v>
      </c>
      <c r="U100" s="4" t="str" cm="1">
        <f t="array" aca="1" ref="U100" ca="1">INDIRECT(ADDRESS($B100,U$50+$A100,1,1,"Confirmed Trend"))</f>
        <v>2020-02-07</v>
      </c>
      <c r="V100" s="4" t="str" cm="1">
        <f t="array" aca="1" ref="V100" ca="1">INDIRECT(ADDRESS($B100,V$50+$A100,1,1,"Confirmed Trend"))</f>
        <v>2020-02-08</v>
      </c>
      <c r="W100" s="4" t="str" cm="1">
        <f t="array" aca="1" ref="W100" ca="1">INDIRECT(ADDRESS($B100,W$50+$A100,1,1,"Confirmed Trend"))</f>
        <v>2020-02-09</v>
      </c>
      <c r="X100" s="4" t="str" cm="1">
        <f t="array" aca="1" ref="X100" ca="1">INDIRECT(ADDRESS($B100,X$50+$A100,1,1,"Confirmed Trend"))</f>
        <v>2020-02-10</v>
      </c>
      <c r="Y100" s="4" t="str" cm="1">
        <f t="array" aca="1" ref="Y100" ca="1">INDIRECT(ADDRESS($B100,Y$50+$A100,1,1,"Confirmed Trend"))</f>
        <v>2020-02-11</v>
      </c>
      <c r="Z100" s="4" t="str" cm="1">
        <f t="array" aca="1" ref="Z100" ca="1">INDIRECT(ADDRESS($B100,Z$50+$A100,1,1,"Confirmed Trend"))</f>
        <v>2020-02-12</v>
      </c>
      <c r="AA100" s="4" t="str" cm="1">
        <f t="array" aca="1" ref="AA100" ca="1">INDIRECT(ADDRESS($B100,AA$50+$A100,1,1,"Confirmed Trend"))</f>
        <v>2020-02-13</v>
      </c>
      <c r="AB100" s="4" t="str" cm="1">
        <f t="array" aca="1" ref="AB100" ca="1">INDIRECT(ADDRESS($B100,AB$50+$A100,1,1,"Confirmed Trend"))</f>
        <v>2020-02-14</v>
      </c>
      <c r="AC100" s="4" t="str" cm="1">
        <f t="array" aca="1" ref="AC100" ca="1">INDIRECT(ADDRESS($B100,AC$50+$A100,1,1,"Confirmed Trend"))</f>
        <v>2020-02-15</v>
      </c>
      <c r="AD100" s="4" t="str" cm="1">
        <f t="array" aca="1" ref="AD100" ca="1">INDIRECT(ADDRESS($B100,AD$50+$A100,1,1,"Confirmed Trend"))</f>
        <v>2020-02-16</v>
      </c>
      <c r="AE100" s="4" t="str" cm="1">
        <f t="array" aca="1" ref="AE100" ca="1">INDIRECT(ADDRESS($B100,AE$50+$A100,1,1,"Confirmed Trend"))</f>
        <v>2020-02-17</v>
      </c>
      <c r="AF100" s="4" t="str" cm="1">
        <f t="array" aca="1" ref="AF100" ca="1">INDIRECT(ADDRESS($B100,AF$50+$A100,1,1,"Confirmed Trend"))</f>
        <v>2020-02-18</v>
      </c>
      <c r="AG100" s="4" t="str" cm="1">
        <f t="array" aca="1" ref="AG100" ca="1">INDIRECT(ADDRESS($B100,AG$50+$A100,1,1,"Confirmed Trend"))</f>
        <v>2020-02-19</v>
      </c>
      <c r="AH100" s="4" t="str" cm="1">
        <f t="array" aca="1" ref="AH100" ca="1">INDIRECT(ADDRESS($B100,AH$50+$A100,1,1,"Confirmed Trend"))</f>
        <v>2020-02-20</v>
      </c>
      <c r="AI100" s="4" t="str" cm="1">
        <f t="array" aca="1" ref="AI100" ca="1">INDIRECT(ADDRESS($B100,AI$50+$A100,1,1,"Confirmed Trend"))</f>
        <v>2020-02-21</v>
      </c>
      <c r="AJ100" s="4" t="str" cm="1">
        <f t="array" aca="1" ref="AJ100" ca="1">INDIRECT(ADDRESS($B100,AJ$50+$A100,1,1,"Confirmed Trend"))</f>
        <v>2020-02-22</v>
      </c>
      <c r="AK100" s="4" t="str" cm="1">
        <f t="array" aca="1" ref="AK100" ca="1">INDIRECT(ADDRESS($B100,AK$50+$A100,1,1,"Confirmed Trend"))</f>
        <v>2020-02-23</v>
      </c>
      <c r="AL100" s="4" t="str" cm="1">
        <f t="array" aca="1" ref="AL100" ca="1">INDIRECT(ADDRESS($B100,AL$50+$A100,1,1,"Confirmed Trend"))</f>
        <v>2020-02-24</v>
      </c>
      <c r="AM100" s="4" t="str" cm="1">
        <f t="array" aca="1" ref="AM100" ca="1">INDIRECT(ADDRESS($B100,AM$50+$A100,1,1,"Confirmed Trend"))</f>
        <v>2020-02-25</v>
      </c>
      <c r="AN100" s="4" t="str" cm="1">
        <f t="array" aca="1" ref="AN100" ca="1">INDIRECT(ADDRESS($B100,AN$50+$A100,1,1,"Confirmed Trend"))</f>
        <v>2020-02-26</v>
      </c>
      <c r="AO100" s="4" t="str" cm="1">
        <f t="array" aca="1" ref="AO100" ca="1">INDIRECT(ADDRESS($B100,AO$50+$A100,1,1,"Confirmed Trend"))</f>
        <v>2020-02-27</v>
      </c>
      <c r="AP100" s="4" t="str" cm="1">
        <f t="array" aca="1" ref="AP100" ca="1">INDIRECT(ADDRESS($B100,AP$50+$A100,1,1,"Confirmed Trend"))</f>
        <v>2020-02-28</v>
      </c>
      <c r="AQ100" s="4" t="str" cm="1">
        <f t="array" aca="1" ref="AQ100" ca="1">INDIRECT(ADDRESS($B100,AQ$50+$A100,1,1,"Confirmed Trend"))</f>
        <v>2020-02-29</v>
      </c>
      <c r="AR100" s="4" t="str" cm="1">
        <f t="array" aca="1" ref="AR100" ca="1">INDIRECT(ADDRESS($B100,AR$50+$A100,1,1,"Confirmed Trend"))</f>
        <v>2020-03-01</v>
      </c>
      <c r="AS100" s="4" t="str" cm="1">
        <f t="array" aca="1" ref="AS100" ca="1">INDIRECT(ADDRESS($B100,AS$50+$A100,1,1,"Confirmed Trend"))</f>
        <v>2020-03-02</v>
      </c>
      <c r="AT100" s="4" t="str" cm="1">
        <f t="array" aca="1" ref="AT100" ca="1">INDIRECT(ADDRESS($B100,AT$50+$A100,1,1,"Confirmed Trend"))</f>
        <v>2020-03-03</v>
      </c>
      <c r="AU100" s="4" t="str" cm="1">
        <f t="array" aca="1" ref="AU100" ca="1">INDIRECT(ADDRESS($B100,AU$50+$A100,1,1,"Confirmed Trend"))</f>
        <v>2020-03-04</v>
      </c>
      <c r="AV100" s="4" t="str" cm="1">
        <f t="array" aca="1" ref="AV100" ca="1">INDIRECT(ADDRESS($B100,AV$50+$A100,1,1,"Confirmed Trend"))</f>
        <v>2020-03-05</v>
      </c>
      <c r="AW100" s="4" t="str" cm="1">
        <f t="array" aca="1" ref="AW100" ca="1">INDIRECT(ADDRESS($B100,AW$50+$A100,1,1,"Confirmed Trend"))</f>
        <v>2020-03-06</v>
      </c>
      <c r="AX100" s="4" t="str" cm="1">
        <f t="array" aca="1" ref="AX100" ca="1">INDIRECT(ADDRESS($B100,AX$50+$A100,1,1,"Confirmed Trend"))</f>
        <v>2020-03-07</v>
      </c>
      <c r="AY100" s="4" t="str" cm="1">
        <f t="array" aca="1" ref="AY100" ca="1">INDIRECT(ADDRESS($B100,AY$50+$A100,1,1,"Confirmed Trend"))</f>
        <v>2020-03-08</v>
      </c>
      <c r="AZ100" s="4" t="str" cm="1">
        <f t="array" aca="1" ref="AZ100" ca="1">INDIRECT(ADDRESS($B100,AZ$50+$A100,1,1,"Confirmed Trend"))</f>
        <v>2020-03-09</v>
      </c>
      <c r="BA100" s="4" t="str" cm="1">
        <f t="array" aca="1" ref="BA100" ca="1">INDIRECT(ADDRESS($B100,BA$50+$A100,1,1,"Confirmed Trend"))</f>
        <v>2020-03-10</v>
      </c>
      <c r="BB100" s="4" t="str" cm="1">
        <f t="array" aca="1" ref="BB100" ca="1">INDIRECT(ADDRESS($B100,BB$50+$A100,1,1,"Confirmed Trend"))</f>
        <v>2020-03-11</v>
      </c>
      <c r="BC100" s="4" t="str" cm="1">
        <f t="array" aca="1" ref="BC100" ca="1">INDIRECT(ADDRESS($B100,BC$50+$A100,1,1,"Confirmed Trend"))</f>
        <v>2020-03-12</v>
      </c>
      <c r="BD100" s="4" t="str" cm="1">
        <f t="array" aca="1" ref="BD100" ca="1">INDIRECT(ADDRESS($B100,BD$50+$A100,1,1,"Confirmed Trend"))</f>
        <v>2020-03-13</v>
      </c>
      <c r="BE100" s="4" t="str" cm="1">
        <f t="array" aca="1" ref="BE100" ca="1">INDIRECT(ADDRESS($B100,BE$50+$A100,1,1,"Confirmed Trend"))</f>
        <v>2020-03-14</v>
      </c>
      <c r="BF100" s="4" t="str" cm="1">
        <f t="array" aca="1" ref="BF100" ca="1">INDIRECT(ADDRESS($B100,BF$50+$A100,1,1,"Confirmed Trend"))</f>
        <v>2020-03-15</v>
      </c>
      <c r="BG100" s="4" t="str" cm="1">
        <f t="array" aca="1" ref="BG100" ca="1">INDIRECT(ADDRESS($B100,BG$50+$A100,1,1,"Confirmed Trend"))</f>
        <v>2020-03-16</v>
      </c>
      <c r="BH100" s="4" t="str" cm="1">
        <f t="array" aca="1" ref="BH100" ca="1">INDIRECT(ADDRESS($B100,BH$50+$A100,1,1,"Confirmed Trend"))</f>
        <v>2020-03-17</v>
      </c>
      <c r="BI100" s="4" t="str" cm="1">
        <f t="array" aca="1" ref="BI100" ca="1">INDIRECT(ADDRESS($B100,BI$50+$A100,1,1,"Confirmed Trend"))</f>
        <v>2020-03-18</v>
      </c>
      <c r="BJ100" s="4" t="str" cm="1">
        <f t="array" aca="1" ref="BJ100" ca="1">INDIRECT(ADDRESS($B100,BJ$50+$A100,1,1,"Confirmed Trend"))</f>
        <v>2020-03-19</v>
      </c>
      <c r="BK100" s="4" t="str" cm="1">
        <f t="array" aca="1" ref="BK100" ca="1">INDIRECT(ADDRESS($B100,BK$50+$A100,1,1,"Confirmed Trend"))</f>
        <v>2020-03-20</v>
      </c>
      <c r="BL100" s="4" t="str" cm="1">
        <f t="array" aca="1" ref="BL100" ca="1">INDIRECT(ADDRESS($B100,BL$50+$A100,1,1,"Confirmed Trend"))</f>
        <v>2020-03-21</v>
      </c>
      <c r="BM100" s="4" t="str" cm="1">
        <f t="array" aca="1" ref="BM100" ca="1">INDIRECT(ADDRESS($B100,BM$50+$A100,1,1,"Confirmed Trend"))</f>
        <v>2020-03-22</v>
      </c>
      <c r="BN100" s="4" t="str" cm="1">
        <f t="array" aca="1" ref="BN100" ca="1">INDIRECT(ADDRESS($B100,BN$50+$A100,1,1,"Confirmed Trend"))</f>
        <v>2020-03-23</v>
      </c>
      <c r="BO100" s="4" t="str" cm="1">
        <f t="array" aca="1" ref="BO100" ca="1">INDIRECT(ADDRESS($B100,BO$50+$A100,1,1,"Confirmed Trend"))</f>
        <v>2020-03-24</v>
      </c>
      <c r="BP100" s="4" t="str" cm="1">
        <f t="array" aca="1" ref="BP100" ca="1">INDIRECT(ADDRESS($B100,BP$50+$A100,1,1,"Confirmed Trend"))</f>
        <v>2020-03-25</v>
      </c>
      <c r="BQ100" s="4" t="str" cm="1">
        <f t="array" aca="1" ref="BQ100" ca="1">INDIRECT(ADDRESS($B100,BQ$50+$A100,1,1,"Confirmed Trend"))</f>
        <v>2020-03-26</v>
      </c>
      <c r="BR100" s="4" t="str" cm="1">
        <f t="array" aca="1" ref="BR100" ca="1">INDIRECT(ADDRESS($B100,BR$50+$A100,1,1,"Confirmed Trend"))</f>
        <v>2020-03-27</v>
      </c>
      <c r="BS100" s="4" t="str" cm="1">
        <f t="array" aca="1" ref="BS100" ca="1">INDIRECT(ADDRESS($B100,BS$50+$A100,1,1,"Confirmed Trend"))</f>
        <v>2020-03-28</v>
      </c>
      <c r="BT100" s="4" t="str" cm="1">
        <f t="array" aca="1" ref="BT100" ca="1">INDIRECT(ADDRESS($B100,BT$50+$A100,1,1,"Confirmed Trend"))</f>
        <v>2020-03-29</v>
      </c>
      <c r="BU100" s="4" t="str" cm="1">
        <f t="array" aca="1" ref="BU100" ca="1">INDIRECT(ADDRESS($B100,BU$50+$A100,1,1,"Confirmed Trend"))</f>
        <v>2020-03-30</v>
      </c>
      <c r="BV100" s="4" t="str" cm="1">
        <f t="array" aca="1" ref="BV100" ca="1">INDIRECT(ADDRESS($B100,BV$50+$A100,1,1,"Confirmed Trend"))</f>
        <v>Last Trend</v>
      </c>
    </row>
    <row r="101" spans="1:74" x14ac:dyDescent="0.25">
      <c r="A101">
        <v>6</v>
      </c>
      <c r="B101">
        <f ca="1">MATCH($C101,INDIRECT("'"&amp;$C$100&amp;"'!A:A"),0)</f>
        <v>9</v>
      </c>
      <c r="C101" s="1" t="str">
        <f>C8</f>
        <v>Italy</v>
      </c>
      <c r="D101" t="str">
        <f>C100</f>
        <v>Confirmed Trend</v>
      </c>
      <c r="E101" s="3" cm="1">
        <f t="array" aca="1" ref="E101" ca="1">INDIRECT(ADDRESS($B101,E$50+$A101,1,1,$C$100))</f>
        <v>0</v>
      </c>
      <c r="F101" s="3" cm="1">
        <f t="array" aca="1" ref="F101" ca="1">INDIRECT(ADDRESS($B101,F$50+$A101,1,1,$C$100))</f>
        <v>0</v>
      </c>
      <c r="G101" s="3" cm="1">
        <f t="array" aca="1" ref="G101" ca="1">INDIRECT(ADDRESS($B101,G$50+$A101,1,1,$C$100))</f>
        <v>0</v>
      </c>
      <c r="H101" s="3" cm="1">
        <f t="array" aca="1" ref="H101" ca="1">INDIRECT(ADDRESS($B101,H$50+$A101,1,1,$C$100))</f>
        <v>0</v>
      </c>
      <c r="I101" s="3" cm="1">
        <f t="array" aca="1" ref="I101" ca="1">INDIRECT(ADDRESS($B101,I$50+$A101,1,1,$C$100))</f>
        <v>0</v>
      </c>
      <c r="J101" s="3" cm="1">
        <f t="array" aca="1" ref="J101" ca="1">INDIRECT(ADDRESS($B101,J$50+$A101,1,1,$C$100))</f>
        <v>0</v>
      </c>
      <c r="K101" s="3" cm="1">
        <f t="array" aca="1" ref="K101" ca="1">INDIRECT(ADDRESS($B101,K$50+$A101,1,1,$C$100))</f>
        <v>0</v>
      </c>
      <c r="L101" s="3" cm="1">
        <f t="array" aca="1" ref="L101" ca="1">INDIRECT(ADDRESS($B101,L$50+$A101,1,1,$C$100))</f>
        <v>0</v>
      </c>
      <c r="M101" s="3" cm="1">
        <f t="array" aca="1" ref="M101" ca="1">INDIRECT(ADDRESS($B101,M$50+$A101,1,1,$C$100))</f>
        <v>0</v>
      </c>
      <c r="N101" s="3" cm="1">
        <f t="array" aca="1" ref="N101" ca="1">INDIRECT(ADDRESS($B101,N$50+$A101,1,1,$C$100))</f>
        <v>0</v>
      </c>
      <c r="O101" s="3" cm="1">
        <f t="array" aca="1" ref="O101" ca="1">INDIRECT(ADDRESS($B101,O$50+$A101,1,1,$C$100))</f>
        <v>0</v>
      </c>
      <c r="P101" s="3" cm="1">
        <f t="array" aca="1" ref="P101" ca="1">INDIRECT(ADDRESS($B101,P$50+$A101,1,1,$C$100))</f>
        <v>0</v>
      </c>
      <c r="Q101" s="3" cm="1">
        <f t="array" aca="1" ref="Q101" ca="1">INDIRECT(ADDRESS($B101,Q$50+$A101,1,1,$C$100))</f>
        <v>0</v>
      </c>
      <c r="R101" s="3" cm="1">
        <f t="array" aca="1" ref="R101" ca="1">INDIRECT(ADDRESS($B101,R$50+$A101,1,1,$C$100))</f>
        <v>0</v>
      </c>
      <c r="S101" s="3" cm="1">
        <f t="array" aca="1" ref="S101" ca="1">INDIRECT(ADDRESS($B101,S$50+$A101,1,1,$C$100))</f>
        <v>0</v>
      </c>
      <c r="T101" s="3" cm="1">
        <f t="array" aca="1" ref="T101" ca="1">INDIRECT(ADDRESS($B101,T$50+$A101,1,1,$C$100))</f>
        <v>0</v>
      </c>
      <c r="U101" s="3" cm="1">
        <f t="array" aca="1" ref="U101" ca="1">INDIRECT(ADDRESS($B101,U$50+$A101,1,1,$C$100))</f>
        <v>0</v>
      </c>
      <c r="V101" s="3" cm="1">
        <f t="array" aca="1" ref="V101" ca="1">INDIRECT(ADDRESS($B101,V$50+$A101,1,1,$C$100))</f>
        <v>0</v>
      </c>
      <c r="W101" s="3" cm="1">
        <f t="array" aca="1" ref="W101" ca="1">INDIRECT(ADDRESS($B101,W$50+$A101,1,1,$C$100))</f>
        <v>0</v>
      </c>
      <c r="X101" s="3" cm="1">
        <f t="array" aca="1" ref="X101" ca="1">INDIRECT(ADDRESS($B101,X$50+$A101,1,1,$C$100))</f>
        <v>0</v>
      </c>
      <c r="Y101" s="3" cm="1">
        <f t="array" aca="1" ref="Y101" ca="1">INDIRECT(ADDRESS($B101,Y$50+$A101,1,1,$C$100))</f>
        <v>0</v>
      </c>
      <c r="Z101" s="3" cm="1">
        <f t="array" aca="1" ref="Z101" ca="1">INDIRECT(ADDRESS($B101,Z$50+$A101,1,1,$C$100))</f>
        <v>0</v>
      </c>
      <c r="AA101" s="3" cm="1">
        <f t="array" aca="1" ref="AA101" ca="1">INDIRECT(ADDRESS($B101,AA$50+$A101,1,1,$C$100))</f>
        <v>0</v>
      </c>
      <c r="AB101" s="3" cm="1">
        <f t="array" aca="1" ref="AB101" ca="1">INDIRECT(ADDRESS($B101,AB$50+$A101,1,1,$C$100))</f>
        <v>0</v>
      </c>
      <c r="AC101" s="3" cm="1">
        <f t="array" aca="1" ref="AC101" ca="1">INDIRECT(ADDRESS($B101,AC$50+$A101,1,1,$C$100))</f>
        <v>0</v>
      </c>
      <c r="AD101" s="3" cm="1">
        <f t="array" aca="1" ref="AD101" ca="1">INDIRECT(ADDRESS($B101,AD$50+$A101,1,1,$C$100))</f>
        <v>0</v>
      </c>
      <c r="AE101" s="3" cm="1">
        <f t="array" aca="1" ref="AE101" ca="1">INDIRECT(ADDRESS($B101,AE$50+$A101,1,1,$C$100))</f>
        <v>0</v>
      </c>
      <c r="AF101" s="3" cm="1">
        <f t="array" aca="1" ref="AF101" ca="1">INDIRECT(ADDRESS($B101,AF$50+$A101,1,1,$C$100))</f>
        <v>0</v>
      </c>
      <c r="AG101" s="3" cm="1">
        <f t="array" aca="1" ref="AG101" ca="1">INDIRECT(ADDRESS($B101,AG$50+$A101,1,1,$C$100))</f>
        <v>0</v>
      </c>
      <c r="AH101" s="3" cm="1">
        <f t="array" aca="1" ref="AH101" ca="1">INDIRECT(ADDRESS($B101,AH$50+$A101,1,1,$C$100))</f>
        <v>0</v>
      </c>
      <c r="AI101" s="3" cm="1">
        <f t="array" aca="1" ref="AI101" ca="1">INDIRECT(ADDRESS($B101,AI$50+$A101,1,1,$C$100))</f>
        <v>0</v>
      </c>
      <c r="AJ101" s="3" cm="1">
        <f t="array" aca="1" ref="AJ101" ca="1">INDIRECT(ADDRESS($B101,AJ$50+$A101,1,1,$C$100))</f>
        <v>0</v>
      </c>
      <c r="AK101" s="3" cm="1">
        <f t="array" aca="1" ref="AK101" ca="1">INDIRECT(ADDRESS($B101,AK$50+$A101,1,1,$C$100))</f>
        <v>0</v>
      </c>
      <c r="AL101" s="3" cm="1">
        <f t="array" aca="1" ref="AL101" ca="1">INDIRECT(ADDRESS($B101,AL$50+$A101,1,1,$C$100))</f>
        <v>0</v>
      </c>
      <c r="AM101" s="3" cm="1">
        <f t="array" aca="1" ref="AM101" ca="1">INDIRECT(ADDRESS($B101,AM$50+$A101,1,1,$C$100))</f>
        <v>0</v>
      </c>
      <c r="AN101" s="3" cm="1">
        <f t="array" aca="1" ref="AN101" ca="1">INDIRECT(ADDRESS($B101,AN$50+$A101,1,1,$C$100))</f>
        <v>0</v>
      </c>
      <c r="AO101" s="3" cm="1">
        <f t="array" aca="1" ref="AO101" ca="1">INDIRECT(ADDRESS($B101,AO$50+$A101,1,1,$C$100))</f>
        <v>0.56728119539999999</v>
      </c>
      <c r="AP101" s="3" cm="1">
        <f t="array" aca="1" ref="AP101" ca="1">INDIRECT(ADDRESS($B101,AP$50+$A101,1,1,$C$100))</f>
        <v>0.45447553149999997</v>
      </c>
      <c r="AQ101" s="3" cm="1">
        <f t="array" aca="1" ref="AQ101" ca="1">INDIRECT(ADDRESS($B101,AQ$50+$A101,1,1,$C$100))</f>
        <v>0.3946566332</v>
      </c>
      <c r="AR101" s="3" cm="1">
        <f t="array" aca="1" ref="AR101" ca="1">INDIRECT(ADDRESS($B101,AR$50+$A101,1,1,$C$100))</f>
        <v>0.38646863460000003</v>
      </c>
      <c r="AS101" s="3" cm="1">
        <f t="array" aca="1" ref="AS101" ca="1">INDIRECT(ADDRESS($B101,AS$50+$A101,1,1,$C$100))</f>
        <v>0.35762669289999999</v>
      </c>
      <c r="AT101" s="3" cm="1">
        <f t="array" aca="1" ref="AT101" ca="1">INDIRECT(ADDRESS($B101,AT$50+$A101,1,1,$C$100))</f>
        <v>0.3292807848</v>
      </c>
      <c r="AU101" s="3" cm="1">
        <f t="array" aca="1" ref="AU101" ca="1">INDIRECT(ADDRESS($B101,AU$50+$A101,1,1,$C$100))</f>
        <v>0.29992999399999998</v>
      </c>
      <c r="AV101" s="3" cm="1">
        <f t="array" aca="1" ref="AV101" ca="1">INDIRECT(ADDRESS($B101,AV$50+$A101,1,1,$C$100))</f>
        <v>0.26328978619999999</v>
      </c>
      <c r="AW101" s="3" cm="1">
        <f t="array" aca="1" ref="AW101" ca="1">INDIRECT(ADDRESS($B101,AW$50+$A101,1,1,$C$100))</f>
        <v>0.242627288</v>
      </c>
      <c r="AX101" s="3" cm="1">
        <f t="array" aca="1" ref="AX101" ca="1">INDIRECT(ADDRESS($B101,AX$50+$A101,1,1,$C$100))</f>
        <v>0.23242417000000001</v>
      </c>
      <c r="AY101" s="3" cm="1">
        <f t="array" aca="1" ref="AY101" ca="1">INDIRECT(ADDRESS($B101,AY$50+$A101,1,1,$C$100))</f>
        <v>0.23762314239999999</v>
      </c>
      <c r="AZ101" s="3" cm="1">
        <f t="array" aca="1" ref="AZ101" ca="1">INDIRECT(ADDRESS($B101,AZ$50+$A101,1,1,$C$100))</f>
        <v>0.2412545576</v>
      </c>
      <c r="BA101" s="3" cm="1">
        <f t="array" aca="1" ref="BA101" ca="1">INDIRECT(ADDRESS($B101,BA$50+$A101,1,1,$C$100))</f>
        <v>0.2321292975</v>
      </c>
      <c r="BB101" s="3" cm="1">
        <f t="array" aca="1" ref="BB101" ca="1">INDIRECT(ADDRESS($B101,BB$50+$A101,1,1,$C$100))</f>
        <v>0.21935918439999999</v>
      </c>
      <c r="BC101" s="3" cm="1">
        <f t="array" aca="1" ref="BC101" ca="1">INDIRECT(ADDRESS($B101,BC$50+$A101,1,1,$C$100))</f>
        <v>0.18322236650000001</v>
      </c>
      <c r="BD101" s="3" cm="1">
        <f t="array" aca="1" ref="BD101" ca="1">INDIRECT(ADDRESS($B101,BD$50+$A101,1,1,$C$100))</f>
        <v>0.17382754080000001</v>
      </c>
      <c r="BE101" s="3" cm="1">
        <f t="array" aca="1" ref="BE101" ca="1">INDIRECT(ADDRESS($B101,BE$50+$A101,1,1,$C$100))</f>
        <v>0.1772625759</v>
      </c>
      <c r="BF101" s="3" cm="1">
        <f t="array" aca="1" ref="BF101" ca="1">INDIRECT(ADDRESS($B101,BF$50+$A101,1,1,$C$100))</f>
        <v>0.1891977608</v>
      </c>
      <c r="BG101" s="3" cm="1">
        <f t="array" aca="1" ref="BG101" ca="1">INDIRECT(ADDRESS($B101,BG$50+$A101,1,1,$C$100))</f>
        <v>0.20474288769999999</v>
      </c>
      <c r="BH101" s="3" cm="1">
        <f t="array" aca="1" ref="BH101" ca="1">INDIRECT(ADDRESS($B101,BH$50+$A101,1,1,$C$100))</f>
        <v>0.1859297228</v>
      </c>
      <c r="BI101" s="3" cm="1">
        <f t="array" aca="1" ref="BI101" ca="1">INDIRECT(ADDRESS($B101,BI$50+$A101,1,1,$C$100))</f>
        <v>0.16727506880000001</v>
      </c>
      <c r="BJ101" s="3" cm="1">
        <f t="array" aca="1" ref="BJ101" ca="1">INDIRECT(ADDRESS($B101,BJ$50+$A101,1,1,$C$100))</f>
        <v>0.1423736665</v>
      </c>
      <c r="BK101" s="3" cm="1">
        <f t="array" aca="1" ref="BK101" ca="1">INDIRECT(ADDRESS($B101,BK$50+$A101,1,1,$C$100))</f>
        <v>0.13766754959999999</v>
      </c>
      <c r="BL101" s="3" cm="1">
        <f t="array" aca="1" ref="BL101" ca="1">INDIRECT(ADDRESS($B101,BL$50+$A101,1,1,$C$100))</f>
        <v>0.13873144379999999</v>
      </c>
      <c r="BM101" s="3" cm="1">
        <f t="array" aca="1" ref="BM101" ca="1">INDIRECT(ADDRESS($B101,BM$50+$A101,1,1,$C$100))</f>
        <v>0.13813370359999999</v>
      </c>
      <c r="BN101" s="3" cm="1">
        <f t="array" aca="1" ref="BN101" ca="1">INDIRECT(ADDRESS($B101,BN$50+$A101,1,1,$C$100))</f>
        <v>0.13022034269999999</v>
      </c>
      <c r="BO101" s="3" cm="1">
        <f t="array" aca="1" ref="BO101" ca="1">INDIRECT(ADDRESS($B101,BO$50+$A101,1,1,$C$100))</f>
        <v>0.11637096769999999</v>
      </c>
      <c r="BP101" s="3" cm="1">
        <f t="array" aca="1" ref="BP101" ca="1">INDIRECT(ADDRESS($B101,BP$50+$A101,1,1,$C$100))</f>
        <v>0.100162631</v>
      </c>
      <c r="BQ101" s="3" cm="1">
        <f t="array" aca="1" ref="BQ101" ca="1">INDIRECT(ADDRESS($B101,BQ$50+$A101,1,1,$C$100))</f>
        <v>8.8388111300000002E-2</v>
      </c>
      <c r="BR101" s="3" cm="1">
        <f t="array" aca="1" ref="BR101" ca="1">INDIRECT(ADDRESS($B101,BR$50+$A101,1,1,$C$100))</f>
        <v>8.1292115999999998E-2</v>
      </c>
      <c r="BS101" s="3" cm="1">
        <f t="array" aca="1" ref="BS101" ca="1">INDIRECT(ADDRESS($B101,BS$50+$A101,1,1,$C$100))</f>
        <v>7.7947274699999999E-2</v>
      </c>
      <c r="BT101" s="3" cm="1">
        <f t="array" aca="1" ref="BT101" ca="1">INDIRECT(ADDRESS($B101,BT$50+$A101,1,1,$C$100))</f>
        <v>7.4576729100000003E-2</v>
      </c>
      <c r="BU101" s="3" cm="1">
        <f t="array" aca="1" ref="BU101" ca="1">INDIRECT(ADDRESS($B101,BU$50+$A101,1,1,$C$100))</f>
        <v>6.8251112000000003E-2</v>
      </c>
      <c r="BV101" s="3" cm="1">
        <f t="array" aca="1" ref="BV101" ca="1">INDIRECT(ADDRESS($B101,BV$50+$A101,1,1,$C$100))</f>
        <v>4.1458096600000001E-2</v>
      </c>
    </row>
    <row r="102" spans="1:74" x14ac:dyDescent="0.25">
      <c r="A102">
        <v>6</v>
      </c>
      <c r="B102">
        <f ca="1">MATCH($C102,INDIRECT("'"&amp;$C$100&amp;"'!A:A"),0)</f>
        <v>12</v>
      </c>
      <c r="C102" s="1" t="str">
        <f>C9</f>
        <v>Spain</v>
      </c>
      <c r="D102" t="str">
        <f>D101</f>
        <v>Confirmed Trend</v>
      </c>
      <c r="E102" s="3" cm="1">
        <f t="array" aca="1" ref="E102" ca="1">INDIRECT(ADDRESS($B102,E$50+$A102,1,1,$C$100))</f>
        <v>0</v>
      </c>
      <c r="F102" s="3" cm="1">
        <f t="array" aca="1" ref="F102" ca="1">INDIRECT(ADDRESS($B102,F$50+$A102,1,1,$C$100))</f>
        <v>0</v>
      </c>
      <c r="G102" s="3" cm="1">
        <f t="array" aca="1" ref="G102" ca="1">INDIRECT(ADDRESS($B102,G$50+$A102,1,1,$C$100))</f>
        <v>0</v>
      </c>
      <c r="H102" s="3" cm="1">
        <f t="array" aca="1" ref="H102" ca="1">INDIRECT(ADDRESS($B102,H$50+$A102,1,1,$C$100))</f>
        <v>0</v>
      </c>
      <c r="I102" s="3" cm="1">
        <f t="array" aca="1" ref="I102" ca="1">INDIRECT(ADDRESS($B102,I$50+$A102,1,1,$C$100))</f>
        <v>0</v>
      </c>
      <c r="J102" s="3" cm="1">
        <f t="array" aca="1" ref="J102" ca="1">INDIRECT(ADDRESS($B102,J$50+$A102,1,1,$C$100))</f>
        <v>0</v>
      </c>
      <c r="K102" s="3" cm="1">
        <f t="array" aca="1" ref="K102" ca="1">INDIRECT(ADDRESS($B102,K$50+$A102,1,1,$C$100))</f>
        <v>0</v>
      </c>
      <c r="L102" s="3" cm="1">
        <f t="array" aca="1" ref="L102" ca="1">INDIRECT(ADDRESS($B102,L$50+$A102,1,1,$C$100))</f>
        <v>0</v>
      </c>
      <c r="M102" s="3" cm="1">
        <f t="array" aca="1" ref="M102" ca="1">INDIRECT(ADDRESS($B102,M$50+$A102,1,1,$C$100))</f>
        <v>0</v>
      </c>
      <c r="N102" s="3" cm="1">
        <f t="array" aca="1" ref="N102" ca="1">INDIRECT(ADDRESS($B102,N$50+$A102,1,1,$C$100))</f>
        <v>0</v>
      </c>
      <c r="O102" s="3" cm="1">
        <f t="array" aca="1" ref="O102" ca="1">INDIRECT(ADDRESS($B102,O$50+$A102,1,1,$C$100))</f>
        <v>0</v>
      </c>
      <c r="P102" s="3" cm="1">
        <f t="array" aca="1" ref="P102" ca="1">INDIRECT(ADDRESS($B102,P$50+$A102,1,1,$C$100))</f>
        <v>0</v>
      </c>
      <c r="Q102" s="3" cm="1">
        <f t="array" aca="1" ref="Q102" ca="1">INDIRECT(ADDRESS($B102,Q$50+$A102,1,1,$C$100))</f>
        <v>0</v>
      </c>
      <c r="R102" s="3" cm="1">
        <f t="array" aca="1" ref="R102" ca="1">INDIRECT(ADDRESS($B102,R$50+$A102,1,1,$C$100))</f>
        <v>0</v>
      </c>
      <c r="S102" s="3" cm="1">
        <f t="array" aca="1" ref="S102" ca="1">INDIRECT(ADDRESS($B102,S$50+$A102,1,1,$C$100))</f>
        <v>0</v>
      </c>
      <c r="T102" s="3" cm="1">
        <f t="array" aca="1" ref="T102" ca="1">INDIRECT(ADDRESS($B102,T$50+$A102,1,1,$C$100))</f>
        <v>0</v>
      </c>
      <c r="U102" s="3" cm="1">
        <f t="array" aca="1" ref="U102" ca="1">INDIRECT(ADDRESS($B102,U$50+$A102,1,1,$C$100))</f>
        <v>0</v>
      </c>
      <c r="V102" s="3" cm="1">
        <f t="array" aca="1" ref="V102" ca="1">INDIRECT(ADDRESS($B102,V$50+$A102,1,1,$C$100))</f>
        <v>0</v>
      </c>
      <c r="W102" s="3" cm="1">
        <f t="array" aca="1" ref="W102" ca="1">INDIRECT(ADDRESS($B102,W$50+$A102,1,1,$C$100))</f>
        <v>0</v>
      </c>
      <c r="X102" s="3" cm="1">
        <f t="array" aca="1" ref="X102" ca="1">INDIRECT(ADDRESS($B102,X$50+$A102,1,1,$C$100))</f>
        <v>0</v>
      </c>
      <c r="Y102" s="3" cm="1">
        <f t="array" aca="1" ref="Y102" ca="1">INDIRECT(ADDRESS($B102,Y$50+$A102,1,1,$C$100))</f>
        <v>0</v>
      </c>
      <c r="Z102" s="3" cm="1">
        <f t="array" aca="1" ref="Z102" ca="1">INDIRECT(ADDRESS($B102,Z$50+$A102,1,1,$C$100))</f>
        <v>0</v>
      </c>
      <c r="AA102" s="3" cm="1">
        <f t="array" aca="1" ref="AA102" ca="1">INDIRECT(ADDRESS($B102,AA$50+$A102,1,1,$C$100))</f>
        <v>0</v>
      </c>
      <c r="AB102" s="3" cm="1">
        <f t="array" aca="1" ref="AB102" ca="1">INDIRECT(ADDRESS($B102,AB$50+$A102,1,1,$C$100))</f>
        <v>0</v>
      </c>
      <c r="AC102" s="3" cm="1">
        <f t="array" aca="1" ref="AC102" ca="1">INDIRECT(ADDRESS($B102,AC$50+$A102,1,1,$C$100))</f>
        <v>0</v>
      </c>
      <c r="AD102" s="3" cm="1">
        <f t="array" aca="1" ref="AD102" ca="1">INDIRECT(ADDRESS($B102,AD$50+$A102,1,1,$C$100))</f>
        <v>0</v>
      </c>
      <c r="AE102" s="3" cm="1">
        <f t="array" aca="1" ref="AE102" ca="1">INDIRECT(ADDRESS($B102,AE$50+$A102,1,1,$C$100))</f>
        <v>0</v>
      </c>
      <c r="AF102" s="3" cm="1">
        <f t="array" aca="1" ref="AF102" ca="1">INDIRECT(ADDRESS($B102,AF$50+$A102,1,1,$C$100))</f>
        <v>0</v>
      </c>
      <c r="AG102" s="3" cm="1">
        <f t="array" aca="1" ref="AG102" ca="1">INDIRECT(ADDRESS($B102,AG$50+$A102,1,1,$C$100))</f>
        <v>0</v>
      </c>
      <c r="AH102" s="3" cm="1">
        <f t="array" aca="1" ref="AH102" ca="1">INDIRECT(ADDRESS($B102,AH$50+$A102,1,1,$C$100))</f>
        <v>0</v>
      </c>
      <c r="AI102" s="3" cm="1">
        <f t="array" aca="1" ref="AI102" ca="1">INDIRECT(ADDRESS($B102,AI$50+$A102,1,1,$C$100))</f>
        <v>0</v>
      </c>
      <c r="AJ102" s="3" cm="1">
        <f t="array" aca="1" ref="AJ102" ca="1">INDIRECT(ADDRESS($B102,AJ$50+$A102,1,1,$C$100))</f>
        <v>0</v>
      </c>
      <c r="AK102" s="3" cm="1">
        <f t="array" aca="1" ref="AK102" ca="1">INDIRECT(ADDRESS($B102,AK$50+$A102,1,1,$C$100))</f>
        <v>0</v>
      </c>
      <c r="AL102" s="3" cm="1">
        <f t="array" aca="1" ref="AL102" ca="1">INDIRECT(ADDRESS($B102,AL$50+$A102,1,1,$C$100))</f>
        <v>0</v>
      </c>
      <c r="AM102" s="3" cm="1">
        <f t="array" aca="1" ref="AM102" ca="1">INDIRECT(ADDRESS($B102,AM$50+$A102,1,1,$C$100))</f>
        <v>0</v>
      </c>
      <c r="AN102" s="3" cm="1">
        <f t="array" aca="1" ref="AN102" ca="1">INDIRECT(ADDRESS($B102,AN$50+$A102,1,1,$C$100))</f>
        <v>0</v>
      </c>
      <c r="AO102" s="3" cm="1">
        <f t="array" aca="1" ref="AO102" ca="1">INDIRECT(ADDRESS($B102,AO$50+$A102,1,1,$C$100))</f>
        <v>0</v>
      </c>
      <c r="AP102" s="3" cm="1">
        <f t="array" aca="1" ref="AP102" ca="1">INDIRECT(ADDRESS($B102,AP$50+$A102,1,1,$C$100))</f>
        <v>0</v>
      </c>
      <c r="AQ102" s="3" cm="1">
        <f t="array" aca="1" ref="AQ102" ca="1">INDIRECT(ADDRESS($B102,AQ$50+$A102,1,1,$C$100))</f>
        <v>0</v>
      </c>
      <c r="AR102" s="3" cm="1">
        <f t="array" aca="1" ref="AR102" ca="1">INDIRECT(ADDRESS($B102,AR$50+$A102,1,1,$C$100))</f>
        <v>0</v>
      </c>
      <c r="AS102" s="3" cm="1">
        <f t="array" aca="1" ref="AS102" ca="1">INDIRECT(ADDRESS($B102,AS$50+$A102,1,1,$C$100))</f>
        <v>0</v>
      </c>
      <c r="AT102" s="3" cm="1">
        <f t="array" aca="1" ref="AT102" ca="1">INDIRECT(ADDRESS($B102,AT$50+$A102,1,1,$C$100))</f>
        <v>0.57477596929999997</v>
      </c>
      <c r="AU102" s="3" cm="1">
        <f t="array" aca="1" ref="AU102" ca="1">INDIRECT(ADDRESS($B102,AU$50+$A102,1,1,$C$100))</f>
        <v>0.5321632208</v>
      </c>
      <c r="AV102" s="3" cm="1">
        <f t="array" aca="1" ref="AV102" ca="1">INDIRECT(ADDRESS($B102,AV$50+$A102,1,1,$C$100))</f>
        <v>0.41531027790000002</v>
      </c>
      <c r="AW102" s="3" cm="1">
        <f t="array" aca="1" ref="AW102" ca="1">INDIRECT(ADDRESS($B102,AW$50+$A102,1,1,$C$100))</f>
        <v>0.37149472109999998</v>
      </c>
      <c r="AX102" s="3" cm="1">
        <f t="array" aca="1" ref="AX102" ca="1">INDIRECT(ADDRESS($B102,AX$50+$A102,1,1,$C$100))</f>
        <v>0.33126424360000001</v>
      </c>
      <c r="AY102" s="3" cm="1">
        <f t="array" aca="1" ref="AY102" ca="1">INDIRECT(ADDRESS($B102,AY$50+$A102,1,1,$C$100))</f>
        <v>0.3271811074</v>
      </c>
      <c r="AZ102" s="3" cm="1">
        <f t="array" aca="1" ref="AZ102" ca="1">INDIRECT(ADDRESS($B102,AZ$50+$A102,1,1,$C$100))</f>
        <v>0.36550818750000003</v>
      </c>
      <c r="BA102" s="3" cm="1">
        <f t="array" aca="1" ref="BA102" ca="1">INDIRECT(ADDRESS($B102,BA$50+$A102,1,1,$C$100))</f>
        <v>0.40581182170000002</v>
      </c>
      <c r="BB102" s="3" cm="1">
        <f t="array" aca="1" ref="BB102" ca="1">INDIRECT(ADDRESS($B102,BB$50+$A102,1,1,$C$100))</f>
        <v>0.44442312779999998</v>
      </c>
      <c r="BC102" s="3" cm="1">
        <f t="array" aca="1" ref="BC102" ca="1">INDIRECT(ADDRESS($B102,BC$50+$A102,1,1,$C$100))</f>
        <v>0.41179113499999997</v>
      </c>
      <c r="BD102" s="3" cm="1">
        <f t="array" aca="1" ref="BD102" ca="1">INDIRECT(ADDRESS($B102,BD$50+$A102,1,1,$C$100))</f>
        <v>0.44477049810000002</v>
      </c>
      <c r="BE102" s="3" cm="1">
        <f t="array" aca="1" ref="BE102" ca="1">INDIRECT(ADDRESS($B102,BE$50+$A102,1,1,$C$100))</f>
        <v>0.4176940998</v>
      </c>
      <c r="BF102" s="3" cm="1">
        <f t="array" aca="1" ref="BF102" ca="1">INDIRECT(ADDRESS($B102,BF$50+$A102,1,1,$C$100))</f>
        <v>0.40072411130000002</v>
      </c>
      <c r="BG102" s="3" cm="1">
        <f t="array" aca="1" ref="BG102" ca="1">INDIRECT(ADDRESS($B102,BG$50+$A102,1,1,$C$100))</f>
        <v>0.40181660079999998</v>
      </c>
      <c r="BH102" s="3" cm="1">
        <f t="array" aca="1" ref="BH102" ca="1">INDIRECT(ADDRESS($B102,BH$50+$A102,1,1,$C$100))</f>
        <v>0.31752852500000001</v>
      </c>
      <c r="BI102" s="3" cm="1">
        <f t="array" aca="1" ref="BI102" ca="1">INDIRECT(ADDRESS($B102,BI$50+$A102,1,1,$C$100))</f>
        <v>0.26505322879999998</v>
      </c>
      <c r="BJ102" s="3" cm="1">
        <f t="array" aca="1" ref="BJ102" ca="1">INDIRECT(ADDRESS($B102,BJ$50+$A102,1,1,$C$100))</f>
        <v>0.22421023840000001</v>
      </c>
      <c r="BK102" s="3" cm="1">
        <f t="array" aca="1" ref="BK102" ca="1">INDIRECT(ADDRESS($B102,BK$50+$A102,1,1,$C$100))</f>
        <v>0.21323881149999999</v>
      </c>
      <c r="BL102" s="3" cm="1">
        <f t="array" aca="1" ref="BL102" ca="1">INDIRECT(ADDRESS($B102,BL$50+$A102,1,1,$C$100))</f>
        <v>0.21256103509999999</v>
      </c>
      <c r="BM102" s="3" cm="1">
        <f t="array" aca="1" ref="BM102" ca="1">INDIRECT(ADDRESS($B102,BM$50+$A102,1,1,$C$100))</f>
        <v>0.20296315349999999</v>
      </c>
      <c r="BN102" s="3" cm="1">
        <f t="array" aca="1" ref="BN102" ca="1">INDIRECT(ADDRESS($B102,BN$50+$A102,1,1,$C$100))</f>
        <v>0.19608545399999999</v>
      </c>
      <c r="BO102" s="3" cm="1">
        <f t="array" aca="1" ref="BO102" ca="1">INDIRECT(ADDRESS($B102,BO$50+$A102,1,1,$C$100))</f>
        <v>0.18699176789999999</v>
      </c>
      <c r="BP102" s="3" cm="1">
        <f t="array" aca="1" ref="BP102" ca="1">INDIRECT(ADDRESS($B102,BP$50+$A102,1,1,$C$100))</f>
        <v>0.18224855070000001</v>
      </c>
      <c r="BQ102" s="3" cm="1">
        <f t="array" aca="1" ref="BQ102" ca="1">INDIRECT(ADDRESS($B102,BQ$50+$A102,1,1,$C$100))</f>
        <v>0.18536418460000001</v>
      </c>
      <c r="BR102" s="3" cm="1">
        <f t="array" aca="1" ref="BR102" ca="1">INDIRECT(ADDRESS($B102,BR$50+$A102,1,1,$C$100))</f>
        <v>0.17988033749999999</v>
      </c>
      <c r="BS102" s="3" cm="1">
        <f t="array" aca="1" ref="BS102" ca="1">INDIRECT(ADDRESS($B102,BS$50+$A102,1,1,$C$100))</f>
        <v>0.1733709581</v>
      </c>
      <c r="BT102" s="3" cm="1">
        <f t="array" aca="1" ref="BT102" ca="1">INDIRECT(ADDRESS($B102,BT$50+$A102,1,1,$C$100))</f>
        <v>0.1516460577</v>
      </c>
      <c r="BU102" s="3" cm="1">
        <f t="array" aca="1" ref="BU102" ca="1">INDIRECT(ADDRESS($B102,BU$50+$A102,1,1,$C$100))</f>
        <v>0.13154845170000001</v>
      </c>
      <c r="BV102" s="3" cm="1">
        <f t="array" aca="1" ref="BV102" ca="1">INDIRECT(ADDRESS($B102,BV$50+$A102,1,1,$C$100))</f>
        <v>9.7940332000000005E-2</v>
      </c>
    </row>
    <row r="103" spans="1:74" x14ac:dyDescent="0.25">
      <c r="A103">
        <v>6</v>
      </c>
      <c r="B103">
        <f ca="1">MATCH($C103,INDIRECT("'"&amp;$C$100&amp;"'!A:A"),0)</f>
        <v>15</v>
      </c>
      <c r="C103" s="1" t="str">
        <f>C10</f>
        <v>US</v>
      </c>
      <c r="D103" t="str">
        <f>D102</f>
        <v>Confirmed Trend</v>
      </c>
      <c r="E103" s="3" cm="1">
        <f t="array" aca="1" ref="E103" ca="1">INDIRECT(ADDRESS($B103,E$50+$A103,1,1,$C$100))</f>
        <v>0</v>
      </c>
      <c r="F103" s="3" cm="1">
        <f t="array" aca="1" ref="F103" ca="1">INDIRECT(ADDRESS($B103,F$50+$A103,1,1,$C$100))</f>
        <v>0</v>
      </c>
      <c r="G103" s="3" cm="1">
        <f t="array" aca="1" ref="G103" ca="1">INDIRECT(ADDRESS($B103,G$50+$A103,1,1,$C$100))</f>
        <v>0</v>
      </c>
      <c r="H103" s="3" cm="1">
        <f t="array" aca="1" ref="H103" ca="1">INDIRECT(ADDRESS($B103,H$50+$A103,1,1,$C$100))</f>
        <v>0</v>
      </c>
      <c r="I103" s="3" cm="1">
        <f t="array" aca="1" ref="I103" ca="1">INDIRECT(ADDRESS($B103,I$50+$A103,1,1,$C$100))</f>
        <v>0</v>
      </c>
      <c r="J103" s="3" cm="1">
        <f t="array" aca="1" ref="J103" ca="1">INDIRECT(ADDRESS($B103,J$50+$A103,1,1,$C$100))</f>
        <v>0</v>
      </c>
      <c r="K103" s="3" cm="1">
        <f t="array" aca="1" ref="K103" ca="1">INDIRECT(ADDRESS($B103,K$50+$A103,1,1,$C$100))</f>
        <v>0</v>
      </c>
      <c r="L103" s="3" cm="1">
        <f t="array" aca="1" ref="L103" ca="1">INDIRECT(ADDRESS($B103,L$50+$A103,1,1,$C$100))</f>
        <v>0</v>
      </c>
      <c r="M103" s="3" cm="1">
        <f t="array" aca="1" ref="M103" ca="1">INDIRECT(ADDRESS($B103,M$50+$A103,1,1,$C$100))</f>
        <v>0</v>
      </c>
      <c r="N103" s="3" cm="1">
        <f t="array" aca="1" ref="N103" ca="1">INDIRECT(ADDRESS($B103,N$50+$A103,1,1,$C$100))</f>
        <v>0</v>
      </c>
      <c r="O103" s="3" cm="1">
        <f t="array" aca="1" ref="O103" ca="1">INDIRECT(ADDRESS($B103,O$50+$A103,1,1,$C$100))</f>
        <v>0</v>
      </c>
      <c r="P103" s="3" cm="1">
        <f t="array" aca="1" ref="P103" ca="1">INDIRECT(ADDRESS($B103,P$50+$A103,1,1,$C$100))</f>
        <v>0</v>
      </c>
      <c r="Q103" s="3" cm="1">
        <f t="array" aca="1" ref="Q103" ca="1">INDIRECT(ADDRESS($B103,Q$50+$A103,1,1,$C$100))</f>
        <v>0</v>
      </c>
      <c r="R103" s="3" cm="1">
        <f t="array" aca="1" ref="R103" ca="1">INDIRECT(ADDRESS($B103,R$50+$A103,1,1,$C$100))</f>
        <v>0</v>
      </c>
      <c r="S103" s="3" cm="1">
        <f t="array" aca="1" ref="S103" ca="1">INDIRECT(ADDRESS($B103,S$50+$A103,1,1,$C$100))</f>
        <v>0</v>
      </c>
      <c r="T103" s="3" cm="1">
        <f t="array" aca="1" ref="T103" ca="1">INDIRECT(ADDRESS($B103,T$50+$A103,1,1,$C$100))</f>
        <v>0</v>
      </c>
      <c r="U103" s="3" cm="1">
        <f t="array" aca="1" ref="U103" ca="1">INDIRECT(ADDRESS($B103,U$50+$A103,1,1,$C$100))</f>
        <v>0</v>
      </c>
      <c r="V103" s="3" cm="1">
        <f t="array" aca="1" ref="V103" ca="1">INDIRECT(ADDRESS($B103,V$50+$A103,1,1,$C$100))</f>
        <v>0</v>
      </c>
      <c r="W103" s="3" cm="1">
        <f t="array" aca="1" ref="W103" ca="1">INDIRECT(ADDRESS($B103,W$50+$A103,1,1,$C$100))</f>
        <v>0</v>
      </c>
      <c r="X103" s="3" cm="1">
        <f t="array" aca="1" ref="X103" ca="1">INDIRECT(ADDRESS($B103,X$50+$A103,1,1,$C$100))</f>
        <v>0</v>
      </c>
      <c r="Y103" s="3" cm="1">
        <f t="array" aca="1" ref="Y103" ca="1">INDIRECT(ADDRESS($B103,Y$50+$A103,1,1,$C$100))</f>
        <v>7.4911602000000002E-3</v>
      </c>
      <c r="Z103" s="3" cm="1">
        <f t="array" aca="1" ref="Z103" ca="1">INDIRECT(ADDRESS($B103,Z$50+$A103,1,1,$C$100))</f>
        <v>1.4818851399999999E-2</v>
      </c>
      <c r="AA103" s="3" cm="1">
        <f t="array" aca="1" ref="AA103" ca="1">INDIRECT(ADDRESS($B103,AA$50+$A103,1,1,$C$100))</f>
        <v>2.90155699E-2</v>
      </c>
      <c r="AB103" s="3" cm="1">
        <f t="array" aca="1" ref="AB103" ca="1">INDIRECT(ADDRESS($B103,AB$50+$A103,1,1,$C$100))</f>
        <v>3.5899000899999998E-2</v>
      </c>
      <c r="AC103" s="3" cm="1">
        <f t="array" aca="1" ref="AC103" ca="1">INDIRECT(ADDRESS($B103,AC$50+$A103,1,1,$C$100))</f>
        <v>3.4895318799999998E-2</v>
      </c>
      <c r="AD103" s="3" cm="1">
        <f t="array" aca="1" ref="AD103" ca="1">INDIRECT(ADDRESS($B103,AD$50+$A103,1,1,$C$100))</f>
        <v>2.74226617E-2</v>
      </c>
      <c r="AE103" s="3" cm="1">
        <f t="array" aca="1" ref="AE103" ca="1">INDIRECT(ADDRESS($B103,AE$50+$A103,1,1,$C$100))</f>
        <v>1.32479196E-2</v>
      </c>
      <c r="AF103" s="3" cm="1">
        <f t="array" aca="1" ref="AF103" ca="1">INDIRECT(ADDRESS($B103,AF$50+$A103,1,1,$C$100))</f>
        <v>6.5150025000000004E-3</v>
      </c>
      <c r="AG103" s="3" cm="1">
        <f t="array" aca="1" ref="AG103" ca="1">INDIRECT(ADDRESS($B103,AG$50+$A103,1,1,$C$100))</f>
        <v>0</v>
      </c>
      <c r="AH103" s="3" cm="1">
        <f t="array" aca="1" ref="AH103" ca="1">INDIRECT(ADDRESS($B103,AH$50+$A103,1,1,$C$100))</f>
        <v>0</v>
      </c>
      <c r="AI103" s="3" cm="1">
        <f t="array" aca="1" ref="AI103" ca="1">INDIRECT(ADDRESS($B103,AI$50+$A103,1,1,$C$100))</f>
        <v>1.25810895E-2</v>
      </c>
      <c r="AJ103" s="3" cm="1">
        <f t="array" aca="1" ref="AJ103" ca="1">INDIRECT(ADDRESS($B103,AJ$50+$A103,1,1,$C$100))</f>
        <v>2.4709971000000001E-2</v>
      </c>
      <c r="AK103" s="3" cm="1">
        <f t="array" aca="1" ref="AK103" ca="1">INDIRECT(ADDRESS($B103,AK$50+$A103,1,1,$C$100))</f>
        <v>3.64228438E-2</v>
      </c>
      <c r="AL103" s="3" cm="1">
        <f t="array" aca="1" ref="AL103" ca="1">INDIRECT(ADDRESS($B103,AL$50+$A103,1,1,$C$100))</f>
        <v>0.20048048060000001</v>
      </c>
      <c r="AM103" s="3" cm="1">
        <f t="array" aca="1" ref="AM103" ca="1">INDIRECT(ADDRESS($B103,AM$50+$A103,1,1,$C$100))</f>
        <v>0.29972209300000002</v>
      </c>
      <c r="AN103" s="3" cm="1">
        <f t="array" aca="1" ref="AN103" ca="1">INDIRECT(ADDRESS($B103,AN$50+$A103,1,1,$C$100))</f>
        <v>0.38669888769999999</v>
      </c>
      <c r="AO103" s="3" cm="1">
        <f t="array" aca="1" ref="AO103" ca="1">INDIRECT(ADDRESS($B103,AO$50+$A103,1,1,$C$100))</f>
        <v>0.38587446720000002</v>
      </c>
      <c r="AP103" s="3" cm="1">
        <f t="array" aca="1" ref="AP103" ca="1">INDIRECT(ADDRESS($B103,AP$50+$A103,1,1,$C$100))</f>
        <v>0.21237858749999999</v>
      </c>
      <c r="AQ103" s="3" cm="1">
        <f t="array" aca="1" ref="AQ103" ca="1">INDIRECT(ADDRESS($B103,AQ$50+$A103,1,1,$C$100))</f>
        <v>0.1228759254</v>
      </c>
      <c r="AR103" s="3" cm="1">
        <f t="array" aca="1" ref="AR103" ca="1">INDIRECT(ADDRESS($B103,AR$50+$A103,1,1,$C$100))</f>
        <v>6.1667593999999999E-2</v>
      </c>
      <c r="AS103" s="3" cm="1">
        <f t="array" aca="1" ref="AS103" ca="1">INDIRECT(ADDRESS($B103,AS$50+$A103,1,1,$C$100))</f>
        <v>9.6543306999999995E-2</v>
      </c>
      <c r="AT103" s="3" cm="1">
        <f t="array" aca="1" ref="AT103" ca="1">INDIRECT(ADDRESS($B103,AT$50+$A103,1,1,$C$100))</f>
        <v>0.13459270609999999</v>
      </c>
      <c r="AU103" s="3" cm="1">
        <f t="array" aca="1" ref="AU103" ca="1">INDIRECT(ADDRESS($B103,AU$50+$A103,1,1,$C$100))</f>
        <v>0.18357281119999999</v>
      </c>
      <c r="AV103" s="3" cm="1">
        <f t="array" aca="1" ref="AV103" ca="1">INDIRECT(ADDRESS($B103,AV$50+$A103,1,1,$C$100))</f>
        <v>0.24415216049999999</v>
      </c>
      <c r="AW103" s="3" cm="1">
        <f t="array" aca="1" ref="AW103" ca="1">INDIRECT(ADDRESS($B103,AW$50+$A103,1,1,$C$100))</f>
        <v>0.27185353239999999</v>
      </c>
      <c r="AX103" s="3" cm="1">
        <f t="array" aca="1" ref="AX103" ca="1">INDIRECT(ADDRESS($B103,AX$50+$A103,1,1,$C$100))</f>
        <v>0.32021443710000003</v>
      </c>
      <c r="AY103" s="3" cm="1">
        <f t="array" aca="1" ref="AY103" ca="1">INDIRECT(ADDRESS($B103,AY$50+$A103,1,1,$C$100))</f>
        <v>0.34147058149999998</v>
      </c>
      <c r="AZ103" s="3" cm="1">
        <f t="array" aca="1" ref="AZ103" ca="1">INDIRECT(ADDRESS($B103,AZ$50+$A103,1,1,$C$100))</f>
        <v>0.32748127789999998</v>
      </c>
      <c r="BA103" s="3" cm="1">
        <f t="array" aca="1" ref="BA103" ca="1">INDIRECT(ADDRESS($B103,BA$50+$A103,1,1,$C$100))</f>
        <v>0.34578875190000002</v>
      </c>
      <c r="BB103" s="3" cm="1">
        <f t="array" aca="1" ref="BB103" ca="1">INDIRECT(ADDRESS($B103,BB$50+$A103,1,1,$C$100))</f>
        <v>0.33793107989999999</v>
      </c>
      <c r="BC103" s="3" cm="1">
        <f t="array" aca="1" ref="BC103" ca="1">INDIRECT(ADDRESS($B103,BC$50+$A103,1,1,$C$100))</f>
        <v>0.34801668810000003</v>
      </c>
      <c r="BD103" s="3" cm="1">
        <f t="array" aca="1" ref="BD103" ca="1">INDIRECT(ADDRESS($B103,BD$50+$A103,1,1,$C$100))</f>
        <v>0.35875559000000001</v>
      </c>
      <c r="BE103" s="3" cm="1">
        <f t="array" aca="1" ref="BE103" ca="1">INDIRECT(ADDRESS($B103,BE$50+$A103,1,1,$C$100))</f>
        <v>0.33631243700000002</v>
      </c>
      <c r="BF103" s="3" cm="1">
        <f t="array" aca="1" ref="BF103" ca="1">INDIRECT(ADDRESS($B103,BF$50+$A103,1,1,$C$100))</f>
        <v>0.3135805519</v>
      </c>
      <c r="BG103" s="3" cm="1">
        <f t="array" aca="1" ref="BG103" ca="1">INDIRECT(ADDRESS($B103,BG$50+$A103,1,1,$C$100))</f>
        <v>0.29148040590000002</v>
      </c>
      <c r="BH103" s="3" cm="1">
        <f t="array" aca="1" ref="BH103" ca="1">INDIRECT(ADDRESS($B103,BH$50+$A103,1,1,$C$100))</f>
        <v>0.29822384740000002</v>
      </c>
      <c r="BI103" s="3" cm="1">
        <f t="array" aca="1" ref="BI103" ca="1">INDIRECT(ADDRESS($B103,BI$50+$A103,1,1,$C$100))</f>
        <v>0.30128479419999998</v>
      </c>
      <c r="BJ103" s="3" cm="1">
        <f t="array" aca="1" ref="BJ103" ca="1">INDIRECT(ADDRESS($B103,BJ$50+$A103,1,1,$C$100))</f>
        <v>0.34956142810000002</v>
      </c>
      <c r="BK103" s="3" cm="1">
        <f t="array" aca="1" ref="BK103" ca="1">INDIRECT(ADDRESS($B103,BK$50+$A103,1,1,$C$100))</f>
        <v>0.39023118849999999</v>
      </c>
      <c r="BL103" s="3" cm="1">
        <f t="array" aca="1" ref="BL103" ca="1">INDIRECT(ADDRESS($B103,BL$50+$A103,1,1,$C$100))</f>
        <v>0.41456572079999998</v>
      </c>
      <c r="BM103" s="3" cm="1">
        <f t="array" aca="1" ref="BM103" ca="1">INDIRECT(ADDRESS($B103,BM$50+$A103,1,1,$C$100))</f>
        <v>0.42589780849999997</v>
      </c>
      <c r="BN103" s="3" cm="1">
        <f t="array" aca="1" ref="BN103" ca="1">INDIRECT(ADDRESS($B103,BN$50+$A103,1,1,$C$100))</f>
        <v>0.38507232419999998</v>
      </c>
      <c r="BO103" s="3" cm="1">
        <f t="array" aca="1" ref="BO103" ca="1">INDIRECT(ADDRESS($B103,BO$50+$A103,1,1,$C$100))</f>
        <v>0.3402312233</v>
      </c>
      <c r="BP103" s="3" cm="1">
        <f t="array" aca="1" ref="BP103" ca="1">INDIRECT(ADDRESS($B103,BP$50+$A103,1,1,$C$100))</f>
        <v>0.29400499619999998</v>
      </c>
      <c r="BQ103" s="3" cm="1">
        <f t="array" aca="1" ref="BQ103" ca="1">INDIRECT(ADDRESS($B103,BQ$50+$A103,1,1,$C$100))</f>
        <v>0.27124017049999999</v>
      </c>
      <c r="BR103" s="3" cm="1">
        <f t="array" aca="1" ref="BR103" ca="1">INDIRECT(ADDRESS($B103,BR$50+$A103,1,1,$C$100))</f>
        <v>0.25093877349999999</v>
      </c>
      <c r="BS103" s="3" cm="1">
        <f t="array" aca="1" ref="BS103" ca="1">INDIRECT(ADDRESS($B103,BS$50+$A103,1,1,$C$100))</f>
        <v>0.23757098639999999</v>
      </c>
      <c r="BT103" s="3" cm="1">
        <f t="array" aca="1" ref="BT103" ca="1">INDIRECT(ADDRESS($B103,BT$50+$A103,1,1,$C$100))</f>
        <v>0.221776747</v>
      </c>
      <c r="BU103" s="3" cm="1">
        <f t="array" aca="1" ref="BU103" ca="1">INDIRECT(ADDRESS($B103,BU$50+$A103,1,1,$C$100))</f>
        <v>0.20177195079999999</v>
      </c>
      <c r="BV103" s="3" cm="1">
        <f t="array" aca="1" ref="BV103" ca="1">INDIRECT(ADDRESS($B103,BV$50+$A103,1,1,$C$100))</f>
        <v>0.1484959471</v>
      </c>
    </row>
    <row r="104" spans="1:74" x14ac:dyDescent="0.25">
      <c r="A104">
        <v>6</v>
      </c>
      <c r="B104">
        <f ca="1">MATCH($C104,INDIRECT("'"&amp;$C$100&amp;"'!A:A"),0)</f>
        <v>14</v>
      </c>
      <c r="C104" s="1" t="str">
        <f>C11</f>
        <v>Switzerland</v>
      </c>
      <c r="D104" t="str">
        <f>D103</f>
        <v>Confirmed Trend</v>
      </c>
      <c r="E104" s="3" cm="1">
        <f t="array" aca="1" ref="E104" ca="1">INDIRECT(ADDRESS($B104,E$50+$A104,1,1,$C$100))</f>
        <v>0</v>
      </c>
      <c r="F104" s="3" cm="1">
        <f t="array" aca="1" ref="F104" ca="1">INDIRECT(ADDRESS($B104,F$50+$A104,1,1,$C$100))</f>
        <v>0</v>
      </c>
      <c r="G104" s="3" cm="1">
        <f t="array" aca="1" ref="G104" ca="1">INDIRECT(ADDRESS($B104,G$50+$A104,1,1,$C$100))</f>
        <v>0</v>
      </c>
      <c r="H104" s="3" cm="1">
        <f t="array" aca="1" ref="H104" ca="1">INDIRECT(ADDRESS($B104,H$50+$A104,1,1,$C$100))</f>
        <v>0</v>
      </c>
      <c r="I104" s="3" cm="1">
        <f t="array" aca="1" ref="I104" ca="1">INDIRECT(ADDRESS($B104,I$50+$A104,1,1,$C$100))</f>
        <v>0</v>
      </c>
      <c r="J104" s="3" cm="1">
        <f t="array" aca="1" ref="J104" ca="1">INDIRECT(ADDRESS($B104,J$50+$A104,1,1,$C$100))</f>
        <v>0</v>
      </c>
      <c r="K104" s="3" cm="1">
        <f t="array" aca="1" ref="K104" ca="1">INDIRECT(ADDRESS($B104,K$50+$A104,1,1,$C$100))</f>
        <v>0</v>
      </c>
      <c r="L104" s="3" cm="1">
        <f t="array" aca="1" ref="L104" ca="1">INDIRECT(ADDRESS($B104,L$50+$A104,1,1,$C$100))</f>
        <v>0</v>
      </c>
      <c r="M104" s="3" cm="1">
        <f t="array" aca="1" ref="M104" ca="1">INDIRECT(ADDRESS($B104,M$50+$A104,1,1,$C$100))</f>
        <v>0</v>
      </c>
      <c r="N104" s="3" cm="1">
        <f t="array" aca="1" ref="N104" ca="1">INDIRECT(ADDRESS($B104,N$50+$A104,1,1,$C$100))</f>
        <v>0</v>
      </c>
      <c r="O104" s="3" cm="1">
        <f t="array" aca="1" ref="O104" ca="1">INDIRECT(ADDRESS($B104,O$50+$A104,1,1,$C$100))</f>
        <v>0</v>
      </c>
      <c r="P104" s="3" cm="1">
        <f t="array" aca="1" ref="P104" ca="1">INDIRECT(ADDRESS($B104,P$50+$A104,1,1,$C$100))</f>
        <v>0</v>
      </c>
      <c r="Q104" s="3" cm="1">
        <f t="array" aca="1" ref="Q104" ca="1">INDIRECT(ADDRESS($B104,Q$50+$A104,1,1,$C$100))</f>
        <v>0</v>
      </c>
      <c r="R104" s="3" cm="1">
        <f t="array" aca="1" ref="R104" ca="1">INDIRECT(ADDRESS($B104,R$50+$A104,1,1,$C$100))</f>
        <v>0</v>
      </c>
      <c r="S104" s="3" cm="1">
        <f t="array" aca="1" ref="S104" ca="1">INDIRECT(ADDRESS($B104,S$50+$A104,1,1,$C$100))</f>
        <v>0</v>
      </c>
      <c r="T104" s="3" cm="1">
        <f t="array" aca="1" ref="T104" ca="1">INDIRECT(ADDRESS($B104,T$50+$A104,1,1,$C$100))</f>
        <v>0</v>
      </c>
      <c r="U104" s="3" cm="1">
        <f t="array" aca="1" ref="U104" ca="1">INDIRECT(ADDRESS($B104,U$50+$A104,1,1,$C$100))</f>
        <v>0</v>
      </c>
      <c r="V104" s="3" cm="1">
        <f t="array" aca="1" ref="V104" ca="1">INDIRECT(ADDRESS($B104,V$50+$A104,1,1,$C$100))</f>
        <v>0</v>
      </c>
      <c r="W104" s="3" cm="1">
        <f t="array" aca="1" ref="W104" ca="1">INDIRECT(ADDRESS($B104,W$50+$A104,1,1,$C$100))</f>
        <v>0</v>
      </c>
      <c r="X104" s="3" cm="1">
        <f t="array" aca="1" ref="X104" ca="1">INDIRECT(ADDRESS($B104,X$50+$A104,1,1,$C$100))</f>
        <v>0</v>
      </c>
      <c r="Y104" s="3" cm="1">
        <f t="array" aca="1" ref="Y104" ca="1">INDIRECT(ADDRESS($B104,Y$50+$A104,1,1,$C$100))</f>
        <v>0</v>
      </c>
      <c r="Z104" s="3" cm="1">
        <f t="array" aca="1" ref="Z104" ca="1">INDIRECT(ADDRESS($B104,Z$50+$A104,1,1,$C$100))</f>
        <v>0</v>
      </c>
      <c r="AA104" s="3" cm="1">
        <f t="array" aca="1" ref="AA104" ca="1">INDIRECT(ADDRESS($B104,AA$50+$A104,1,1,$C$100))</f>
        <v>0</v>
      </c>
      <c r="AB104" s="3" cm="1">
        <f t="array" aca="1" ref="AB104" ca="1">INDIRECT(ADDRESS($B104,AB$50+$A104,1,1,$C$100))</f>
        <v>0</v>
      </c>
      <c r="AC104" s="3" cm="1">
        <f t="array" aca="1" ref="AC104" ca="1">INDIRECT(ADDRESS($B104,AC$50+$A104,1,1,$C$100))</f>
        <v>0</v>
      </c>
      <c r="AD104" s="3" cm="1">
        <f t="array" aca="1" ref="AD104" ca="1">INDIRECT(ADDRESS($B104,AD$50+$A104,1,1,$C$100))</f>
        <v>0</v>
      </c>
      <c r="AE104" s="3" cm="1">
        <f t="array" aca="1" ref="AE104" ca="1">INDIRECT(ADDRESS($B104,AE$50+$A104,1,1,$C$100))</f>
        <v>0</v>
      </c>
      <c r="AF104" s="3" cm="1">
        <f t="array" aca="1" ref="AF104" ca="1">INDIRECT(ADDRESS($B104,AF$50+$A104,1,1,$C$100))</f>
        <v>0</v>
      </c>
      <c r="AG104" s="3" cm="1">
        <f t="array" aca="1" ref="AG104" ca="1">INDIRECT(ADDRESS($B104,AG$50+$A104,1,1,$C$100))</f>
        <v>0</v>
      </c>
      <c r="AH104" s="3" cm="1">
        <f t="array" aca="1" ref="AH104" ca="1">INDIRECT(ADDRESS($B104,AH$50+$A104,1,1,$C$100))</f>
        <v>0</v>
      </c>
      <c r="AI104" s="3" cm="1">
        <f t="array" aca="1" ref="AI104" ca="1">INDIRECT(ADDRESS($B104,AI$50+$A104,1,1,$C$100))</f>
        <v>0</v>
      </c>
      <c r="AJ104" s="3" cm="1">
        <f t="array" aca="1" ref="AJ104" ca="1">INDIRECT(ADDRESS($B104,AJ$50+$A104,1,1,$C$100))</f>
        <v>0</v>
      </c>
      <c r="AK104" s="3" cm="1">
        <f t="array" aca="1" ref="AK104" ca="1">INDIRECT(ADDRESS($B104,AK$50+$A104,1,1,$C$100))</f>
        <v>0</v>
      </c>
      <c r="AL104" s="3" cm="1">
        <f t="array" aca="1" ref="AL104" ca="1">INDIRECT(ADDRESS($B104,AL$50+$A104,1,1,$C$100))</f>
        <v>0</v>
      </c>
      <c r="AM104" s="3" cm="1">
        <f t="array" aca="1" ref="AM104" ca="1">INDIRECT(ADDRESS($B104,AM$50+$A104,1,1,$C$100))</f>
        <v>0</v>
      </c>
      <c r="AN104" s="3" cm="1">
        <f t="array" aca="1" ref="AN104" ca="1">INDIRECT(ADDRESS($B104,AN$50+$A104,1,1,$C$100))</f>
        <v>0</v>
      </c>
      <c r="AO104" s="3" cm="1">
        <f t="array" aca="1" ref="AO104" ca="1">INDIRECT(ADDRESS($B104,AO$50+$A104,1,1,$C$100))</f>
        <v>0</v>
      </c>
      <c r="AP104" s="3" cm="1">
        <f t="array" aca="1" ref="AP104" ca="1">INDIRECT(ADDRESS($B104,AP$50+$A104,1,1,$C$100))</f>
        <v>0</v>
      </c>
      <c r="AQ104" s="3" cm="1">
        <f t="array" aca="1" ref="AQ104" ca="1">INDIRECT(ADDRESS($B104,AQ$50+$A104,1,1,$C$100))</f>
        <v>0</v>
      </c>
      <c r="AR104" s="3" cm="1">
        <f t="array" aca="1" ref="AR104" ca="1">INDIRECT(ADDRESS($B104,AR$50+$A104,1,1,$C$100))</f>
        <v>0</v>
      </c>
      <c r="AS104" s="3" cm="1">
        <f t="array" aca="1" ref="AS104" ca="1">INDIRECT(ADDRESS($B104,AS$50+$A104,1,1,$C$100))</f>
        <v>0</v>
      </c>
      <c r="AT104" s="3" cm="1">
        <f t="array" aca="1" ref="AT104" ca="1">INDIRECT(ADDRESS($B104,AT$50+$A104,1,1,$C$100))</f>
        <v>0</v>
      </c>
      <c r="AU104" s="3" cm="1">
        <f t="array" aca="1" ref="AU104" ca="1">INDIRECT(ADDRESS($B104,AU$50+$A104,1,1,$C$100))</f>
        <v>0</v>
      </c>
      <c r="AV104" s="3" cm="1">
        <f t="array" aca="1" ref="AV104" ca="1">INDIRECT(ADDRESS($B104,AV$50+$A104,1,1,$C$100))</f>
        <v>0</v>
      </c>
      <c r="AW104" s="3" cm="1">
        <f t="array" aca="1" ref="AW104" ca="1">INDIRECT(ADDRESS($B104,AW$50+$A104,1,1,$C$100))</f>
        <v>0.4805199275</v>
      </c>
      <c r="AX104" s="3" cm="1">
        <f t="array" aca="1" ref="AX104" ca="1">INDIRECT(ADDRESS($B104,AX$50+$A104,1,1,$C$100))</f>
        <v>0.4776924749</v>
      </c>
      <c r="AY104" s="3" cm="1">
        <f t="array" aca="1" ref="AY104" ca="1">INDIRECT(ADDRESS($B104,AY$50+$A104,1,1,$C$100))</f>
        <v>0.44471277510000001</v>
      </c>
      <c r="AZ104" s="3" cm="1">
        <f t="array" aca="1" ref="AZ104" ca="1">INDIRECT(ADDRESS($B104,AZ$50+$A104,1,1,$C$100))</f>
        <v>0.39300391169999999</v>
      </c>
      <c r="BA104" s="3" cm="1">
        <f t="array" aca="1" ref="BA104" ca="1">INDIRECT(ADDRESS($B104,BA$50+$A104,1,1,$C$100))</f>
        <v>0.3022130596</v>
      </c>
      <c r="BB104" s="3" cm="1">
        <f t="array" aca="1" ref="BB104" ca="1">INDIRECT(ADDRESS($B104,BB$50+$A104,1,1,$C$100))</f>
        <v>0.26309155150000002</v>
      </c>
      <c r="BC104" s="3" cm="1">
        <f t="array" aca="1" ref="BC104" ca="1">INDIRECT(ADDRESS($B104,BC$50+$A104,1,1,$C$100))</f>
        <v>0.21673258179999999</v>
      </c>
      <c r="BD104" s="3" cm="1">
        <f t="array" aca="1" ref="BD104" ca="1">INDIRECT(ADDRESS($B104,BD$50+$A104,1,1,$C$100))</f>
        <v>0.25685504809999998</v>
      </c>
      <c r="BE104" s="3" cm="1">
        <f t="array" aca="1" ref="BE104" ca="1">INDIRECT(ADDRESS($B104,BE$50+$A104,1,1,$C$100))</f>
        <v>0.2723351389</v>
      </c>
      <c r="BF104" s="3" cm="1">
        <f t="array" aca="1" ref="BF104" ca="1">INDIRECT(ADDRESS($B104,BF$50+$A104,1,1,$C$100))</f>
        <v>0.32657515079999999</v>
      </c>
      <c r="BG104" s="3" cm="1">
        <f t="array" aca="1" ref="BG104" ca="1">INDIRECT(ADDRESS($B104,BG$50+$A104,1,1,$C$100))</f>
        <v>0.33835293729999999</v>
      </c>
      <c r="BH104" s="3" cm="1">
        <f t="array" aca="1" ref="BH104" ca="1">INDIRECT(ADDRESS($B104,BH$50+$A104,1,1,$C$100))</f>
        <v>0.30567088650000002</v>
      </c>
      <c r="BI104" s="3" cm="1">
        <f t="array" aca="1" ref="BI104" ca="1">INDIRECT(ADDRESS($B104,BI$50+$A104,1,1,$C$100))</f>
        <v>0.25954379259999999</v>
      </c>
      <c r="BJ104" s="3" cm="1">
        <f t="array" aca="1" ref="BJ104" ca="1">INDIRECT(ADDRESS($B104,BJ$50+$A104,1,1,$C$100))</f>
        <v>0.20188107720000001</v>
      </c>
      <c r="BK104" s="3" cm="1">
        <f t="array" aca="1" ref="BK104" ca="1">INDIRECT(ADDRESS($B104,BK$50+$A104,1,1,$C$100))</f>
        <v>0.2112739595</v>
      </c>
      <c r="BL104" s="3" cm="1">
        <f t="array" aca="1" ref="BL104" ca="1">INDIRECT(ADDRESS($B104,BL$50+$A104,1,1,$C$100))</f>
        <v>0.22415027430000001</v>
      </c>
      <c r="BM104" s="3" cm="1">
        <f t="array" aca="1" ref="BM104" ca="1">INDIRECT(ADDRESS($B104,BM$50+$A104,1,1,$C$100))</f>
        <v>0.2497986395</v>
      </c>
      <c r="BN104" s="3" cm="1">
        <f t="array" aca="1" ref="BN104" ca="1">INDIRECT(ADDRESS($B104,BN$50+$A104,1,1,$C$100))</f>
        <v>0.23552997780000001</v>
      </c>
      <c r="BO104" s="3" cm="1">
        <f t="array" aca="1" ref="BO104" ca="1">INDIRECT(ADDRESS($B104,BO$50+$A104,1,1,$C$100))</f>
        <v>0.2050974401</v>
      </c>
      <c r="BP104" s="3" cm="1">
        <f t="array" aca="1" ref="BP104" ca="1">INDIRECT(ADDRESS($B104,BP$50+$A104,1,1,$C$100))</f>
        <v>0.16697039329999999</v>
      </c>
      <c r="BQ104" s="3" cm="1">
        <f t="array" aca="1" ref="BQ104" ca="1">INDIRECT(ADDRESS($B104,BQ$50+$A104,1,1,$C$100))</f>
        <v>0.13926163699999999</v>
      </c>
      <c r="BR104" s="3" cm="1">
        <f t="array" aca="1" ref="BR104" ca="1">INDIRECT(ADDRESS($B104,BR$50+$A104,1,1,$C$100))</f>
        <v>0.11758148879999999</v>
      </c>
      <c r="BS104" s="3" cm="1">
        <f t="array" aca="1" ref="BS104" ca="1">INDIRECT(ADDRESS($B104,BS$50+$A104,1,1,$C$100))</f>
        <v>0.10382082519999999</v>
      </c>
      <c r="BT104" s="3" cm="1">
        <f t="array" aca="1" ref="BT104" ca="1">INDIRECT(ADDRESS($B104,BT$50+$A104,1,1,$C$100))</f>
        <v>9.0612807099999998E-2</v>
      </c>
      <c r="BU104" s="3" cm="1">
        <f t="array" aca="1" ref="BU104" ca="1">INDIRECT(ADDRESS($B104,BU$50+$A104,1,1,$C$100))</f>
        <v>8.30050643E-2</v>
      </c>
      <c r="BV104" s="3" cm="1">
        <f t="array" aca="1" ref="BV104" ca="1">INDIRECT(ADDRESS($B104,BV$50+$A104,1,1,$C$100))</f>
        <v>7.3706925600000001E-2</v>
      </c>
    </row>
    <row r="105" spans="1:74" s="1" customFormat="1" x14ac:dyDescent="0.25"/>
    <row r="107" spans="1:74" s="1" customFormat="1" x14ac:dyDescent="0.25"/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B37:BV225"/>
  <sheetViews>
    <sheetView tabSelected="1" topLeftCell="M1" zoomScale="85" zoomScaleNormal="85" workbookViewId="0">
      <selection activeCell="Q37" sqref="Q37"/>
    </sheetView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7" spans="2:74" x14ac:dyDescent="0.25">
      <c r="D37" t="s">
        <v>164</v>
      </c>
      <c r="F37">
        <v>100000</v>
      </c>
    </row>
    <row r="38" spans="2:74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</row>
    <row r="39" spans="2:74" s="1" customFormat="1" x14ac:dyDescent="0.25">
      <c r="C39" s="5" t="s">
        <v>135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cm="1">
        <f t="array" aca="1" ref="BV39" ca="1">INDIRECT(ADDRESS(1,BV$38,1,1,"Confirmed Day Zero"))</f>
        <v>0</v>
      </c>
    </row>
    <row r="40" spans="2:74" x14ac:dyDescent="0.25">
      <c r="B40" s="16"/>
      <c r="C40" t="s">
        <v>69</v>
      </c>
      <c r="D40" s="18">
        <f>2^(1/2)</f>
        <v>1.4142135623730951</v>
      </c>
      <c r="E40">
        <v>50</v>
      </c>
      <c r="F40" s="21">
        <f>IF(E40*$D40&gt;$F$37,#N/A,E40*$D40)</f>
        <v>70.710678118654755</v>
      </c>
      <c r="G40" s="21">
        <f t="shared" ref="G40:BR40" si="2">IF(F40*$D40&gt;$F$37,#N/A,F40*$D40)</f>
        <v>100.00000000000001</v>
      </c>
      <c r="H40" s="21">
        <f t="shared" si="2"/>
        <v>141.42135623730954</v>
      </c>
      <c r="I40" s="21">
        <f t="shared" si="2"/>
        <v>200.00000000000006</v>
      </c>
      <c r="J40" s="21">
        <f t="shared" si="2"/>
        <v>282.84271247461913</v>
      </c>
      <c r="K40" s="21">
        <f t="shared" si="2"/>
        <v>400.00000000000023</v>
      </c>
      <c r="L40" s="21">
        <f t="shared" si="2"/>
        <v>565.68542494923838</v>
      </c>
      <c r="M40" s="21">
        <f t="shared" si="2"/>
        <v>800.00000000000057</v>
      </c>
      <c r="N40" s="21">
        <f t="shared" si="2"/>
        <v>1131.370849898477</v>
      </c>
      <c r="O40" s="21">
        <f t="shared" si="2"/>
        <v>1600.0000000000014</v>
      </c>
      <c r="P40" s="21">
        <f t="shared" si="2"/>
        <v>2262.741699796954</v>
      </c>
      <c r="Q40" s="21">
        <f t="shared" si="2"/>
        <v>3200.0000000000027</v>
      </c>
      <c r="R40" s="21">
        <f t="shared" si="2"/>
        <v>4525.483399593908</v>
      </c>
      <c r="S40" s="21">
        <f t="shared" si="2"/>
        <v>6400.0000000000055</v>
      </c>
      <c r="T40" s="21">
        <f t="shared" si="2"/>
        <v>9050.9667991878159</v>
      </c>
      <c r="U40" s="21">
        <f t="shared" si="2"/>
        <v>12800.000000000011</v>
      </c>
      <c r="V40" s="21">
        <f t="shared" si="2"/>
        <v>18101.933598375632</v>
      </c>
      <c r="W40" s="21">
        <f t="shared" si="2"/>
        <v>25600.000000000022</v>
      </c>
      <c r="X40" s="21">
        <f t="shared" si="2"/>
        <v>36203.867196751264</v>
      </c>
      <c r="Y40" s="21">
        <f t="shared" si="2"/>
        <v>51200.000000000044</v>
      </c>
      <c r="Z40" s="21">
        <f t="shared" si="2"/>
        <v>72407.734393502527</v>
      </c>
      <c r="AA40" s="21" t="e">
        <f t="shared" si="2"/>
        <v>#N/A</v>
      </c>
      <c r="AB40" s="21" t="e">
        <f t="shared" si="2"/>
        <v>#N/A</v>
      </c>
      <c r="AC40" s="21" t="e">
        <f t="shared" si="2"/>
        <v>#N/A</v>
      </c>
      <c r="AD40" s="21" t="e">
        <f t="shared" si="2"/>
        <v>#N/A</v>
      </c>
      <c r="AE40" s="21" t="e">
        <f t="shared" si="2"/>
        <v>#N/A</v>
      </c>
      <c r="AF40" s="21" t="e">
        <f t="shared" si="2"/>
        <v>#N/A</v>
      </c>
      <c r="AG40" s="21" t="e">
        <f t="shared" si="2"/>
        <v>#N/A</v>
      </c>
      <c r="AH40" s="21" t="e">
        <f t="shared" si="2"/>
        <v>#N/A</v>
      </c>
      <c r="AI40" s="21" t="e">
        <f t="shared" si="2"/>
        <v>#N/A</v>
      </c>
      <c r="AJ40" s="21" t="e">
        <f t="shared" si="2"/>
        <v>#N/A</v>
      </c>
      <c r="AK40" s="21" t="e">
        <f t="shared" si="2"/>
        <v>#N/A</v>
      </c>
      <c r="AL40" s="21" t="e">
        <f t="shared" si="2"/>
        <v>#N/A</v>
      </c>
      <c r="AM40" s="21" t="e">
        <f t="shared" si="2"/>
        <v>#N/A</v>
      </c>
      <c r="AN40" s="21" t="e">
        <f t="shared" si="2"/>
        <v>#N/A</v>
      </c>
      <c r="AO40" s="21" t="e">
        <f t="shared" si="2"/>
        <v>#N/A</v>
      </c>
      <c r="AP40" s="21" t="e">
        <f t="shared" si="2"/>
        <v>#N/A</v>
      </c>
      <c r="AQ40" s="21" t="e">
        <f t="shared" si="2"/>
        <v>#N/A</v>
      </c>
      <c r="AR40" s="21" t="e">
        <f t="shared" si="2"/>
        <v>#N/A</v>
      </c>
      <c r="AS40" s="21" t="e">
        <f t="shared" si="2"/>
        <v>#N/A</v>
      </c>
      <c r="AT40" s="21" t="e">
        <f t="shared" si="2"/>
        <v>#N/A</v>
      </c>
      <c r="AU40" s="21" t="e">
        <f t="shared" si="2"/>
        <v>#N/A</v>
      </c>
      <c r="AV40" s="21" t="e">
        <f t="shared" si="2"/>
        <v>#N/A</v>
      </c>
      <c r="AW40" s="21" t="e">
        <f t="shared" si="2"/>
        <v>#N/A</v>
      </c>
      <c r="AX40" s="21" t="e">
        <f t="shared" si="2"/>
        <v>#N/A</v>
      </c>
      <c r="AY40" s="21" t="e">
        <f t="shared" si="2"/>
        <v>#N/A</v>
      </c>
      <c r="AZ40" s="21" t="e">
        <f t="shared" si="2"/>
        <v>#N/A</v>
      </c>
      <c r="BA40" s="21" t="e">
        <f t="shared" si="2"/>
        <v>#N/A</v>
      </c>
      <c r="BB40" s="21" t="e">
        <f t="shared" si="2"/>
        <v>#N/A</v>
      </c>
      <c r="BC40" s="21" t="e">
        <f t="shared" si="2"/>
        <v>#N/A</v>
      </c>
      <c r="BD40" s="21" t="e">
        <f t="shared" si="2"/>
        <v>#N/A</v>
      </c>
      <c r="BE40" s="21" t="e">
        <f t="shared" si="2"/>
        <v>#N/A</v>
      </c>
      <c r="BF40" s="21" t="e">
        <f t="shared" si="2"/>
        <v>#N/A</v>
      </c>
      <c r="BG40" s="21" t="e">
        <f t="shared" si="2"/>
        <v>#N/A</v>
      </c>
      <c r="BH40" s="21" t="e">
        <f t="shared" si="2"/>
        <v>#N/A</v>
      </c>
      <c r="BI40" s="21" t="e">
        <f t="shared" si="2"/>
        <v>#N/A</v>
      </c>
      <c r="BJ40" s="21" t="e">
        <f t="shared" si="2"/>
        <v>#N/A</v>
      </c>
      <c r="BK40" s="21" t="e">
        <f t="shared" si="2"/>
        <v>#N/A</v>
      </c>
      <c r="BL40" s="21" t="e">
        <f t="shared" si="2"/>
        <v>#N/A</v>
      </c>
      <c r="BM40" s="21" t="e">
        <f t="shared" si="2"/>
        <v>#N/A</v>
      </c>
      <c r="BN40" s="21" t="e">
        <f t="shared" si="2"/>
        <v>#N/A</v>
      </c>
      <c r="BO40" s="21" t="e">
        <f t="shared" si="2"/>
        <v>#N/A</v>
      </c>
      <c r="BP40" s="21" t="e">
        <f t="shared" si="2"/>
        <v>#N/A</v>
      </c>
      <c r="BQ40" s="21" t="e">
        <f t="shared" si="2"/>
        <v>#N/A</v>
      </c>
      <c r="BR40" s="21" t="e">
        <f t="shared" si="2"/>
        <v>#N/A</v>
      </c>
      <c r="BS40" s="21" t="e">
        <f t="shared" ref="BS40:BV40" si="3">IF(BR40*$D40&gt;$F$37,#N/A,BR40*$D40)</f>
        <v>#N/A</v>
      </c>
      <c r="BT40" s="21" t="e">
        <f t="shared" si="3"/>
        <v>#N/A</v>
      </c>
      <c r="BU40" s="21" t="e">
        <f t="shared" si="3"/>
        <v>#N/A</v>
      </c>
      <c r="BV40" s="21" t="e">
        <f t="shared" si="3"/>
        <v>#N/A</v>
      </c>
    </row>
    <row r="41" spans="2:74" x14ac:dyDescent="0.25">
      <c r="B41" s="16"/>
      <c r="C41" t="s">
        <v>68</v>
      </c>
      <c r="D41" s="18">
        <f>2^(1/5)</f>
        <v>1.1486983549970351</v>
      </c>
      <c r="E41">
        <v>50</v>
      </c>
      <c r="F41" s="21">
        <f>IF(E41*$D41&gt;$F$37,#N/A,E41*$D41)</f>
        <v>57.434917749851756</v>
      </c>
      <c r="G41" s="21">
        <f t="shared" ref="G41:BR41" si="4">IF(F41*$D41&gt;$F$37,#N/A,F41*$D41)</f>
        <v>65.975395538644719</v>
      </c>
      <c r="H41" s="21">
        <f t="shared" si="4"/>
        <v>75.785828325519915</v>
      </c>
      <c r="I41" s="21">
        <f t="shared" si="4"/>
        <v>87.055056329612441</v>
      </c>
      <c r="J41" s="21">
        <f t="shared" si="4"/>
        <v>100.00000000000004</v>
      </c>
      <c r="K41" s="21">
        <f t="shared" si="4"/>
        <v>114.86983549970356</v>
      </c>
      <c r="L41" s="21">
        <f t="shared" si="4"/>
        <v>131.95079107728949</v>
      </c>
      <c r="M41" s="21">
        <f t="shared" si="4"/>
        <v>151.57165665103989</v>
      </c>
      <c r="N41" s="21">
        <f t="shared" si="4"/>
        <v>174.11011265922494</v>
      </c>
      <c r="O41" s="21">
        <f t="shared" si="4"/>
        <v>200.00000000000014</v>
      </c>
      <c r="P41" s="21">
        <f t="shared" si="4"/>
        <v>229.7396709994072</v>
      </c>
      <c r="Q41" s="21">
        <f t="shared" si="4"/>
        <v>263.9015821545791</v>
      </c>
      <c r="R41" s="21">
        <f t="shared" si="4"/>
        <v>303.14331330207995</v>
      </c>
      <c r="S41" s="21">
        <f t="shared" si="4"/>
        <v>348.22022531845005</v>
      </c>
      <c r="T41" s="21">
        <f t="shared" si="4"/>
        <v>400.00000000000045</v>
      </c>
      <c r="U41" s="21">
        <f t="shared" si="4"/>
        <v>459.47934199881456</v>
      </c>
      <c r="V41" s="21">
        <f t="shared" si="4"/>
        <v>527.80316430915843</v>
      </c>
      <c r="W41" s="21">
        <f t="shared" si="4"/>
        <v>606.28662660416012</v>
      </c>
      <c r="X41" s="21">
        <f t="shared" si="4"/>
        <v>696.44045063690044</v>
      </c>
      <c r="Y41" s="21">
        <f t="shared" si="4"/>
        <v>800.00000000000136</v>
      </c>
      <c r="Z41" s="21">
        <f t="shared" si="4"/>
        <v>918.95868399762969</v>
      </c>
      <c r="AA41" s="21">
        <f t="shared" si="4"/>
        <v>1055.6063286183173</v>
      </c>
      <c r="AB41" s="21">
        <f t="shared" si="4"/>
        <v>1212.5732532083207</v>
      </c>
      <c r="AC41" s="21">
        <f t="shared" si="4"/>
        <v>1392.8809012738013</v>
      </c>
      <c r="AD41" s="21">
        <f t="shared" si="4"/>
        <v>1600.0000000000032</v>
      </c>
      <c r="AE41" s="21">
        <f t="shared" si="4"/>
        <v>1837.9173679952598</v>
      </c>
      <c r="AF41" s="21">
        <f t="shared" si="4"/>
        <v>2111.2126572366356</v>
      </c>
      <c r="AG41" s="21">
        <f t="shared" si="4"/>
        <v>2425.1465064166428</v>
      </c>
      <c r="AH41" s="21">
        <f t="shared" si="4"/>
        <v>2785.761802547604</v>
      </c>
      <c r="AI41" s="21">
        <f t="shared" si="4"/>
        <v>3200.0000000000082</v>
      </c>
      <c r="AJ41" s="21">
        <f t="shared" si="4"/>
        <v>3675.8347359905215</v>
      </c>
      <c r="AK41" s="21">
        <f t="shared" si="4"/>
        <v>4222.4253144732729</v>
      </c>
      <c r="AL41" s="21">
        <f t="shared" si="4"/>
        <v>4850.2930128332873</v>
      </c>
      <c r="AM41" s="21">
        <f t="shared" si="4"/>
        <v>5571.5236050952108</v>
      </c>
      <c r="AN41" s="21">
        <f t="shared" si="4"/>
        <v>6400.0000000000191</v>
      </c>
      <c r="AO41" s="21">
        <f t="shared" si="4"/>
        <v>7351.6694719810466</v>
      </c>
      <c r="AP41" s="21">
        <f t="shared" si="4"/>
        <v>8444.8506289465495</v>
      </c>
      <c r="AQ41" s="21">
        <f t="shared" si="4"/>
        <v>9700.5860256665783</v>
      </c>
      <c r="AR41" s="21">
        <f t="shared" si="4"/>
        <v>11143.047210190425</v>
      </c>
      <c r="AS41" s="21">
        <f t="shared" si="4"/>
        <v>12800.000000000042</v>
      </c>
      <c r="AT41" s="21">
        <f t="shared" si="4"/>
        <v>14703.338943962097</v>
      </c>
      <c r="AU41" s="21">
        <f t="shared" si="4"/>
        <v>16889.701257893103</v>
      </c>
      <c r="AV41" s="21">
        <f t="shared" si="4"/>
        <v>19401.17205133316</v>
      </c>
      <c r="AW41" s="21">
        <f t="shared" si="4"/>
        <v>22286.094420380854</v>
      </c>
      <c r="AX41" s="21">
        <f t="shared" si="4"/>
        <v>25600.000000000091</v>
      </c>
      <c r="AY41" s="21">
        <f t="shared" si="4"/>
        <v>29406.677887924205</v>
      </c>
      <c r="AZ41" s="21">
        <f t="shared" si="4"/>
        <v>33779.40251578622</v>
      </c>
      <c r="BA41" s="21">
        <f t="shared" si="4"/>
        <v>38802.344102666342</v>
      </c>
      <c r="BB41" s="21">
        <f t="shared" si="4"/>
        <v>44572.18884076173</v>
      </c>
      <c r="BC41" s="21">
        <f t="shared" si="4"/>
        <v>51200.000000000204</v>
      </c>
      <c r="BD41" s="21">
        <f t="shared" si="4"/>
        <v>58813.355775848431</v>
      </c>
      <c r="BE41" s="21">
        <f t="shared" si="4"/>
        <v>67558.805031572469</v>
      </c>
      <c r="BF41" s="21">
        <f t="shared" si="4"/>
        <v>77604.688205332714</v>
      </c>
      <c r="BG41" s="21">
        <f t="shared" si="4"/>
        <v>89144.377681523503</v>
      </c>
      <c r="BH41" s="21" t="e">
        <f t="shared" si="4"/>
        <v>#N/A</v>
      </c>
      <c r="BI41" s="21" t="e">
        <f t="shared" si="4"/>
        <v>#N/A</v>
      </c>
      <c r="BJ41" s="21" t="e">
        <f t="shared" si="4"/>
        <v>#N/A</v>
      </c>
      <c r="BK41" s="21" t="e">
        <f t="shared" si="4"/>
        <v>#N/A</v>
      </c>
      <c r="BL41" s="21" t="e">
        <f t="shared" si="4"/>
        <v>#N/A</v>
      </c>
      <c r="BM41" s="21" t="e">
        <f t="shared" si="4"/>
        <v>#N/A</v>
      </c>
      <c r="BN41" s="21" t="e">
        <f t="shared" si="4"/>
        <v>#N/A</v>
      </c>
      <c r="BO41" s="21" t="e">
        <f t="shared" si="4"/>
        <v>#N/A</v>
      </c>
      <c r="BP41" s="21" t="e">
        <f t="shared" si="4"/>
        <v>#N/A</v>
      </c>
      <c r="BQ41" s="21" t="e">
        <f t="shared" si="4"/>
        <v>#N/A</v>
      </c>
      <c r="BR41" s="21" t="e">
        <f t="shared" si="4"/>
        <v>#N/A</v>
      </c>
      <c r="BS41" s="21" t="e">
        <f t="shared" ref="BS41:BV41" si="5">IF(BR41*$D41&gt;$F$37,#N/A,BR41*$D41)</f>
        <v>#N/A</v>
      </c>
      <c r="BT41" s="21" t="e">
        <f t="shared" si="5"/>
        <v>#N/A</v>
      </c>
      <c r="BU41" s="21" t="e">
        <f t="shared" si="5"/>
        <v>#N/A</v>
      </c>
      <c r="BV41" s="21" t="e">
        <f t="shared" si="5"/>
        <v>#N/A</v>
      </c>
    </row>
    <row r="42" spans="2:74" x14ac:dyDescent="0.25">
      <c r="B42" s="16"/>
      <c r="C42" s="19" t="s">
        <v>67</v>
      </c>
      <c r="D42" s="20">
        <f>2^(1/10)</f>
        <v>1.0717734625362931</v>
      </c>
      <c r="E42" s="4">
        <v>50</v>
      </c>
      <c r="F42" s="22">
        <f>IF(E42*$D42&gt;$F$37,#N/A,E42*$D42)</f>
        <v>53.588673126814655</v>
      </c>
      <c r="G42" s="22">
        <f t="shared" ref="G42:BR42" si="6">IF(F42*$D42&gt;$F$37,#N/A,F42*$D42)</f>
        <v>57.434917749851742</v>
      </c>
      <c r="H42" s="22">
        <f t="shared" si="6"/>
        <v>61.557220667245801</v>
      </c>
      <c r="I42" s="22">
        <f t="shared" si="6"/>
        <v>65.97539553864469</v>
      </c>
      <c r="J42" s="22">
        <f t="shared" si="6"/>
        <v>70.710678118654727</v>
      </c>
      <c r="K42" s="22">
        <f t="shared" si="6"/>
        <v>75.785828325519873</v>
      </c>
      <c r="L42" s="22">
        <f t="shared" si="6"/>
        <v>81.22523963562351</v>
      </c>
      <c r="M42" s="22">
        <f t="shared" si="6"/>
        <v>87.05505632961237</v>
      </c>
      <c r="N42" s="22">
        <f t="shared" si="6"/>
        <v>93.303299153680697</v>
      </c>
      <c r="O42" s="22">
        <f t="shared" si="6"/>
        <v>99.999999999999943</v>
      </c>
      <c r="P42" s="22">
        <f t="shared" si="6"/>
        <v>107.17734625362925</v>
      </c>
      <c r="Q42" s="22">
        <f t="shared" si="6"/>
        <v>114.86983549970343</v>
      </c>
      <c r="R42" s="22">
        <f t="shared" si="6"/>
        <v>123.11444133449154</v>
      </c>
      <c r="S42" s="22">
        <f t="shared" si="6"/>
        <v>131.95079107728932</v>
      </c>
      <c r="T42" s="22">
        <f t="shared" si="6"/>
        <v>141.4213562373094</v>
      </c>
      <c r="U42" s="22">
        <f t="shared" si="6"/>
        <v>151.57165665103969</v>
      </c>
      <c r="V42" s="22">
        <f t="shared" si="6"/>
        <v>162.45047927124696</v>
      </c>
      <c r="W42" s="22">
        <f t="shared" si="6"/>
        <v>174.11011265922468</v>
      </c>
      <c r="X42" s="22">
        <f t="shared" si="6"/>
        <v>186.60659830736131</v>
      </c>
      <c r="Y42" s="22">
        <f t="shared" si="6"/>
        <v>199.9999999999998</v>
      </c>
      <c r="Z42" s="22">
        <f t="shared" si="6"/>
        <v>214.35469250725842</v>
      </c>
      <c r="AA42" s="22">
        <f t="shared" si="6"/>
        <v>229.73967099940677</v>
      </c>
      <c r="AB42" s="22">
        <f t="shared" si="6"/>
        <v>246.228882668983</v>
      </c>
      <c r="AC42" s="22">
        <f t="shared" si="6"/>
        <v>263.90158215457859</v>
      </c>
      <c r="AD42" s="22">
        <f t="shared" si="6"/>
        <v>282.84271247461874</v>
      </c>
      <c r="AE42" s="22">
        <f t="shared" si="6"/>
        <v>303.14331330207932</v>
      </c>
      <c r="AF42" s="22">
        <f t="shared" si="6"/>
        <v>324.90095854249387</v>
      </c>
      <c r="AG42" s="22">
        <f t="shared" si="6"/>
        <v>348.22022531844925</v>
      </c>
      <c r="AH42" s="22">
        <f t="shared" si="6"/>
        <v>373.21319661472251</v>
      </c>
      <c r="AI42" s="22">
        <f t="shared" si="6"/>
        <v>399.99999999999949</v>
      </c>
      <c r="AJ42" s="22">
        <f t="shared" si="6"/>
        <v>428.70938501451673</v>
      </c>
      <c r="AK42" s="22">
        <f t="shared" si="6"/>
        <v>459.47934199881342</v>
      </c>
      <c r="AL42" s="22">
        <f t="shared" si="6"/>
        <v>492.4577653379659</v>
      </c>
      <c r="AM42" s="22">
        <f t="shared" si="6"/>
        <v>527.80316430915707</v>
      </c>
      <c r="AN42" s="22">
        <f t="shared" si="6"/>
        <v>565.68542494923736</v>
      </c>
      <c r="AO42" s="22">
        <f t="shared" si="6"/>
        <v>606.28662660415853</v>
      </c>
      <c r="AP42" s="22">
        <f t="shared" si="6"/>
        <v>649.80191708498762</v>
      </c>
      <c r="AQ42" s="22">
        <f t="shared" si="6"/>
        <v>696.44045063689839</v>
      </c>
      <c r="AR42" s="22">
        <f t="shared" si="6"/>
        <v>746.4263932294449</v>
      </c>
      <c r="AS42" s="22">
        <f t="shared" si="6"/>
        <v>799.99999999999886</v>
      </c>
      <c r="AT42" s="22">
        <f t="shared" si="6"/>
        <v>857.41877002903334</v>
      </c>
      <c r="AU42" s="22">
        <f t="shared" si="6"/>
        <v>918.95868399762674</v>
      </c>
      <c r="AV42" s="22">
        <f t="shared" si="6"/>
        <v>984.91553067593168</v>
      </c>
      <c r="AW42" s="22">
        <f t="shared" si="6"/>
        <v>1055.6063286183139</v>
      </c>
      <c r="AX42" s="22">
        <f t="shared" si="6"/>
        <v>1131.3708498984745</v>
      </c>
      <c r="AY42" s="22">
        <f t="shared" si="6"/>
        <v>1212.5732532083168</v>
      </c>
      <c r="AZ42" s="22">
        <f t="shared" si="6"/>
        <v>1299.603834169975</v>
      </c>
      <c r="BA42" s="22">
        <f t="shared" si="6"/>
        <v>1392.8809012737966</v>
      </c>
      <c r="BB42" s="22">
        <f t="shared" si="6"/>
        <v>1492.8527864588896</v>
      </c>
      <c r="BC42" s="22">
        <f t="shared" si="6"/>
        <v>1599.9999999999975</v>
      </c>
      <c r="BD42" s="22">
        <f t="shared" si="6"/>
        <v>1714.8375400580662</v>
      </c>
      <c r="BE42" s="22">
        <f t="shared" si="6"/>
        <v>1837.917367995253</v>
      </c>
      <c r="BF42" s="22">
        <f t="shared" si="6"/>
        <v>1969.8310613518627</v>
      </c>
      <c r="BG42" s="22">
        <f t="shared" si="6"/>
        <v>2111.2126572366269</v>
      </c>
      <c r="BH42" s="22">
        <f t="shared" si="6"/>
        <v>2262.7416997969476</v>
      </c>
      <c r="BI42" s="22">
        <f t="shared" si="6"/>
        <v>2425.1465064166323</v>
      </c>
      <c r="BJ42" s="22">
        <f t="shared" si="6"/>
        <v>2599.2076683399487</v>
      </c>
      <c r="BK42" s="22">
        <f t="shared" si="6"/>
        <v>2785.7618025475917</v>
      </c>
      <c r="BL42" s="22">
        <f t="shared" si="6"/>
        <v>2985.7055729177778</v>
      </c>
      <c r="BM42" s="22">
        <f t="shared" si="6"/>
        <v>3199.9999999999936</v>
      </c>
      <c r="BN42" s="22">
        <f t="shared" si="6"/>
        <v>3429.6750801161311</v>
      </c>
      <c r="BO42" s="22">
        <f t="shared" si="6"/>
        <v>3675.8347359905042</v>
      </c>
      <c r="BP42" s="22">
        <f t="shared" si="6"/>
        <v>3939.6621227037235</v>
      </c>
      <c r="BQ42" s="22">
        <f t="shared" si="6"/>
        <v>4222.425314473252</v>
      </c>
      <c r="BR42" s="22">
        <f t="shared" si="6"/>
        <v>4525.4833995938934</v>
      </c>
      <c r="BS42" s="22">
        <f t="shared" ref="BS42:BV42" si="7">IF(BR42*$D42&gt;$F$37,#N/A,BR42*$D42)</f>
        <v>4850.2930128332619</v>
      </c>
      <c r="BT42" s="22">
        <f t="shared" si="7"/>
        <v>5198.4153366798946</v>
      </c>
      <c r="BU42" s="22">
        <f t="shared" si="7"/>
        <v>5571.5236050951808</v>
      </c>
      <c r="BV42" s="22">
        <f t="shared" si="7"/>
        <v>5971.4111458355528</v>
      </c>
    </row>
    <row r="43" spans="2:74" x14ac:dyDescent="0.25">
      <c r="B43" s="16">
        <v>1</v>
      </c>
      <c r="C43" t="str" cm="1">
        <f t="array" aca="1" ref="C43" ca="1">INDIRECT(ADDRESS($B43+1,1,1,1,"Confirmed Day Zero"))</f>
        <v>Austria</v>
      </c>
      <c r="D43" s="1" cm="1">
        <f t="array" aca="1" ref="D43" ca="1">IF(INDIRECT(ADDRESS($B43+1,D$38,1,1,"Confirmed Day Zero"))=0,#N/A,INDIRECT(ADDRESS($B43+1,D$38,1,1,"Confirmed Day Zero")))</f>
        <v>9006398</v>
      </c>
      <c r="E43" cm="1">
        <f t="array" aca="1" ref="E43" ca="1">IF(INDIRECT(ADDRESS($B43+1,E$38,1,1,"Confirmed Day Zero"))=0,#N/A,INDIRECT(ADDRESS($B43+1,E$38,1,1,"Confirmed Day Zero")))</f>
        <v>55</v>
      </c>
      <c r="F43" cm="1">
        <f t="array" aca="1" ref="F43" ca="1">IF(INDIRECT(ADDRESS($B43+1,F$38,1,1,"Confirmed Day Zero"))=0,#N/A,INDIRECT(ADDRESS($B43+1,F$38,1,1,"Confirmed Day Zero")))</f>
        <v>79</v>
      </c>
      <c r="G43" cm="1">
        <f t="array" aca="1" ref="G43" ca="1">IF(INDIRECT(ADDRESS($B43+1,G$38,1,1,"Confirmed Day Zero"))=0,#N/A,INDIRECT(ADDRESS($B43+1,G$38,1,1,"Confirmed Day Zero")))</f>
        <v>104</v>
      </c>
      <c r="H43" cm="1">
        <f t="array" aca="1" ref="H43" ca="1">IF(INDIRECT(ADDRESS($B43+1,H$38,1,1,"Confirmed Day Zero"))=0,#N/A,INDIRECT(ADDRESS($B43+1,H$38,1,1,"Confirmed Day Zero")))</f>
        <v>131</v>
      </c>
      <c r="I43" cm="1">
        <f t="array" aca="1" ref="I43" ca="1">IF(INDIRECT(ADDRESS($B43+1,I$38,1,1,"Confirmed Day Zero"))=0,#N/A,INDIRECT(ADDRESS($B43+1,I$38,1,1,"Confirmed Day Zero")))</f>
        <v>182</v>
      </c>
      <c r="J43" cm="1">
        <f t="array" aca="1" ref="J43" ca="1">IF(INDIRECT(ADDRESS($B43+1,J$38,1,1,"Confirmed Day Zero"))=0,#N/A,INDIRECT(ADDRESS($B43+1,J$38,1,1,"Confirmed Day Zero")))</f>
        <v>246</v>
      </c>
      <c r="K43" cm="1">
        <f t="array" aca="1" ref="K43" ca="1">IF(INDIRECT(ADDRESS($B43+1,K$38,1,1,"Confirmed Day Zero"))=0,#N/A,INDIRECT(ADDRESS($B43+1,K$38,1,1,"Confirmed Day Zero")))</f>
        <v>302</v>
      </c>
      <c r="L43" cm="1">
        <f t="array" aca="1" ref="L43" ca="1">IF(INDIRECT(ADDRESS($B43+1,L$38,1,1,"Confirmed Day Zero"))=0,#N/A,INDIRECT(ADDRESS($B43+1,L$38,1,1,"Confirmed Day Zero")))</f>
        <v>504</v>
      </c>
      <c r="M43" cm="1">
        <f t="array" aca="1" ref="M43" ca="1">IF(INDIRECT(ADDRESS($B43+1,M$38,1,1,"Confirmed Day Zero"))=0,#N/A,INDIRECT(ADDRESS($B43+1,M$38,1,1,"Confirmed Day Zero")))</f>
        <v>655</v>
      </c>
      <c r="N43" cm="1">
        <f t="array" aca="1" ref="N43" ca="1">IF(INDIRECT(ADDRESS($B43+1,N$38,1,1,"Confirmed Day Zero"))=0,#N/A,INDIRECT(ADDRESS($B43+1,N$38,1,1,"Confirmed Day Zero")))</f>
        <v>860</v>
      </c>
      <c r="O43" cm="1">
        <f t="array" aca="1" ref="O43" ca="1">IF(INDIRECT(ADDRESS($B43+1,O$38,1,1,"Confirmed Day Zero"))=0,#N/A,INDIRECT(ADDRESS($B43+1,O$38,1,1,"Confirmed Day Zero")))</f>
        <v>1018</v>
      </c>
      <c r="P43" cm="1">
        <f t="array" aca="1" ref="P43" ca="1">IF(INDIRECT(ADDRESS($B43+1,P$38,1,1,"Confirmed Day Zero"))=0,#N/A,INDIRECT(ADDRESS($B43+1,P$38,1,1,"Confirmed Day Zero")))</f>
        <v>1332</v>
      </c>
      <c r="Q43" cm="1">
        <f t="array" aca="1" ref="Q43" ca="1">IF(INDIRECT(ADDRESS($B43+1,Q$38,1,1,"Confirmed Day Zero"))=0,#N/A,INDIRECT(ADDRESS($B43+1,Q$38,1,1,"Confirmed Day Zero")))</f>
        <v>1646</v>
      </c>
      <c r="R43" cm="1">
        <f t="array" aca="1" ref="R43" ca="1">IF(INDIRECT(ADDRESS($B43+1,R$38,1,1,"Confirmed Day Zero"))=0,#N/A,INDIRECT(ADDRESS($B43+1,R$38,1,1,"Confirmed Day Zero")))</f>
        <v>2013</v>
      </c>
      <c r="S43" cm="1">
        <f t="array" aca="1" ref="S43" ca="1">IF(INDIRECT(ADDRESS($B43+1,S$38,1,1,"Confirmed Day Zero"))=0,#N/A,INDIRECT(ADDRESS($B43+1,S$38,1,1,"Confirmed Day Zero")))</f>
        <v>2388</v>
      </c>
      <c r="T43" cm="1">
        <f t="array" aca="1" ref="T43" ca="1">IF(INDIRECT(ADDRESS($B43+1,T$38,1,1,"Confirmed Day Zero"))=0,#N/A,INDIRECT(ADDRESS($B43+1,T$38,1,1,"Confirmed Day Zero")))</f>
        <v>2814</v>
      </c>
      <c r="U43" cm="1">
        <f t="array" aca="1" ref="U43" ca="1">IF(INDIRECT(ADDRESS($B43+1,U$38,1,1,"Confirmed Day Zero"))=0,#N/A,INDIRECT(ADDRESS($B43+1,U$38,1,1,"Confirmed Day Zero")))</f>
        <v>3582</v>
      </c>
      <c r="V43" cm="1">
        <f t="array" aca="1" ref="V43" ca="1">IF(INDIRECT(ADDRESS($B43+1,V$38,1,1,"Confirmed Day Zero"))=0,#N/A,INDIRECT(ADDRESS($B43+1,V$38,1,1,"Confirmed Day Zero")))</f>
        <v>4474</v>
      </c>
      <c r="W43" cm="1">
        <f t="array" aca="1" ref="W43" ca="1">IF(INDIRECT(ADDRESS($B43+1,W$38,1,1,"Confirmed Day Zero"))=0,#N/A,INDIRECT(ADDRESS($B43+1,W$38,1,1,"Confirmed Day Zero")))</f>
        <v>5283</v>
      </c>
      <c r="X43" cm="1">
        <f t="array" aca="1" ref="X43" ca="1">IF(INDIRECT(ADDRESS($B43+1,X$38,1,1,"Confirmed Day Zero"))=0,#N/A,INDIRECT(ADDRESS($B43+1,X$38,1,1,"Confirmed Day Zero")))</f>
        <v>5588</v>
      </c>
      <c r="Y43" cm="1">
        <f t="array" aca="1" ref="Y43" ca="1">IF(INDIRECT(ADDRESS($B43+1,Y$38,1,1,"Confirmed Day Zero"))=0,#N/A,INDIRECT(ADDRESS($B43+1,Y$38,1,1,"Confirmed Day Zero")))</f>
        <v>6909</v>
      </c>
      <c r="Z43" cm="1">
        <f t="array" aca="1" ref="Z43" ca="1">IF(INDIRECT(ADDRESS($B43+1,Z$38,1,1,"Confirmed Day Zero"))=0,#N/A,INDIRECT(ADDRESS($B43+1,Z$38,1,1,"Confirmed Day Zero")))</f>
        <v>7657</v>
      </c>
      <c r="AA43" cm="1">
        <f t="array" aca="1" ref="AA43" ca="1">IF(INDIRECT(ADDRESS($B43+1,AA$38,1,1,"Confirmed Day Zero"))=0,#N/A,INDIRECT(ADDRESS($B43+1,AA$38,1,1,"Confirmed Day Zero")))</f>
        <v>8271</v>
      </c>
      <c r="AB43" cm="1">
        <f t="array" aca="1" ref="AB43" ca="1">IF(INDIRECT(ADDRESS($B43+1,AB$38,1,1,"Confirmed Day Zero"))=0,#N/A,INDIRECT(ADDRESS($B43+1,AB$38,1,1,"Confirmed Day Zero")))</f>
        <v>8788</v>
      </c>
      <c r="AC43" cm="1">
        <f t="array" aca="1" ref="AC43" ca="1">IF(INDIRECT(ADDRESS($B43+1,AC$38,1,1,"Confirmed Day Zero"))=0,#N/A,INDIRECT(ADDRESS($B43+1,AC$38,1,1,"Confirmed Day Zero")))</f>
        <v>9618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</row>
    <row r="44" spans="2:74" x14ac:dyDescent="0.25">
      <c r="B44" s="16">
        <f t="shared" ref="B44:B102" si="8">B43+1</f>
        <v>2</v>
      </c>
      <c r="C44" t="str" cm="1">
        <f t="array" aca="1" ref="C44" ca="1">INDIRECT(ADDRESS($B44+1,1,1,1,"Confirmed Day Zero"))</f>
        <v>Belgium</v>
      </c>
      <c r="D44" s="1" cm="1">
        <f t="array" aca="1" ref="D44" ca="1">IF(INDIRECT(ADDRESS($B44+1,D$38,1,1,"Confirmed Day Zero"))=0,#N/A,INDIRECT(ADDRESS($B44+1,D$38,1,1,"Confirmed Day Zero")))</f>
        <v>11589623</v>
      </c>
      <c r="E44" cm="1">
        <f t="array" aca="1" ref="E44" ca="1">IF(INDIRECT(ADDRESS($B44+1,E$38,1,1,"Confirmed Day Zero"))=0,#N/A,INDIRECT(ADDRESS($B44+1,E$38,1,1,"Confirmed Day Zero")))</f>
        <v>50</v>
      </c>
      <c r="F44" cm="1">
        <f t="array" aca="1" ref="F44" ca="1">IF(INDIRECT(ADDRESS($B44+1,F$38,1,1,"Confirmed Day Zero"))=0,#N/A,INDIRECT(ADDRESS($B44+1,F$38,1,1,"Confirmed Day Zero")))</f>
        <v>109</v>
      </c>
      <c r="G44" cm="1">
        <f t="array" aca="1" ref="G44" ca="1">IF(INDIRECT(ADDRESS($B44+1,G$38,1,1,"Confirmed Day Zero"))=0,#N/A,INDIRECT(ADDRESS($B44+1,G$38,1,1,"Confirmed Day Zero")))</f>
        <v>169</v>
      </c>
      <c r="H44" cm="1">
        <f t="array" aca="1" ref="H44" ca="1">IF(INDIRECT(ADDRESS($B44+1,H$38,1,1,"Confirmed Day Zero"))=0,#N/A,INDIRECT(ADDRESS($B44+1,H$38,1,1,"Confirmed Day Zero")))</f>
        <v>200</v>
      </c>
      <c r="I44" cm="1">
        <f t="array" aca="1" ref="I44" ca="1">IF(INDIRECT(ADDRESS($B44+1,I$38,1,1,"Confirmed Day Zero"))=0,#N/A,INDIRECT(ADDRESS($B44+1,I$38,1,1,"Confirmed Day Zero")))</f>
        <v>239</v>
      </c>
      <c r="J44" cm="1">
        <f t="array" aca="1" ref="J44" ca="1">IF(INDIRECT(ADDRESS($B44+1,J$38,1,1,"Confirmed Day Zero"))=0,#N/A,INDIRECT(ADDRESS($B44+1,J$38,1,1,"Confirmed Day Zero")))</f>
        <v>267</v>
      </c>
      <c r="K44" cm="1">
        <f t="array" aca="1" ref="K44" ca="1">IF(INDIRECT(ADDRESS($B44+1,K$38,1,1,"Confirmed Day Zero"))=0,#N/A,INDIRECT(ADDRESS($B44+1,K$38,1,1,"Confirmed Day Zero")))</f>
        <v>314</v>
      </c>
      <c r="L44" cm="1">
        <f t="array" aca="1" ref="L44" ca="1">IF(INDIRECT(ADDRESS($B44+1,L$38,1,1,"Confirmed Day Zero"))=0,#N/A,INDIRECT(ADDRESS($B44+1,L$38,1,1,"Confirmed Day Zero")))</f>
        <v>314</v>
      </c>
      <c r="M44" cm="1">
        <f t="array" aca="1" ref="M44" ca="1">IF(INDIRECT(ADDRESS($B44+1,M$38,1,1,"Confirmed Day Zero"))=0,#N/A,INDIRECT(ADDRESS($B44+1,M$38,1,1,"Confirmed Day Zero")))</f>
        <v>559</v>
      </c>
      <c r="N44" cm="1">
        <f t="array" aca="1" ref="N44" ca="1">IF(INDIRECT(ADDRESS($B44+1,N$38,1,1,"Confirmed Day Zero"))=0,#N/A,INDIRECT(ADDRESS($B44+1,N$38,1,1,"Confirmed Day Zero")))</f>
        <v>689</v>
      </c>
      <c r="O44" cm="1">
        <f t="array" aca="1" ref="O44" ca="1">IF(INDIRECT(ADDRESS($B44+1,O$38,1,1,"Confirmed Day Zero"))=0,#N/A,INDIRECT(ADDRESS($B44+1,O$38,1,1,"Confirmed Day Zero")))</f>
        <v>886</v>
      </c>
      <c r="P44" cm="1">
        <f t="array" aca="1" ref="P44" ca="1">IF(INDIRECT(ADDRESS($B44+1,P$38,1,1,"Confirmed Day Zero"))=0,#N/A,INDIRECT(ADDRESS($B44+1,P$38,1,1,"Confirmed Day Zero")))</f>
        <v>1058</v>
      </c>
      <c r="Q44" cm="1">
        <f t="array" aca="1" ref="Q44" ca="1">IF(INDIRECT(ADDRESS($B44+1,Q$38,1,1,"Confirmed Day Zero"))=0,#N/A,INDIRECT(ADDRESS($B44+1,Q$38,1,1,"Confirmed Day Zero")))</f>
        <v>1243</v>
      </c>
      <c r="R44" cm="1">
        <f t="array" aca="1" ref="R44" ca="1">IF(INDIRECT(ADDRESS($B44+1,R$38,1,1,"Confirmed Day Zero"))=0,#N/A,INDIRECT(ADDRESS($B44+1,R$38,1,1,"Confirmed Day Zero")))</f>
        <v>1486</v>
      </c>
      <c r="S44" cm="1">
        <f t="array" aca="1" ref="S44" ca="1">IF(INDIRECT(ADDRESS($B44+1,S$38,1,1,"Confirmed Day Zero"))=0,#N/A,INDIRECT(ADDRESS($B44+1,S$38,1,1,"Confirmed Day Zero")))</f>
        <v>1795</v>
      </c>
      <c r="T44" cm="1">
        <f t="array" aca="1" ref="T44" ca="1">IF(INDIRECT(ADDRESS($B44+1,T$38,1,1,"Confirmed Day Zero"))=0,#N/A,INDIRECT(ADDRESS($B44+1,T$38,1,1,"Confirmed Day Zero")))</f>
        <v>2257</v>
      </c>
      <c r="U44" cm="1">
        <f t="array" aca="1" ref="U44" ca="1">IF(INDIRECT(ADDRESS($B44+1,U$38,1,1,"Confirmed Day Zero"))=0,#N/A,INDIRECT(ADDRESS($B44+1,U$38,1,1,"Confirmed Day Zero")))</f>
        <v>2815</v>
      </c>
      <c r="V44" cm="1">
        <f t="array" aca="1" ref="V44" ca="1">IF(INDIRECT(ADDRESS($B44+1,V$38,1,1,"Confirmed Day Zero"))=0,#N/A,INDIRECT(ADDRESS($B44+1,V$38,1,1,"Confirmed Day Zero")))</f>
        <v>3401</v>
      </c>
      <c r="W44" cm="1">
        <f t="array" aca="1" ref="W44" ca="1">IF(INDIRECT(ADDRESS($B44+1,W$38,1,1,"Confirmed Day Zero"))=0,#N/A,INDIRECT(ADDRESS($B44+1,W$38,1,1,"Confirmed Day Zero")))</f>
        <v>3743</v>
      </c>
      <c r="X44" cm="1">
        <f t="array" aca="1" ref="X44" ca="1">IF(INDIRECT(ADDRESS($B44+1,X$38,1,1,"Confirmed Day Zero"))=0,#N/A,INDIRECT(ADDRESS($B44+1,X$38,1,1,"Confirmed Day Zero")))</f>
        <v>4269</v>
      </c>
      <c r="Y44" cm="1">
        <f t="array" aca="1" ref="Y44" ca="1">IF(INDIRECT(ADDRESS($B44+1,Y$38,1,1,"Confirmed Day Zero"))=0,#N/A,INDIRECT(ADDRESS($B44+1,Y$38,1,1,"Confirmed Day Zero")))</f>
        <v>4937</v>
      </c>
      <c r="Z44" cm="1">
        <f t="array" aca="1" ref="Z44" ca="1">IF(INDIRECT(ADDRESS($B44+1,Z$38,1,1,"Confirmed Day Zero"))=0,#N/A,INDIRECT(ADDRESS($B44+1,Z$38,1,1,"Confirmed Day Zero")))</f>
        <v>6235</v>
      </c>
      <c r="AA44" cm="1">
        <f t="array" aca="1" ref="AA44" ca="1">IF(INDIRECT(ADDRESS($B44+1,AA$38,1,1,"Confirmed Day Zero"))=0,#N/A,INDIRECT(ADDRESS($B44+1,AA$38,1,1,"Confirmed Day Zero")))</f>
        <v>7284</v>
      </c>
      <c r="AB44" cm="1">
        <f t="array" aca="1" ref="AB44" ca="1">IF(INDIRECT(ADDRESS($B44+1,AB$38,1,1,"Confirmed Day Zero"))=0,#N/A,INDIRECT(ADDRESS($B44+1,AB$38,1,1,"Confirmed Day Zero")))</f>
        <v>9134</v>
      </c>
      <c r="AC44" cm="1">
        <f t="array" aca="1" ref="AC44" ca="1">IF(INDIRECT(ADDRESS($B44+1,AC$38,1,1,"Confirmed Day Zero"))=0,#N/A,INDIRECT(ADDRESS($B44+1,AC$38,1,1,"Confirmed Day Zero")))</f>
        <v>10836</v>
      </c>
      <c r="AD44" cm="1">
        <f t="array" aca="1" ref="AD44" ca="1">IF(INDIRECT(ADDRESS($B44+1,AD$38,1,1,"Confirmed Day Zero"))=0,#N/A,INDIRECT(ADDRESS($B44+1,AD$38,1,1,"Confirmed Day Zero")))</f>
        <v>11899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</row>
    <row r="45" spans="2:74" x14ac:dyDescent="0.25">
      <c r="B45" s="16">
        <f t="shared" si="8"/>
        <v>3</v>
      </c>
      <c r="C45" t="str" cm="1">
        <f t="array" aca="1" ref="C45" ca="1">INDIRECT(ADDRESS($B45+1,1,1,1,"Confirmed Day Zero"))</f>
        <v>Canada</v>
      </c>
      <c r="D45" s="1" cm="1">
        <f t="array" aca="1" ref="D45" ca="1">IF(INDIRECT(ADDRESS($B45+1,D$38,1,1,"Confirmed Day Zero"))=0,#N/A,INDIRECT(ADDRESS($B45+1,D$38,1,1,"Confirmed Day Zero")))</f>
        <v>37742154</v>
      </c>
      <c r="E45" cm="1">
        <f t="array" aca="1" ref="E45" ca="1">IF(INDIRECT(ADDRESS($B45+1,E$38,1,1,"Confirmed Day Zero"))=0,#N/A,INDIRECT(ADDRESS($B45+1,E$38,1,1,"Confirmed Day Zero")))</f>
        <v>54</v>
      </c>
      <c r="F45" cm="1">
        <f t="array" aca="1" ref="F45" ca="1">IF(INDIRECT(ADDRESS($B45+1,F$38,1,1,"Confirmed Day Zero"))=0,#N/A,INDIRECT(ADDRESS($B45+1,F$38,1,1,"Confirmed Day Zero")))</f>
        <v>64</v>
      </c>
      <c r="G45" cm="1">
        <f t="array" aca="1" ref="G45" ca="1">IF(INDIRECT(ADDRESS($B45+1,G$38,1,1,"Confirmed Day Zero"))=0,#N/A,INDIRECT(ADDRESS($B45+1,G$38,1,1,"Confirmed Day Zero")))</f>
        <v>77</v>
      </c>
      <c r="H45" cm="1">
        <f t="array" aca="1" ref="H45" ca="1">IF(INDIRECT(ADDRESS($B45+1,H$38,1,1,"Confirmed Day Zero"))=0,#N/A,INDIRECT(ADDRESS($B45+1,H$38,1,1,"Confirmed Day Zero")))</f>
        <v>79</v>
      </c>
      <c r="I45" cm="1">
        <f t="array" aca="1" ref="I45" ca="1">IF(INDIRECT(ADDRESS($B45+1,I$38,1,1,"Confirmed Day Zero"))=0,#N/A,INDIRECT(ADDRESS($B45+1,I$38,1,1,"Confirmed Day Zero")))</f>
        <v>108</v>
      </c>
      <c r="J45" cm="1">
        <f t="array" aca="1" ref="J45" ca="1">IF(INDIRECT(ADDRESS($B45+1,J$38,1,1,"Confirmed Day Zero"))=0,#N/A,INDIRECT(ADDRESS($B45+1,J$38,1,1,"Confirmed Day Zero")))</f>
        <v>117</v>
      </c>
      <c r="K45" cm="1">
        <f t="array" aca="1" ref="K45" ca="1">IF(INDIRECT(ADDRESS($B45+1,K$38,1,1,"Confirmed Day Zero"))=0,#N/A,INDIRECT(ADDRESS($B45+1,K$38,1,1,"Confirmed Day Zero")))</f>
        <v>191</v>
      </c>
      <c r="L45" cm="1">
        <f t="array" aca="1" ref="L45" ca="1">IF(INDIRECT(ADDRESS($B45+1,L$38,1,1,"Confirmed Day Zero"))=0,#N/A,INDIRECT(ADDRESS($B45+1,L$38,1,1,"Confirmed Day Zero")))</f>
        <v>196</v>
      </c>
      <c r="M45" cm="1">
        <f t="array" aca="1" ref="M45" ca="1">IF(INDIRECT(ADDRESS($B45+1,M$38,1,1,"Confirmed Day Zero"))=0,#N/A,INDIRECT(ADDRESS($B45+1,M$38,1,1,"Confirmed Day Zero")))</f>
        <v>250</v>
      </c>
      <c r="N45" cm="1">
        <f t="array" aca="1" ref="N45" ca="1">IF(INDIRECT(ADDRESS($B45+1,N$38,1,1,"Confirmed Day Zero"))=0,#N/A,INDIRECT(ADDRESS($B45+1,N$38,1,1,"Confirmed Day Zero")))</f>
        <v>413</v>
      </c>
      <c r="O45" cm="1">
        <f t="array" aca="1" ref="O45" ca="1">IF(INDIRECT(ADDRESS($B45+1,O$38,1,1,"Confirmed Day Zero"))=0,#N/A,INDIRECT(ADDRESS($B45+1,O$38,1,1,"Confirmed Day Zero")))</f>
        <v>470</v>
      </c>
      <c r="P45" cm="1">
        <f t="array" aca="1" ref="P45" ca="1">IF(INDIRECT(ADDRESS($B45+1,P$38,1,1,"Confirmed Day Zero"))=0,#N/A,INDIRECT(ADDRESS($B45+1,P$38,1,1,"Confirmed Day Zero")))</f>
        <v>648</v>
      </c>
      <c r="Q45" cm="1">
        <f t="array" aca="1" ref="Q45" ca="1">IF(INDIRECT(ADDRESS($B45+1,Q$38,1,1,"Confirmed Day Zero"))=0,#N/A,INDIRECT(ADDRESS($B45+1,Q$38,1,1,"Confirmed Day Zero")))</f>
        <v>791</v>
      </c>
      <c r="R45" cm="1">
        <f t="array" aca="1" ref="R45" ca="1">IF(INDIRECT(ADDRESS($B45+1,R$38,1,1,"Confirmed Day Zero"))=0,#N/A,INDIRECT(ADDRESS($B45+1,R$38,1,1,"Confirmed Day Zero")))</f>
        <v>933</v>
      </c>
      <c r="S45" cm="1">
        <f t="array" aca="1" ref="S45" ca="1">IF(INDIRECT(ADDRESS($B45+1,S$38,1,1,"Confirmed Day Zero"))=0,#N/A,INDIRECT(ADDRESS($B45+1,S$38,1,1,"Confirmed Day Zero")))</f>
        <v>1267</v>
      </c>
      <c r="T45" cm="1">
        <f t="array" aca="1" ref="T45" ca="1">IF(INDIRECT(ADDRESS($B45+1,T$38,1,1,"Confirmed Day Zero"))=0,#N/A,INDIRECT(ADDRESS($B45+1,T$38,1,1,"Confirmed Day Zero")))</f>
        <v>1456</v>
      </c>
      <c r="U45" cm="1">
        <f t="array" aca="1" ref="U45" ca="1">IF(INDIRECT(ADDRESS($B45+1,U$38,1,1,"Confirmed Day Zero"))=0,#N/A,INDIRECT(ADDRESS($B45+1,U$38,1,1,"Confirmed Day Zero")))</f>
        <v>2075</v>
      </c>
      <c r="V45" cm="1">
        <f t="array" aca="1" ref="V45" ca="1">IF(INDIRECT(ADDRESS($B45+1,V$38,1,1,"Confirmed Day Zero"))=0,#N/A,INDIRECT(ADDRESS($B45+1,V$38,1,1,"Confirmed Day Zero")))</f>
        <v>2777</v>
      </c>
      <c r="W45" cm="1">
        <f t="array" aca="1" ref="W45" ca="1">IF(INDIRECT(ADDRESS($B45+1,W$38,1,1,"Confirmed Day Zero"))=0,#N/A,INDIRECT(ADDRESS($B45+1,W$38,1,1,"Confirmed Day Zero")))</f>
        <v>3238</v>
      </c>
      <c r="X45" cm="1">
        <f t="array" aca="1" ref="X45" ca="1">IF(INDIRECT(ADDRESS($B45+1,X$38,1,1,"Confirmed Day Zero"))=0,#N/A,INDIRECT(ADDRESS($B45+1,X$38,1,1,"Confirmed Day Zero")))</f>
        <v>4029</v>
      </c>
      <c r="Y45" cm="1">
        <f t="array" aca="1" ref="Y45" ca="1">IF(INDIRECT(ADDRESS($B45+1,Y$38,1,1,"Confirmed Day Zero"))=0,#N/A,INDIRECT(ADDRESS($B45+1,Y$38,1,1,"Confirmed Day Zero")))</f>
        <v>4669</v>
      </c>
      <c r="Z45" cm="1">
        <f t="array" aca="1" ref="Z45" ca="1">IF(INDIRECT(ADDRESS($B45+1,Z$38,1,1,"Confirmed Day Zero"))=0,#N/A,INDIRECT(ADDRESS($B45+1,Z$38,1,1,"Confirmed Day Zero")))</f>
        <v>5563</v>
      </c>
      <c r="AA45" cm="1">
        <f t="array" aca="1" ref="AA45" ca="1">IF(INDIRECT(ADDRESS($B45+1,AA$38,1,1,"Confirmed Day Zero"))=0,#N/A,INDIRECT(ADDRESS($B45+1,AA$38,1,1,"Confirmed Day Zero")))</f>
        <v>6267</v>
      </c>
      <c r="AB45" cm="1">
        <f t="array" aca="1" ref="AB45" ca="1">IF(INDIRECT(ADDRESS($B45+1,AB$38,1,1,"Confirmed Day Zero"))=0,#N/A,INDIRECT(ADDRESS($B45+1,AB$38,1,1,"Confirmed Day Zero")))</f>
        <v>7385</v>
      </c>
      <c r="AC45" t="e" cm="1">
        <f t="array" aca="1" ref="AC45" ca="1">IF(INDIRECT(ADDRESS($B45+1,AC$38,1,1,"Confirmed Day Zero"))=0,#N/A,INDIRECT(ADDRESS($B45+1,AC$38,1,1,"Confirmed Day Zero")))</f>
        <v>#N/A</v>
      </c>
      <c r="AD45" t="e" cm="1">
        <f t="array" aca="1" ref="AD45" ca="1">IF(INDIRECT(ADDRESS($B45+1,AD$38,1,1,"Confirmed Day Zero"))=0,#N/A,INDIRECT(ADDRESS($B45+1,AD$38,1,1,"Confirmed Day Zero")))</f>
        <v>#N/A</v>
      </c>
      <c r="AE45" t="e" cm="1">
        <f t="array" aca="1" ref="AE45" ca="1">IF(INDIRECT(ADDRESS($B45+1,AE$38,1,1,"Confirmed Day Zero"))=0,#N/A,INDIRECT(ADDRESS($B45+1,AE$38,1,1,"Confirmed Day Zero")))</f>
        <v>#N/A</v>
      </c>
      <c r="AF45" t="e" cm="1">
        <f t="array" aca="1" ref="AF45" ca="1">IF(INDIRECT(ADDRESS($B45+1,AF$38,1,1,"Confirmed Day Zero"))=0,#N/A,INDIRECT(ADDRESS($B45+1,AF$38,1,1,"Confirmed Day Zero")))</f>
        <v>#N/A</v>
      </c>
      <c r="AG45" t="e" cm="1">
        <f t="array" aca="1" ref="AG45" ca="1">IF(INDIRECT(ADDRESS($B45+1,AG$38,1,1,"Confirmed Day Zero"))=0,#N/A,INDIRECT(ADDRESS($B45+1,AG$38,1,1,"Confirmed Day Zero")))</f>
        <v>#N/A</v>
      </c>
      <c r="AH45" t="e" cm="1">
        <f t="array" aca="1" ref="AH45" ca="1">IF(INDIRECT(ADDRESS($B45+1,AH$38,1,1,"Confirmed Day Zero"))=0,#N/A,INDIRECT(ADDRESS($B45+1,AH$38,1,1,"Confirmed Day Zero")))</f>
        <v>#N/A</v>
      </c>
      <c r="AI45" t="e" cm="1">
        <f t="array" aca="1" ref="AI45" ca="1">IF(INDIRECT(ADDRESS($B45+1,AI$38,1,1,"Confirmed Day Zero"))=0,#N/A,INDIRECT(ADDRESS($B45+1,AI$38,1,1,"Confirmed Day Zero")))</f>
        <v>#N/A</v>
      </c>
      <c r="AJ45" t="e" cm="1">
        <f t="array" aca="1" ref="AJ45" ca="1">IF(INDIRECT(ADDRESS($B45+1,AJ$38,1,1,"Confirmed Day Zero"))=0,#N/A,INDIRECT(ADDRESS($B45+1,AJ$38,1,1,"Confirmed Day Zero")))</f>
        <v>#N/A</v>
      </c>
      <c r="AK45" t="e" cm="1">
        <f t="array" aca="1" ref="AK45" ca="1">IF(INDIRECT(ADDRESS($B45+1,AK$38,1,1,"Confirmed Day Zero"))=0,#N/A,INDIRECT(ADDRESS($B45+1,AK$38,1,1,"Confirmed Day Zero")))</f>
        <v>#N/A</v>
      </c>
      <c r="AL45" t="e" cm="1">
        <f t="array" aca="1" ref="AL45" ca="1">IF(INDIRECT(ADDRESS($B45+1,AL$38,1,1,"Confirmed Day Zero"))=0,#N/A,INDIRECT(ADDRESS($B45+1,AL$38,1,1,"Confirmed Day Zero")))</f>
        <v>#N/A</v>
      </c>
      <c r="AM45" t="e" cm="1">
        <f t="array" aca="1" ref="AM45" ca="1">IF(INDIRECT(ADDRESS($B45+1,AM$38,1,1,"Confirmed Day Zero"))=0,#N/A,INDIRECT(ADDRESS($B45+1,AM$38,1,1,"Confirmed Day Zero")))</f>
        <v>#N/A</v>
      </c>
      <c r="AN45" t="e" cm="1">
        <f t="array" aca="1" ref="AN45" ca="1">IF(INDIRECT(ADDRESS($B45+1,AN$38,1,1,"Confirmed Day Zero"))=0,#N/A,INDIRECT(ADDRESS($B45+1,AN$38,1,1,"Confirmed Day Zero")))</f>
        <v>#N/A</v>
      </c>
      <c r="AO45" t="e" cm="1">
        <f t="array" aca="1" ref="AO45" ca="1">IF(INDIRECT(ADDRESS($B45+1,AO$38,1,1,"Confirmed Day Zero"))=0,#N/A,INDIRECT(ADDRESS($B45+1,AO$38,1,1,"Confirmed Day Zero")))</f>
        <v>#N/A</v>
      </c>
      <c r="AP45" t="e" cm="1">
        <f t="array" aca="1" ref="AP45" ca="1">IF(INDIRECT(ADDRESS($B45+1,AP$38,1,1,"Confirmed Day Zero"))=0,#N/A,INDIRECT(ADDRESS($B45+1,AP$38,1,1,"Confirmed Day Zero")))</f>
        <v>#N/A</v>
      </c>
      <c r="AQ45" t="e" cm="1">
        <f t="array" aca="1" ref="AQ45" ca="1">IF(INDIRECT(ADDRESS($B45+1,AQ$38,1,1,"Confirmed Day Zero"))=0,#N/A,INDIRECT(ADDRESS($B45+1,AQ$38,1,1,"Confirmed Day Zero")))</f>
        <v>#N/A</v>
      </c>
      <c r="AR45" t="e" cm="1">
        <f t="array" aca="1" ref="AR45" ca="1">IF(INDIRECT(ADDRESS($B45+1,AR$38,1,1,"Confirmed Day Zero"))=0,#N/A,INDIRECT(ADDRESS($B45+1,AR$38,1,1,"Confirmed Day Zero")))</f>
        <v>#N/A</v>
      </c>
      <c r="AS45" t="e" cm="1">
        <f t="array" aca="1" ref="AS45" ca="1">IF(INDIRECT(ADDRESS($B45+1,AS$38,1,1,"Confirmed Day Zero"))=0,#N/A,INDIRECT(ADDRESS($B45+1,AS$38,1,1,"Confirmed Day Zero")))</f>
        <v>#N/A</v>
      </c>
      <c r="AT45" t="e" cm="1">
        <f t="array" aca="1" ref="AT45" ca="1">IF(INDIRECT(ADDRESS($B45+1,AT$38,1,1,"Confirmed Day Zero"))=0,#N/A,INDIRECT(ADDRESS($B45+1,AT$38,1,1,"Confirmed Day Zero")))</f>
        <v>#N/A</v>
      </c>
      <c r="AU45" t="e" cm="1">
        <f t="array" aca="1" ref="AU45" ca="1">IF(INDIRECT(ADDRESS($B45+1,AU$38,1,1,"Confirmed Day Zero"))=0,#N/A,INDIRECT(ADDRESS($B45+1,AU$38,1,1,"Confirmed Day Zero")))</f>
        <v>#N/A</v>
      </c>
      <c r="AV45" t="e" cm="1">
        <f t="array" aca="1" ref="AV45" ca="1">IF(INDIRECT(ADDRESS($B45+1,AV$38,1,1,"Confirmed Day Zero"))=0,#N/A,INDIRECT(ADDRESS($B45+1,AV$38,1,1,"Confirmed Day Zero")))</f>
        <v>#N/A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</row>
    <row r="46" spans="2:74" x14ac:dyDescent="0.25">
      <c r="B46" s="16">
        <f t="shared" si="8"/>
        <v>4</v>
      </c>
      <c r="C46" t="str" cm="1">
        <f t="array" aca="1" ref="C46" ca="1">INDIRECT(ADDRESS($B46+1,1,1,1,"Confirmed Day Zero"))</f>
        <v>China</v>
      </c>
      <c r="D46" s="1" cm="1">
        <f t="array" aca="1" ref="D46" ca="1">IF(INDIRECT(ADDRESS($B46+1,D$38,1,1,"Confirmed Day Zero"))=0,#N/A,INDIRECT(ADDRESS($B46+1,D$38,1,1,"Confirmed Day Zero")))</f>
        <v>1439323776</v>
      </c>
      <c r="E46" cm="1">
        <f t="array" aca="1" ref="E46" ca="1">IF(INDIRECT(ADDRESS($B46+1,E$38,1,1,"Confirmed Day Zero"))=0,#N/A,INDIRECT(ADDRESS($B46+1,E$38,1,1,"Confirmed Day Zero")))</f>
        <v>548</v>
      </c>
      <c r="F46" cm="1">
        <f t="array" aca="1" ref="F46" ca="1">IF(INDIRECT(ADDRESS($B46+1,F$38,1,1,"Confirmed Day Zero"))=0,#N/A,INDIRECT(ADDRESS($B46+1,F$38,1,1,"Confirmed Day Zero")))</f>
        <v>643</v>
      </c>
      <c r="G46" cm="1">
        <f t="array" aca="1" ref="G46" ca="1">IF(INDIRECT(ADDRESS($B46+1,G$38,1,1,"Confirmed Day Zero"))=0,#N/A,INDIRECT(ADDRESS($B46+1,G$38,1,1,"Confirmed Day Zero")))</f>
        <v>920</v>
      </c>
      <c r="H46" cm="1">
        <f t="array" aca="1" ref="H46" ca="1">IF(INDIRECT(ADDRESS($B46+1,H$38,1,1,"Confirmed Day Zero"))=0,#N/A,INDIRECT(ADDRESS($B46+1,H$38,1,1,"Confirmed Day Zero")))</f>
        <v>1406</v>
      </c>
      <c r="I46" cm="1">
        <f t="array" aca="1" ref="I46" ca="1">IF(INDIRECT(ADDRESS($B46+1,I$38,1,1,"Confirmed Day Zero"))=0,#N/A,INDIRECT(ADDRESS($B46+1,I$38,1,1,"Confirmed Day Zero")))</f>
        <v>2075</v>
      </c>
      <c r="J46" cm="1">
        <f t="array" aca="1" ref="J46" ca="1">IF(INDIRECT(ADDRESS($B46+1,J$38,1,1,"Confirmed Day Zero"))=0,#N/A,INDIRECT(ADDRESS($B46+1,J$38,1,1,"Confirmed Day Zero")))</f>
        <v>2877</v>
      </c>
      <c r="K46" cm="1">
        <f t="array" aca="1" ref="K46" ca="1">IF(INDIRECT(ADDRESS($B46+1,K$38,1,1,"Confirmed Day Zero"))=0,#N/A,INDIRECT(ADDRESS($B46+1,K$38,1,1,"Confirmed Day Zero")))</f>
        <v>5509</v>
      </c>
      <c r="L46" cm="1">
        <f t="array" aca="1" ref="L46" ca="1">IF(INDIRECT(ADDRESS($B46+1,L$38,1,1,"Confirmed Day Zero"))=0,#N/A,INDIRECT(ADDRESS($B46+1,L$38,1,1,"Confirmed Day Zero")))</f>
        <v>6087</v>
      </c>
      <c r="M46" cm="1">
        <f t="array" aca="1" ref="M46" ca="1">IF(INDIRECT(ADDRESS($B46+1,M$38,1,1,"Confirmed Day Zero"))=0,#N/A,INDIRECT(ADDRESS($B46+1,M$38,1,1,"Confirmed Day Zero")))</f>
        <v>8141</v>
      </c>
      <c r="N46" cm="1">
        <f t="array" aca="1" ref="N46" ca="1">IF(INDIRECT(ADDRESS($B46+1,N$38,1,1,"Confirmed Day Zero"))=0,#N/A,INDIRECT(ADDRESS($B46+1,N$38,1,1,"Confirmed Day Zero")))</f>
        <v>9802</v>
      </c>
      <c r="O46" cm="1">
        <f t="array" aca="1" ref="O46" ca="1">IF(INDIRECT(ADDRESS($B46+1,O$38,1,1,"Confirmed Day Zero"))=0,#N/A,INDIRECT(ADDRESS($B46+1,O$38,1,1,"Confirmed Day Zero")))</f>
        <v>11891</v>
      </c>
      <c r="P46" cm="1">
        <f t="array" aca="1" ref="P46" ca="1">IF(INDIRECT(ADDRESS($B46+1,P$38,1,1,"Confirmed Day Zero"))=0,#N/A,INDIRECT(ADDRESS($B46+1,P$38,1,1,"Confirmed Day Zero")))</f>
        <v>16630</v>
      </c>
      <c r="Q46" cm="1">
        <f t="array" aca="1" ref="Q46" ca="1">IF(INDIRECT(ADDRESS($B46+1,Q$38,1,1,"Confirmed Day Zero"))=0,#N/A,INDIRECT(ADDRESS($B46+1,Q$38,1,1,"Confirmed Day Zero")))</f>
        <v>19716</v>
      </c>
      <c r="R46" cm="1">
        <f t="array" aca="1" ref="R46" ca="1">IF(INDIRECT(ADDRESS($B46+1,R$38,1,1,"Confirmed Day Zero"))=0,#N/A,INDIRECT(ADDRESS($B46+1,R$38,1,1,"Confirmed Day Zero")))</f>
        <v>23707</v>
      </c>
      <c r="S46" cm="1">
        <f t="array" aca="1" ref="S46" ca="1">IF(INDIRECT(ADDRESS($B46+1,S$38,1,1,"Confirmed Day Zero"))=0,#N/A,INDIRECT(ADDRESS($B46+1,S$38,1,1,"Confirmed Day Zero")))</f>
        <v>27440</v>
      </c>
      <c r="T46" cm="1">
        <f t="array" aca="1" ref="T46" ca="1">IF(INDIRECT(ADDRESS($B46+1,T$38,1,1,"Confirmed Day Zero"))=0,#N/A,INDIRECT(ADDRESS($B46+1,T$38,1,1,"Confirmed Day Zero")))</f>
        <v>30587</v>
      </c>
      <c r="U46" cm="1">
        <f t="array" aca="1" ref="U46" ca="1">IF(INDIRECT(ADDRESS($B46+1,U$38,1,1,"Confirmed Day Zero"))=0,#N/A,INDIRECT(ADDRESS($B46+1,U$38,1,1,"Confirmed Day Zero")))</f>
        <v>34110</v>
      </c>
      <c r="V46" cm="1">
        <f t="array" aca="1" ref="V46" ca="1">IF(INDIRECT(ADDRESS($B46+1,V$38,1,1,"Confirmed Day Zero"))=0,#N/A,INDIRECT(ADDRESS($B46+1,V$38,1,1,"Confirmed Day Zero")))</f>
        <v>36814</v>
      </c>
      <c r="W46" cm="1">
        <f t="array" aca="1" ref="W46" ca="1">IF(INDIRECT(ADDRESS($B46+1,W$38,1,1,"Confirmed Day Zero"))=0,#N/A,INDIRECT(ADDRESS($B46+1,W$38,1,1,"Confirmed Day Zero")))</f>
        <v>39829</v>
      </c>
      <c r="X46" cm="1">
        <f t="array" aca="1" ref="X46" ca="1">IF(INDIRECT(ADDRESS($B46+1,X$38,1,1,"Confirmed Day Zero"))=0,#N/A,INDIRECT(ADDRESS($B46+1,X$38,1,1,"Confirmed Day Zero")))</f>
        <v>42354</v>
      </c>
      <c r="Y46" cm="1">
        <f t="array" aca="1" ref="Y46" ca="1">IF(INDIRECT(ADDRESS($B46+1,Y$38,1,1,"Confirmed Day Zero"))=0,#N/A,INDIRECT(ADDRESS($B46+1,Y$38,1,1,"Confirmed Day Zero")))</f>
        <v>44386</v>
      </c>
      <c r="Z46" cm="1">
        <f t="array" aca="1" ref="Z46" ca="1">IF(INDIRECT(ADDRESS($B46+1,Z$38,1,1,"Confirmed Day Zero"))=0,#N/A,INDIRECT(ADDRESS($B46+1,Z$38,1,1,"Confirmed Day Zero")))</f>
        <v>44759</v>
      </c>
      <c r="AA46" cm="1">
        <f t="array" aca="1" ref="AA46" ca="1">IF(INDIRECT(ADDRESS($B46+1,AA$38,1,1,"Confirmed Day Zero"))=0,#N/A,INDIRECT(ADDRESS($B46+1,AA$38,1,1,"Confirmed Day Zero")))</f>
        <v>59895</v>
      </c>
      <c r="AB46" cm="1">
        <f t="array" aca="1" ref="AB46" ca="1">IF(INDIRECT(ADDRESS($B46+1,AB$38,1,1,"Confirmed Day Zero"))=0,#N/A,INDIRECT(ADDRESS($B46+1,AB$38,1,1,"Confirmed Day Zero")))</f>
        <v>66358</v>
      </c>
      <c r="AC46" cm="1">
        <f t="array" aca="1" ref="AC46" ca="1">IF(INDIRECT(ADDRESS($B46+1,AC$38,1,1,"Confirmed Day Zero"))=0,#N/A,INDIRECT(ADDRESS($B46+1,AC$38,1,1,"Confirmed Day Zero")))</f>
        <v>68413</v>
      </c>
      <c r="AD46" cm="1">
        <f t="array" aca="1" ref="AD46" ca="1">IF(INDIRECT(ADDRESS($B46+1,AD$38,1,1,"Confirmed Day Zero"))=0,#N/A,INDIRECT(ADDRESS($B46+1,AD$38,1,1,"Confirmed Day Zero")))</f>
        <v>70513</v>
      </c>
      <c r="AE46" cm="1">
        <f t="array" aca="1" ref="AE46" ca="1">IF(INDIRECT(ADDRESS($B46+1,AE$38,1,1,"Confirmed Day Zero"))=0,#N/A,INDIRECT(ADDRESS($B46+1,AE$38,1,1,"Confirmed Day Zero")))</f>
        <v>72434</v>
      </c>
      <c r="AF46" cm="1">
        <f t="array" aca="1" ref="AF46" ca="1">IF(INDIRECT(ADDRESS($B46+1,AF$38,1,1,"Confirmed Day Zero"))=0,#N/A,INDIRECT(ADDRESS($B46+1,AF$38,1,1,"Confirmed Day Zero")))</f>
        <v>74211</v>
      </c>
      <c r="AG46" cm="1">
        <f t="array" aca="1" ref="AG46" ca="1">IF(INDIRECT(ADDRESS($B46+1,AG$38,1,1,"Confirmed Day Zero"))=0,#N/A,INDIRECT(ADDRESS($B46+1,AG$38,1,1,"Confirmed Day Zero")))</f>
        <v>74619</v>
      </c>
      <c r="AH46" cm="1">
        <f t="array" aca="1" ref="AH46" ca="1">IF(INDIRECT(ADDRESS($B46+1,AH$38,1,1,"Confirmed Day Zero"))=0,#N/A,INDIRECT(ADDRESS($B46+1,AH$38,1,1,"Confirmed Day Zero")))</f>
        <v>75077</v>
      </c>
      <c r="AI46" cm="1">
        <f t="array" aca="1" ref="AI46" ca="1">IF(INDIRECT(ADDRESS($B46+1,AI$38,1,1,"Confirmed Day Zero"))=0,#N/A,INDIRECT(ADDRESS($B46+1,AI$38,1,1,"Confirmed Day Zero")))</f>
        <v>75550</v>
      </c>
      <c r="AJ46" cm="1">
        <f t="array" aca="1" ref="AJ46" ca="1">IF(INDIRECT(ADDRESS($B46+1,AJ$38,1,1,"Confirmed Day Zero"))=0,#N/A,INDIRECT(ADDRESS($B46+1,AJ$38,1,1,"Confirmed Day Zero")))</f>
        <v>77001</v>
      </c>
      <c r="AK46" cm="1">
        <f t="array" aca="1" ref="AK46" ca="1">IF(INDIRECT(ADDRESS($B46+1,AK$38,1,1,"Confirmed Day Zero"))=0,#N/A,INDIRECT(ADDRESS($B46+1,AK$38,1,1,"Confirmed Day Zero")))</f>
        <v>77022</v>
      </c>
      <c r="AL46" cm="1">
        <f t="array" aca="1" ref="AL46" ca="1">IF(INDIRECT(ADDRESS($B46+1,AL$38,1,1,"Confirmed Day Zero"))=0,#N/A,INDIRECT(ADDRESS($B46+1,AL$38,1,1,"Confirmed Day Zero")))</f>
        <v>77241</v>
      </c>
      <c r="AM46" cm="1">
        <f t="array" aca="1" ref="AM46" ca="1">IF(INDIRECT(ADDRESS($B46+1,AM$38,1,1,"Confirmed Day Zero"))=0,#N/A,INDIRECT(ADDRESS($B46+1,AM$38,1,1,"Confirmed Day Zero")))</f>
        <v>77754</v>
      </c>
      <c r="AN46" cm="1">
        <f t="array" aca="1" ref="AN46" ca="1">IF(INDIRECT(ADDRESS($B46+1,AN$38,1,1,"Confirmed Day Zero"))=0,#N/A,INDIRECT(ADDRESS($B46+1,AN$38,1,1,"Confirmed Day Zero")))</f>
        <v>78166</v>
      </c>
      <c r="AO46" cm="1">
        <f t="array" aca="1" ref="AO46" ca="1">IF(INDIRECT(ADDRESS($B46+1,AO$38,1,1,"Confirmed Day Zero"))=0,#N/A,INDIRECT(ADDRESS($B46+1,AO$38,1,1,"Confirmed Day Zero")))</f>
        <v>78600</v>
      </c>
      <c r="AP46" cm="1">
        <f t="array" aca="1" ref="AP46" ca="1">IF(INDIRECT(ADDRESS($B46+1,AP$38,1,1,"Confirmed Day Zero"))=0,#N/A,INDIRECT(ADDRESS($B46+1,AP$38,1,1,"Confirmed Day Zero")))</f>
        <v>78928</v>
      </c>
      <c r="AQ46" cm="1">
        <f t="array" aca="1" ref="AQ46" ca="1">IF(INDIRECT(ADDRESS($B46+1,AQ$38,1,1,"Confirmed Day Zero"))=0,#N/A,INDIRECT(ADDRESS($B46+1,AQ$38,1,1,"Confirmed Day Zero")))</f>
        <v>79356</v>
      </c>
      <c r="AR46" cm="1">
        <f t="array" aca="1" ref="AR46" ca="1">IF(INDIRECT(ADDRESS($B46+1,AR$38,1,1,"Confirmed Day Zero"))=0,#N/A,INDIRECT(ADDRESS($B46+1,AR$38,1,1,"Confirmed Day Zero")))</f>
        <v>79932</v>
      </c>
      <c r="AS46" cm="1">
        <f t="array" aca="1" ref="AS46" ca="1">IF(INDIRECT(ADDRESS($B46+1,AS$38,1,1,"Confirmed Day Zero"))=0,#N/A,INDIRECT(ADDRESS($B46+1,AS$38,1,1,"Confirmed Day Zero")))</f>
        <v>80136</v>
      </c>
      <c r="AT46" cm="1">
        <f t="array" aca="1" ref="AT46" ca="1">IF(INDIRECT(ADDRESS($B46+1,AT$38,1,1,"Confirmed Day Zero"))=0,#N/A,INDIRECT(ADDRESS($B46+1,AT$38,1,1,"Confirmed Day Zero")))</f>
        <v>80261</v>
      </c>
      <c r="AU46" cm="1">
        <f t="array" aca="1" ref="AU46" ca="1">IF(INDIRECT(ADDRESS($B46+1,AU$38,1,1,"Confirmed Day Zero"))=0,#N/A,INDIRECT(ADDRESS($B46+1,AU$38,1,1,"Confirmed Day Zero")))</f>
        <v>80386</v>
      </c>
      <c r="AV46" cm="1">
        <f t="array" aca="1" ref="AV46" ca="1">IF(INDIRECT(ADDRESS($B46+1,AV$38,1,1,"Confirmed Day Zero"))=0,#N/A,INDIRECT(ADDRESS($B46+1,AV$38,1,1,"Confirmed Day Zero")))</f>
        <v>80537</v>
      </c>
      <c r="AW46" cm="1">
        <f t="array" aca="1" ref="AW46" ca="1">IF(INDIRECT(ADDRESS($B46+1,AW$38,1,1,"Confirmed Day Zero"))=0,#N/A,INDIRECT(ADDRESS($B46+1,AW$38,1,1,"Confirmed Day Zero")))</f>
        <v>80690</v>
      </c>
      <c r="AX46" cm="1">
        <f t="array" aca="1" ref="AX46" ca="1">IF(INDIRECT(ADDRESS($B46+1,AX$38,1,1,"Confirmed Day Zero"))=0,#N/A,INDIRECT(ADDRESS($B46+1,AX$38,1,1,"Confirmed Day Zero")))</f>
        <v>80770</v>
      </c>
      <c r="AY46" cm="1">
        <f t="array" aca="1" ref="AY46" ca="1">IF(INDIRECT(ADDRESS($B46+1,AY$38,1,1,"Confirmed Day Zero"))=0,#N/A,INDIRECT(ADDRESS($B46+1,AY$38,1,1,"Confirmed Day Zero")))</f>
        <v>80823</v>
      </c>
      <c r="AZ46" cm="1">
        <f t="array" aca="1" ref="AZ46" ca="1">IF(INDIRECT(ADDRESS($B46+1,AZ$38,1,1,"Confirmed Day Zero"))=0,#N/A,INDIRECT(ADDRESS($B46+1,AZ$38,1,1,"Confirmed Day Zero")))</f>
        <v>80860</v>
      </c>
      <c r="BA46" cm="1">
        <f t="array" aca="1" ref="BA46" ca="1">IF(INDIRECT(ADDRESS($B46+1,BA$38,1,1,"Confirmed Day Zero"))=0,#N/A,INDIRECT(ADDRESS($B46+1,BA$38,1,1,"Confirmed Day Zero")))</f>
        <v>80887</v>
      </c>
      <c r="BB46" cm="1">
        <f t="array" aca="1" ref="BB46" ca="1">IF(INDIRECT(ADDRESS($B46+1,BB$38,1,1,"Confirmed Day Zero"))=0,#N/A,INDIRECT(ADDRESS($B46+1,BB$38,1,1,"Confirmed Day Zero")))</f>
        <v>80921</v>
      </c>
      <c r="BC46" cm="1">
        <f t="array" aca="1" ref="BC46" ca="1">IF(INDIRECT(ADDRESS($B46+1,BC$38,1,1,"Confirmed Day Zero"))=0,#N/A,INDIRECT(ADDRESS($B46+1,BC$38,1,1,"Confirmed Day Zero")))</f>
        <v>80932</v>
      </c>
      <c r="BD46" cm="1">
        <f t="array" aca="1" ref="BD46" ca="1">IF(INDIRECT(ADDRESS($B46+1,BD$38,1,1,"Confirmed Day Zero"))=0,#N/A,INDIRECT(ADDRESS($B46+1,BD$38,1,1,"Confirmed Day Zero")))</f>
        <v>80945</v>
      </c>
      <c r="BE46" cm="1">
        <f t="array" aca="1" ref="BE46" ca="1">IF(INDIRECT(ADDRESS($B46+1,BE$38,1,1,"Confirmed Day Zero"))=0,#N/A,INDIRECT(ADDRESS($B46+1,BE$38,1,1,"Confirmed Day Zero")))</f>
        <v>80977</v>
      </c>
      <c r="BF46" cm="1">
        <f t="array" aca="1" ref="BF46" ca="1">IF(INDIRECT(ADDRESS($B46+1,BF$38,1,1,"Confirmed Day Zero"))=0,#N/A,INDIRECT(ADDRESS($B46+1,BF$38,1,1,"Confirmed Day Zero")))</f>
        <v>81003</v>
      </c>
      <c r="BG46" cm="1">
        <f t="array" aca="1" ref="BG46" ca="1">IF(INDIRECT(ADDRESS($B46+1,BG$38,1,1,"Confirmed Day Zero"))=0,#N/A,INDIRECT(ADDRESS($B46+1,BG$38,1,1,"Confirmed Day Zero")))</f>
        <v>81033</v>
      </c>
      <c r="BH46" cm="1">
        <f t="array" aca="1" ref="BH46" ca="1">IF(INDIRECT(ADDRESS($B46+1,BH$38,1,1,"Confirmed Day Zero"))=0,#N/A,INDIRECT(ADDRESS($B46+1,BH$38,1,1,"Confirmed Day Zero")))</f>
        <v>81058</v>
      </c>
      <c r="BI46" cm="1">
        <f t="array" aca="1" ref="BI46" ca="1">IF(INDIRECT(ADDRESS($B46+1,BI$38,1,1,"Confirmed Day Zero"))=0,#N/A,INDIRECT(ADDRESS($B46+1,BI$38,1,1,"Confirmed Day Zero")))</f>
        <v>81102</v>
      </c>
      <c r="BJ46" cm="1">
        <f t="array" aca="1" ref="BJ46" ca="1">IF(INDIRECT(ADDRESS($B46+1,BJ$38,1,1,"Confirmed Day Zero"))=0,#N/A,INDIRECT(ADDRESS($B46+1,BJ$38,1,1,"Confirmed Day Zero")))</f>
        <v>81156</v>
      </c>
      <c r="BK46" cm="1">
        <f t="array" aca="1" ref="BK46" ca="1">IF(INDIRECT(ADDRESS($B46+1,BK$38,1,1,"Confirmed Day Zero"))=0,#N/A,INDIRECT(ADDRESS($B46+1,BK$38,1,1,"Confirmed Day Zero")))</f>
        <v>81250</v>
      </c>
      <c r="BL46" cm="1">
        <f t="array" aca="1" ref="BL46" ca="1">IF(INDIRECT(ADDRESS($B46+1,BL$38,1,1,"Confirmed Day Zero"))=0,#N/A,INDIRECT(ADDRESS($B46+1,BL$38,1,1,"Confirmed Day Zero")))</f>
        <v>81305</v>
      </c>
      <c r="BM46" cm="1">
        <f t="array" aca="1" ref="BM46" ca="1">IF(INDIRECT(ADDRESS($B46+1,BM$38,1,1,"Confirmed Day Zero"))=0,#N/A,INDIRECT(ADDRESS($B46+1,BM$38,1,1,"Confirmed Day Zero")))</f>
        <v>81435</v>
      </c>
      <c r="BN46" cm="1">
        <f t="array" aca="1" ref="BN46" ca="1">IF(INDIRECT(ADDRESS($B46+1,BN$38,1,1,"Confirmed Day Zero"))=0,#N/A,INDIRECT(ADDRESS($B46+1,BN$38,1,1,"Confirmed Day Zero")))</f>
        <v>81498</v>
      </c>
      <c r="BO46" cm="1">
        <f t="array" aca="1" ref="BO46" ca="1">IF(INDIRECT(ADDRESS($B46+1,BO$38,1,1,"Confirmed Day Zero"))=0,#N/A,INDIRECT(ADDRESS($B46+1,BO$38,1,1,"Confirmed Day Zero")))</f>
        <v>81591</v>
      </c>
      <c r="BP46" cm="1">
        <f t="array" aca="1" ref="BP46" ca="1">IF(INDIRECT(ADDRESS($B46+1,BP$38,1,1,"Confirmed Day Zero"))=0,#N/A,INDIRECT(ADDRESS($B46+1,BP$38,1,1,"Confirmed Day Zero")))</f>
        <v>81661</v>
      </c>
      <c r="BQ46" cm="1">
        <f t="array" aca="1" ref="BQ46" ca="1">IF(INDIRECT(ADDRESS($B46+1,BQ$38,1,1,"Confirmed Day Zero"))=0,#N/A,INDIRECT(ADDRESS($B46+1,BQ$38,1,1,"Confirmed Day Zero")))</f>
        <v>81782</v>
      </c>
      <c r="BR46" cm="1">
        <f t="array" aca="1" ref="BR46" ca="1">IF(INDIRECT(ADDRESS($B46+1,BR$38,1,1,"Confirmed Day Zero"))=0,#N/A,INDIRECT(ADDRESS($B46+1,BR$38,1,1,"Confirmed Day Zero")))</f>
        <v>81897</v>
      </c>
      <c r="BS46" cm="1">
        <f t="array" aca="1" ref="BS46" ca="1">IF(INDIRECT(ADDRESS($B46+1,BS$38,1,1,"Confirmed Day Zero"))=0,#N/A,INDIRECT(ADDRESS($B46+1,BS$38,1,1,"Confirmed Day Zero")))</f>
        <v>81999</v>
      </c>
      <c r="BT46" cm="1">
        <f t="array" aca="1" ref="BT46" ca="1">IF(INDIRECT(ADDRESS($B46+1,BT$38,1,1,"Confirmed Day Zero"))=0,#N/A,INDIRECT(ADDRESS($B46+1,BT$38,1,1,"Confirmed Day Zero")))</f>
        <v>82122</v>
      </c>
      <c r="BU46" cm="1">
        <f t="array" aca="1" ref="BU46" ca="1">IF(INDIRECT(ADDRESS($B46+1,BU$38,1,1,"Confirmed Day Zero"))=0,#N/A,INDIRECT(ADDRESS($B46+1,BU$38,1,1,"Confirmed Day Zero")))</f>
        <v>82198</v>
      </c>
      <c r="BV46" t="e" cm="1">
        <f t="array" aca="1" ref="BV46" ca="1">IF(INDIRECT(ADDRESS($B46+1,BV$38,1,1,"Confirmed Day Zero"))=0,#N/A,INDIRECT(ADDRESS($B46+1,BV$38,1,1,"Confirmed Day Zero")))</f>
        <v>#N/A</v>
      </c>
    </row>
    <row r="47" spans="2:74" x14ac:dyDescent="0.25">
      <c r="B47" s="16">
        <f t="shared" si="8"/>
        <v>5</v>
      </c>
      <c r="C47" t="str" cm="1">
        <f t="array" aca="1" ref="C47" ca="1">INDIRECT(ADDRESS($B47+1,1,1,1,"Confirmed Day Zero"))</f>
        <v>France</v>
      </c>
      <c r="D47" s="1" cm="1">
        <f t="array" aca="1" ref="D47" ca="1">IF(INDIRECT(ADDRESS($B47+1,D$38,1,1,"Confirmed Day Zero"))=0,#N/A,INDIRECT(ADDRESS($B47+1,D$38,1,1,"Confirmed Day Zero")))</f>
        <v>65273511</v>
      </c>
      <c r="E47" cm="1">
        <f t="array" aca="1" ref="E47" ca="1">IF(INDIRECT(ADDRESS($B47+1,E$38,1,1,"Confirmed Day Zero"))=0,#N/A,INDIRECT(ADDRESS($B47+1,E$38,1,1,"Confirmed Day Zero")))</f>
        <v>57</v>
      </c>
      <c r="F47" cm="1">
        <f t="array" aca="1" ref="F47" ca="1">IF(INDIRECT(ADDRESS($B47+1,F$38,1,1,"Confirmed Day Zero"))=0,#N/A,INDIRECT(ADDRESS($B47+1,F$38,1,1,"Confirmed Day Zero")))</f>
        <v>100</v>
      </c>
      <c r="G47" cm="1">
        <f t="array" aca="1" ref="G47" ca="1">IF(INDIRECT(ADDRESS($B47+1,G$38,1,1,"Confirmed Day Zero"))=0,#N/A,INDIRECT(ADDRESS($B47+1,G$38,1,1,"Confirmed Day Zero")))</f>
        <v>130</v>
      </c>
      <c r="H47" cm="1">
        <f t="array" aca="1" ref="H47" ca="1">IF(INDIRECT(ADDRESS($B47+1,H$38,1,1,"Confirmed Day Zero"))=0,#N/A,INDIRECT(ADDRESS($B47+1,H$38,1,1,"Confirmed Day Zero")))</f>
        <v>191</v>
      </c>
      <c r="I47" cm="1">
        <f t="array" aca="1" ref="I47" ca="1">IF(INDIRECT(ADDRESS($B47+1,I$38,1,1,"Confirmed Day Zero"))=0,#N/A,INDIRECT(ADDRESS($B47+1,I$38,1,1,"Confirmed Day Zero")))</f>
        <v>204</v>
      </c>
      <c r="J47" cm="1">
        <f t="array" aca="1" ref="J47" ca="1">IF(INDIRECT(ADDRESS($B47+1,J$38,1,1,"Confirmed Day Zero"))=0,#N/A,INDIRECT(ADDRESS($B47+1,J$38,1,1,"Confirmed Day Zero")))</f>
        <v>285</v>
      </c>
      <c r="K47" cm="1">
        <f t="array" aca="1" ref="K47" ca="1">IF(INDIRECT(ADDRESS($B47+1,K$38,1,1,"Confirmed Day Zero"))=0,#N/A,INDIRECT(ADDRESS($B47+1,K$38,1,1,"Confirmed Day Zero")))</f>
        <v>377</v>
      </c>
      <c r="L47" cm="1">
        <f t="array" aca="1" ref="L47" ca="1">IF(INDIRECT(ADDRESS($B47+1,L$38,1,1,"Confirmed Day Zero"))=0,#N/A,INDIRECT(ADDRESS($B47+1,L$38,1,1,"Confirmed Day Zero")))</f>
        <v>653</v>
      </c>
      <c r="M47" cm="1">
        <f t="array" aca="1" ref="M47" ca="1">IF(INDIRECT(ADDRESS($B47+1,M$38,1,1,"Confirmed Day Zero"))=0,#N/A,INDIRECT(ADDRESS($B47+1,M$38,1,1,"Confirmed Day Zero")))</f>
        <v>949</v>
      </c>
      <c r="N47" cm="1">
        <f t="array" aca="1" ref="N47" ca="1">IF(INDIRECT(ADDRESS($B47+1,N$38,1,1,"Confirmed Day Zero"))=0,#N/A,INDIRECT(ADDRESS($B47+1,N$38,1,1,"Confirmed Day Zero")))</f>
        <v>1126</v>
      </c>
      <c r="O47" cm="1">
        <f t="array" aca="1" ref="O47" ca="1">IF(INDIRECT(ADDRESS($B47+1,O$38,1,1,"Confirmed Day Zero"))=0,#N/A,INDIRECT(ADDRESS($B47+1,O$38,1,1,"Confirmed Day Zero")))</f>
        <v>1209</v>
      </c>
      <c r="P47" cm="1">
        <f t="array" aca="1" ref="P47" ca="1">IF(INDIRECT(ADDRESS($B47+1,P$38,1,1,"Confirmed Day Zero"))=0,#N/A,INDIRECT(ADDRESS($B47+1,P$38,1,1,"Confirmed Day Zero")))</f>
        <v>1784</v>
      </c>
      <c r="Q47" cm="1">
        <f t="array" aca="1" ref="Q47" ca="1">IF(INDIRECT(ADDRESS($B47+1,Q$38,1,1,"Confirmed Day Zero"))=0,#N/A,INDIRECT(ADDRESS($B47+1,Q$38,1,1,"Confirmed Day Zero")))</f>
        <v>2281</v>
      </c>
      <c r="R47" cm="1">
        <f t="array" aca="1" ref="R47" ca="1">IF(INDIRECT(ADDRESS($B47+1,R$38,1,1,"Confirmed Day Zero"))=0,#N/A,INDIRECT(ADDRESS($B47+1,R$38,1,1,"Confirmed Day Zero")))</f>
        <v>2281</v>
      </c>
      <c r="S47" cm="1">
        <f t="array" aca="1" ref="S47" ca="1">IF(INDIRECT(ADDRESS($B47+1,S$38,1,1,"Confirmed Day Zero"))=0,#N/A,INDIRECT(ADDRESS($B47+1,S$38,1,1,"Confirmed Day Zero")))</f>
        <v>3661</v>
      </c>
      <c r="T47" cm="1">
        <f t="array" aca="1" ref="T47" ca="1">IF(INDIRECT(ADDRESS($B47+1,T$38,1,1,"Confirmed Day Zero"))=0,#N/A,INDIRECT(ADDRESS($B47+1,T$38,1,1,"Confirmed Day Zero")))</f>
        <v>4469</v>
      </c>
      <c r="U47" cm="1">
        <f t="array" aca="1" ref="U47" ca="1">IF(INDIRECT(ADDRESS($B47+1,U$38,1,1,"Confirmed Day Zero"))=0,#N/A,INDIRECT(ADDRESS($B47+1,U$38,1,1,"Confirmed Day Zero")))</f>
        <v>4499</v>
      </c>
      <c r="V47" cm="1">
        <f t="array" aca="1" ref="V47" ca="1">IF(INDIRECT(ADDRESS($B47+1,V$38,1,1,"Confirmed Day Zero"))=0,#N/A,INDIRECT(ADDRESS($B47+1,V$38,1,1,"Confirmed Day Zero")))</f>
        <v>6633</v>
      </c>
      <c r="W47" cm="1">
        <f t="array" aca="1" ref="W47" ca="1">IF(INDIRECT(ADDRESS($B47+1,W$38,1,1,"Confirmed Day Zero"))=0,#N/A,INDIRECT(ADDRESS($B47+1,W$38,1,1,"Confirmed Day Zero")))</f>
        <v>7652</v>
      </c>
      <c r="X47" cm="1">
        <f t="array" aca="1" ref="X47" ca="1">IF(INDIRECT(ADDRESS($B47+1,X$38,1,1,"Confirmed Day Zero"))=0,#N/A,INDIRECT(ADDRESS($B47+1,X$38,1,1,"Confirmed Day Zero")))</f>
        <v>9043</v>
      </c>
      <c r="Y47" cm="1">
        <f t="array" aca="1" ref="Y47" ca="1">IF(INDIRECT(ADDRESS($B47+1,Y$38,1,1,"Confirmed Day Zero"))=0,#N/A,INDIRECT(ADDRESS($B47+1,Y$38,1,1,"Confirmed Day Zero")))</f>
        <v>10871</v>
      </c>
      <c r="Z47" cm="1">
        <f t="array" aca="1" ref="Z47" ca="1">IF(INDIRECT(ADDRESS($B47+1,Z$38,1,1,"Confirmed Day Zero"))=0,#N/A,INDIRECT(ADDRESS($B47+1,Z$38,1,1,"Confirmed Day Zero")))</f>
        <v>12612</v>
      </c>
      <c r="AA47" cm="1">
        <f t="array" aca="1" ref="AA47" ca="1">IF(INDIRECT(ADDRESS($B47+1,AA$38,1,1,"Confirmed Day Zero"))=0,#N/A,INDIRECT(ADDRESS($B47+1,AA$38,1,1,"Confirmed Day Zero")))</f>
        <v>14282</v>
      </c>
      <c r="AB47" cm="1">
        <f t="array" aca="1" ref="AB47" ca="1">IF(INDIRECT(ADDRESS($B47+1,AB$38,1,1,"Confirmed Day Zero"))=0,#N/A,INDIRECT(ADDRESS($B47+1,AB$38,1,1,"Confirmed Day Zero")))</f>
        <v>16018</v>
      </c>
      <c r="AC47" cm="1">
        <f t="array" aca="1" ref="AC47" ca="1">IF(INDIRECT(ADDRESS($B47+1,AC$38,1,1,"Confirmed Day Zero"))=0,#N/A,INDIRECT(ADDRESS($B47+1,AC$38,1,1,"Confirmed Day Zero")))</f>
        <v>19856</v>
      </c>
      <c r="AD47" cm="1">
        <f t="array" aca="1" ref="AD47" ca="1">IF(INDIRECT(ADDRESS($B47+1,AD$38,1,1,"Confirmed Day Zero"))=0,#N/A,INDIRECT(ADDRESS($B47+1,AD$38,1,1,"Confirmed Day Zero")))</f>
        <v>22304</v>
      </c>
      <c r="AE47" cm="1">
        <f t="array" aca="1" ref="AE47" ca="1">IF(INDIRECT(ADDRESS($B47+1,AE$38,1,1,"Confirmed Day Zero"))=0,#N/A,INDIRECT(ADDRESS($B47+1,AE$38,1,1,"Confirmed Day Zero")))</f>
        <v>25233</v>
      </c>
      <c r="AF47" cm="1">
        <f t="array" aca="1" ref="AF47" ca="1">IF(INDIRECT(ADDRESS($B47+1,AF$38,1,1,"Confirmed Day Zero"))=0,#N/A,INDIRECT(ADDRESS($B47+1,AF$38,1,1,"Confirmed Day Zero")))</f>
        <v>29155</v>
      </c>
      <c r="AG47" cm="1">
        <f t="array" aca="1" ref="AG47" ca="1">IF(INDIRECT(ADDRESS($B47+1,AG$38,1,1,"Confirmed Day Zero"))=0,#N/A,INDIRECT(ADDRESS($B47+1,AG$38,1,1,"Confirmed Day Zero")))</f>
        <v>32964</v>
      </c>
      <c r="AH47" cm="1">
        <f t="array" aca="1" ref="AH47" ca="1">IF(INDIRECT(ADDRESS($B47+1,AH$38,1,1,"Confirmed Day Zero"))=0,#N/A,INDIRECT(ADDRESS($B47+1,AH$38,1,1,"Confirmed Day Zero")))</f>
        <v>37575</v>
      </c>
      <c r="AI47" cm="1">
        <f t="array" aca="1" ref="AI47" ca="1">IF(INDIRECT(ADDRESS($B47+1,AI$38,1,1,"Confirmed Day Zero"))=0,#N/A,INDIRECT(ADDRESS($B47+1,AI$38,1,1,"Confirmed Day Zero")))</f>
        <v>40174</v>
      </c>
      <c r="AJ47" cm="1">
        <f t="array" aca="1" ref="AJ47" ca="1">IF(INDIRECT(ADDRESS($B47+1,AJ$38,1,1,"Confirmed Day Zero"))=0,#N/A,INDIRECT(ADDRESS($B47+1,AJ$38,1,1,"Confirmed Day Zero")))</f>
        <v>44550</v>
      </c>
      <c r="AK47" t="e" cm="1">
        <f t="array" aca="1" ref="AK47" ca="1">IF(INDIRECT(ADDRESS($B47+1,AK$38,1,1,"Confirmed Day Zero"))=0,#N/A,INDIRECT(ADDRESS($B47+1,AK$38,1,1,"Confirmed Day Zero")))</f>
        <v>#N/A</v>
      </c>
      <c r="AL47" t="e" cm="1">
        <f t="array" aca="1" ref="AL47" ca="1">IF(INDIRECT(ADDRESS($B47+1,AL$38,1,1,"Confirmed Day Zero"))=0,#N/A,INDIRECT(ADDRESS($B47+1,AL$38,1,1,"Confirmed Day Zero")))</f>
        <v>#N/A</v>
      </c>
      <c r="AM47" t="e" cm="1">
        <f t="array" aca="1" ref="AM47" ca="1">IF(INDIRECT(ADDRESS($B47+1,AM$38,1,1,"Confirmed Day Zero"))=0,#N/A,INDIRECT(ADDRESS($B47+1,AM$38,1,1,"Confirmed Day Zero")))</f>
        <v>#N/A</v>
      </c>
      <c r="AN47" t="e" cm="1">
        <f t="array" aca="1" ref="AN47" ca="1">IF(INDIRECT(ADDRESS($B47+1,AN$38,1,1,"Confirmed Day Zero"))=0,#N/A,INDIRECT(ADDRESS($B47+1,AN$38,1,1,"Confirmed Day Zero")))</f>
        <v>#N/A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</row>
    <row r="48" spans="2:74" x14ac:dyDescent="0.25">
      <c r="B48" s="16">
        <f t="shared" si="8"/>
        <v>6</v>
      </c>
      <c r="C48" t="str" cm="1">
        <f t="array" aca="1" ref="C48" ca="1">INDIRECT(ADDRESS($B48+1,1,1,1,"Confirmed Day Zero"))</f>
        <v>Germany</v>
      </c>
      <c r="D48" s="1" cm="1">
        <f t="array" aca="1" ref="D48" ca="1">IF(INDIRECT(ADDRESS($B48+1,D$38,1,1,"Confirmed Day Zero"))=0,#N/A,INDIRECT(ADDRESS($B48+1,D$38,1,1,"Confirmed Day Zero")))</f>
        <v>83783942</v>
      </c>
      <c r="E48" cm="1">
        <f t="array" aca="1" ref="E48" ca="1">IF(INDIRECT(ADDRESS($B48+1,E$38,1,1,"Confirmed Day Zero"))=0,#N/A,INDIRECT(ADDRESS($B48+1,E$38,1,1,"Confirmed Day Zero")))</f>
        <v>79</v>
      </c>
      <c r="F48" cm="1">
        <f t="array" aca="1" ref="F48" ca="1">IF(INDIRECT(ADDRESS($B48+1,F$38,1,1,"Confirmed Day Zero"))=0,#N/A,INDIRECT(ADDRESS($B48+1,F$38,1,1,"Confirmed Day Zero")))</f>
        <v>130</v>
      </c>
      <c r="G48" cm="1">
        <f t="array" aca="1" ref="G48" ca="1">IF(INDIRECT(ADDRESS($B48+1,G$38,1,1,"Confirmed Day Zero"))=0,#N/A,INDIRECT(ADDRESS($B48+1,G$38,1,1,"Confirmed Day Zero")))</f>
        <v>159</v>
      </c>
      <c r="H48" cm="1">
        <f t="array" aca="1" ref="H48" ca="1">IF(INDIRECT(ADDRESS($B48+1,H$38,1,1,"Confirmed Day Zero"))=0,#N/A,INDIRECT(ADDRESS($B48+1,H$38,1,1,"Confirmed Day Zero")))</f>
        <v>196</v>
      </c>
      <c r="I48" cm="1">
        <f t="array" aca="1" ref="I48" ca="1">IF(INDIRECT(ADDRESS($B48+1,I$38,1,1,"Confirmed Day Zero"))=0,#N/A,INDIRECT(ADDRESS($B48+1,I$38,1,1,"Confirmed Day Zero")))</f>
        <v>262</v>
      </c>
      <c r="J48" cm="1">
        <f t="array" aca="1" ref="J48" ca="1">IF(INDIRECT(ADDRESS($B48+1,J$38,1,1,"Confirmed Day Zero"))=0,#N/A,INDIRECT(ADDRESS($B48+1,J$38,1,1,"Confirmed Day Zero")))</f>
        <v>482</v>
      </c>
      <c r="K48" cm="1">
        <f t="array" aca="1" ref="K48" ca="1">IF(INDIRECT(ADDRESS($B48+1,K$38,1,1,"Confirmed Day Zero"))=0,#N/A,INDIRECT(ADDRESS($B48+1,K$38,1,1,"Confirmed Day Zero")))</f>
        <v>670</v>
      </c>
      <c r="L48" cm="1">
        <f t="array" aca="1" ref="L48" ca="1">IF(INDIRECT(ADDRESS($B48+1,L$38,1,1,"Confirmed Day Zero"))=0,#N/A,INDIRECT(ADDRESS($B48+1,L$38,1,1,"Confirmed Day Zero")))</f>
        <v>799</v>
      </c>
      <c r="M48" cm="1">
        <f t="array" aca="1" ref="M48" ca="1">IF(INDIRECT(ADDRESS($B48+1,M$38,1,1,"Confirmed Day Zero"))=0,#N/A,INDIRECT(ADDRESS($B48+1,M$38,1,1,"Confirmed Day Zero")))</f>
        <v>1040</v>
      </c>
      <c r="N48" cm="1">
        <f t="array" aca="1" ref="N48" ca="1">IF(INDIRECT(ADDRESS($B48+1,N$38,1,1,"Confirmed Day Zero"))=0,#N/A,INDIRECT(ADDRESS($B48+1,N$38,1,1,"Confirmed Day Zero")))</f>
        <v>1176</v>
      </c>
      <c r="O48" cm="1">
        <f t="array" aca="1" ref="O48" ca="1">IF(INDIRECT(ADDRESS($B48+1,O$38,1,1,"Confirmed Day Zero"))=0,#N/A,INDIRECT(ADDRESS($B48+1,O$38,1,1,"Confirmed Day Zero")))</f>
        <v>1457</v>
      </c>
      <c r="P48" cm="1">
        <f t="array" aca="1" ref="P48" ca="1">IF(INDIRECT(ADDRESS($B48+1,P$38,1,1,"Confirmed Day Zero"))=0,#N/A,INDIRECT(ADDRESS($B48+1,P$38,1,1,"Confirmed Day Zero")))</f>
        <v>1908</v>
      </c>
      <c r="Q48" cm="1">
        <f t="array" aca="1" ref="Q48" ca="1">IF(INDIRECT(ADDRESS($B48+1,Q$38,1,1,"Confirmed Day Zero"))=0,#N/A,INDIRECT(ADDRESS($B48+1,Q$38,1,1,"Confirmed Day Zero")))</f>
        <v>2078</v>
      </c>
      <c r="R48" cm="1">
        <f t="array" aca="1" ref="R48" ca="1">IF(INDIRECT(ADDRESS($B48+1,R$38,1,1,"Confirmed Day Zero"))=0,#N/A,INDIRECT(ADDRESS($B48+1,R$38,1,1,"Confirmed Day Zero")))</f>
        <v>3675</v>
      </c>
      <c r="S48" cm="1">
        <f t="array" aca="1" ref="S48" ca="1">IF(INDIRECT(ADDRESS($B48+1,S$38,1,1,"Confirmed Day Zero"))=0,#N/A,INDIRECT(ADDRESS($B48+1,S$38,1,1,"Confirmed Day Zero")))</f>
        <v>4585</v>
      </c>
      <c r="T48" cm="1">
        <f t="array" aca="1" ref="T48" ca="1">IF(INDIRECT(ADDRESS($B48+1,T$38,1,1,"Confirmed Day Zero"))=0,#N/A,INDIRECT(ADDRESS($B48+1,T$38,1,1,"Confirmed Day Zero")))</f>
        <v>5795</v>
      </c>
      <c r="U48" cm="1">
        <f t="array" aca="1" ref="U48" ca="1">IF(INDIRECT(ADDRESS($B48+1,U$38,1,1,"Confirmed Day Zero"))=0,#N/A,INDIRECT(ADDRESS($B48+1,U$38,1,1,"Confirmed Day Zero")))</f>
        <v>7272</v>
      </c>
      <c r="V48" cm="1">
        <f t="array" aca="1" ref="V48" ca="1">IF(INDIRECT(ADDRESS($B48+1,V$38,1,1,"Confirmed Day Zero"))=0,#N/A,INDIRECT(ADDRESS($B48+1,V$38,1,1,"Confirmed Day Zero")))</f>
        <v>9257</v>
      </c>
      <c r="W48" cm="1">
        <f t="array" aca="1" ref="W48" ca="1">IF(INDIRECT(ADDRESS($B48+1,W$38,1,1,"Confirmed Day Zero"))=0,#N/A,INDIRECT(ADDRESS($B48+1,W$38,1,1,"Confirmed Day Zero")))</f>
        <v>12327</v>
      </c>
      <c r="X48" cm="1">
        <f t="array" aca="1" ref="X48" ca="1">IF(INDIRECT(ADDRESS($B48+1,X$38,1,1,"Confirmed Day Zero"))=0,#N/A,INDIRECT(ADDRESS($B48+1,X$38,1,1,"Confirmed Day Zero")))</f>
        <v>15320</v>
      </c>
      <c r="Y48" cm="1">
        <f t="array" aca="1" ref="Y48" ca="1">IF(INDIRECT(ADDRESS($B48+1,Y$38,1,1,"Confirmed Day Zero"))=0,#N/A,INDIRECT(ADDRESS($B48+1,Y$38,1,1,"Confirmed Day Zero")))</f>
        <v>19848</v>
      </c>
      <c r="Z48" cm="1">
        <f t="array" aca="1" ref="Z48" ca="1">IF(INDIRECT(ADDRESS($B48+1,Z$38,1,1,"Confirmed Day Zero"))=0,#N/A,INDIRECT(ADDRESS($B48+1,Z$38,1,1,"Confirmed Day Zero")))</f>
        <v>22213</v>
      </c>
      <c r="AA48" cm="1">
        <f t="array" aca="1" ref="AA48" ca="1">IF(INDIRECT(ADDRESS($B48+1,AA$38,1,1,"Confirmed Day Zero"))=0,#N/A,INDIRECT(ADDRESS($B48+1,AA$38,1,1,"Confirmed Day Zero")))</f>
        <v>24873</v>
      </c>
      <c r="AB48" cm="1">
        <f t="array" aca="1" ref="AB48" ca="1">IF(INDIRECT(ADDRESS($B48+1,AB$38,1,1,"Confirmed Day Zero"))=0,#N/A,INDIRECT(ADDRESS($B48+1,AB$38,1,1,"Confirmed Day Zero")))</f>
        <v>29056</v>
      </c>
      <c r="AC48" cm="1">
        <f t="array" aca="1" ref="AC48" ca="1">IF(INDIRECT(ADDRESS($B48+1,AC$38,1,1,"Confirmed Day Zero"))=0,#N/A,INDIRECT(ADDRESS($B48+1,AC$38,1,1,"Confirmed Day Zero")))</f>
        <v>32986</v>
      </c>
      <c r="AD48" cm="1">
        <f t="array" aca="1" ref="AD48" ca="1">IF(INDIRECT(ADDRESS($B48+1,AD$38,1,1,"Confirmed Day Zero"))=0,#N/A,INDIRECT(ADDRESS($B48+1,AD$38,1,1,"Confirmed Day Zero")))</f>
        <v>37323</v>
      </c>
      <c r="AE48" cm="1">
        <f t="array" aca="1" ref="AE48" ca="1">IF(INDIRECT(ADDRESS($B48+1,AE$38,1,1,"Confirmed Day Zero"))=0,#N/A,INDIRECT(ADDRESS($B48+1,AE$38,1,1,"Confirmed Day Zero")))</f>
        <v>43938</v>
      </c>
      <c r="AF48" cm="1">
        <f t="array" aca="1" ref="AF48" ca="1">IF(INDIRECT(ADDRESS($B48+1,AF$38,1,1,"Confirmed Day Zero"))=0,#N/A,INDIRECT(ADDRESS($B48+1,AF$38,1,1,"Confirmed Day Zero")))</f>
        <v>50871</v>
      </c>
      <c r="AG48" cm="1">
        <f t="array" aca="1" ref="AG48" ca="1">IF(INDIRECT(ADDRESS($B48+1,AG$38,1,1,"Confirmed Day Zero"))=0,#N/A,INDIRECT(ADDRESS($B48+1,AG$38,1,1,"Confirmed Day Zero")))</f>
        <v>57695</v>
      </c>
      <c r="AH48" cm="1">
        <f t="array" aca="1" ref="AH48" ca="1">IF(INDIRECT(ADDRESS($B48+1,AH$38,1,1,"Confirmed Day Zero"))=0,#N/A,INDIRECT(ADDRESS($B48+1,AH$38,1,1,"Confirmed Day Zero")))</f>
        <v>62095</v>
      </c>
      <c r="AI48" cm="1">
        <f t="array" aca="1" ref="AI48" ca="1">IF(INDIRECT(ADDRESS($B48+1,AI$38,1,1,"Confirmed Day Zero"))=0,#N/A,INDIRECT(ADDRESS($B48+1,AI$38,1,1,"Confirmed Day Zero")))</f>
        <v>66885</v>
      </c>
      <c r="AJ48" t="e" cm="1">
        <f t="array" aca="1" ref="AJ48" ca="1">IF(INDIRECT(ADDRESS($B48+1,AJ$38,1,1,"Confirmed Day Zero"))=0,#N/A,INDIRECT(ADDRESS($B48+1,AJ$38,1,1,"Confirmed Day Zero")))</f>
        <v>#N/A</v>
      </c>
      <c r="AK48" t="e" cm="1">
        <f t="array" aca="1" ref="AK48" ca="1">IF(INDIRECT(ADDRESS($B48+1,AK$38,1,1,"Confirmed Day Zero"))=0,#N/A,INDIRECT(ADDRESS($B48+1,AK$38,1,1,"Confirmed Day Zero")))</f>
        <v>#N/A</v>
      </c>
      <c r="AL48" t="e" cm="1">
        <f t="array" aca="1" ref="AL48" ca="1">IF(INDIRECT(ADDRESS($B48+1,AL$38,1,1,"Confirmed Day Zero"))=0,#N/A,INDIRECT(ADDRESS($B48+1,AL$38,1,1,"Confirmed Day Zero")))</f>
        <v>#N/A</v>
      </c>
      <c r="AM48" t="e" cm="1">
        <f t="array" aca="1" ref="AM48" ca="1">IF(INDIRECT(ADDRESS($B48+1,AM$38,1,1,"Confirmed Day Zero"))=0,#N/A,INDIRECT(ADDRESS($B48+1,AM$38,1,1,"Confirmed Day Zero")))</f>
        <v>#N/A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</row>
    <row r="49" spans="2:74" x14ac:dyDescent="0.25">
      <c r="B49" s="16">
        <f t="shared" si="8"/>
        <v>7</v>
      </c>
      <c r="C49" t="str" cm="1">
        <f t="array" aca="1" ref="C49" ca="1">INDIRECT(ADDRESS($B49+1,1,1,1,"Confirmed Day Zero"))</f>
        <v>India</v>
      </c>
      <c r="D49" s="1" cm="1">
        <f t="array" aca="1" ref="D49" ca="1">IF(INDIRECT(ADDRESS($B49+1,D$38,1,1,"Confirmed Day Zero"))=0,#N/A,INDIRECT(ADDRESS($B49+1,D$38,1,1,"Confirmed Day Zero")))</f>
        <v>1380004385</v>
      </c>
      <c r="E49" cm="1">
        <f t="array" aca="1" ref="E49" ca="1">IF(INDIRECT(ADDRESS($B49+1,E$38,1,1,"Confirmed Day Zero"))=0,#N/A,INDIRECT(ADDRESS($B49+1,E$38,1,1,"Confirmed Day Zero")))</f>
        <v>56</v>
      </c>
      <c r="F49" cm="1">
        <f t="array" aca="1" ref="F49" ca="1">IF(INDIRECT(ADDRESS($B49+1,F$38,1,1,"Confirmed Day Zero"))=0,#N/A,INDIRECT(ADDRESS($B49+1,F$38,1,1,"Confirmed Day Zero")))</f>
        <v>62</v>
      </c>
      <c r="G49" cm="1">
        <f t="array" aca="1" ref="G49" ca="1">IF(INDIRECT(ADDRESS($B49+1,G$38,1,1,"Confirmed Day Zero"))=0,#N/A,INDIRECT(ADDRESS($B49+1,G$38,1,1,"Confirmed Day Zero")))</f>
        <v>73</v>
      </c>
      <c r="H49" cm="1">
        <f t="array" aca="1" ref="H49" ca="1">IF(INDIRECT(ADDRESS($B49+1,H$38,1,1,"Confirmed Day Zero"))=0,#N/A,INDIRECT(ADDRESS($B49+1,H$38,1,1,"Confirmed Day Zero")))</f>
        <v>82</v>
      </c>
      <c r="I49" cm="1">
        <f t="array" aca="1" ref="I49" ca="1">IF(INDIRECT(ADDRESS($B49+1,I$38,1,1,"Confirmed Day Zero"))=0,#N/A,INDIRECT(ADDRESS($B49+1,I$38,1,1,"Confirmed Day Zero")))</f>
        <v>102</v>
      </c>
      <c r="J49" cm="1">
        <f t="array" aca="1" ref="J49" ca="1">IF(INDIRECT(ADDRESS($B49+1,J$38,1,1,"Confirmed Day Zero"))=0,#N/A,INDIRECT(ADDRESS($B49+1,J$38,1,1,"Confirmed Day Zero")))</f>
        <v>113</v>
      </c>
      <c r="K49" cm="1">
        <f t="array" aca="1" ref="K49" ca="1">IF(INDIRECT(ADDRESS($B49+1,K$38,1,1,"Confirmed Day Zero"))=0,#N/A,INDIRECT(ADDRESS($B49+1,K$38,1,1,"Confirmed Day Zero")))</f>
        <v>119</v>
      </c>
      <c r="L49" cm="1">
        <f t="array" aca="1" ref="L49" ca="1">IF(INDIRECT(ADDRESS($B49+1,L$38,1,1,"Confirmed Day Zero"))=0,#N/A,INDIRECT(ADDRESS($B49+1,L$38,1,1,"Confirmed Day Zero")))</f>
        <v>142</v>
      </c>
      <c r="M49" cm="1">
        <f t="array" aca="1" ref="M49" ca="1">IF(INDIRECT(ADDRESS($B49+1,M$38,1,1,"Confirmed Day Zero"))=0,#N/A,INDIRECT(ADDRESS($B49+1,M$38,1,1,"Confirmed Day Zero")))</f>
        <v>156</v>
      </c>
      <c r="N49" cm="1">
        <f t="array" aca="1" ref="N49" ca="1">IF(INDIRECT(ADDRESS($B49+1,N$38,1,1,"Confirmed Day Zero"))=0,#N/A,INDIRECT(ADDRESS($B49+1,N$38,1,1,"Confirmed Day Zero")))</f>
        <v>194</v>
      </c>
      <c r="O49" cm="1">
        <f t="array" aca="1" ref="O49" ca="1">IF(INDIRECT(ADDRESS($B49+1,O$38,1,1,"Confirmed Day Zero"))=0,#N/A,INDIRECT(ADDRESS($B49+1,O$38,1,1,"Confirmed Day Zero")))</f>
        <v>244</v>
      </c>
      <c r="P49" cm="1">
        <f t="array" aca="1" ref="P49" ca="1">IF(INDIRECT(ADDRESS($B49+1,P$38,1,1,"Confirmed Day Zero"))=0,#N/A,INDIRECT(ADDRESS($B49+1,P$38,1,1,"Confirmed Day Zero")))</f>
        <v>330</v>
      </c>
      <c r="Q49" cm="1">
        <f t="array" aca="1" ref="Q49" ca="1">IF(INDIRECT(ADDRESS($B49+1,Q$38,1,1,"Confirmed Day Zero"))=0,#N/A,INDIRECT(ADDRESS($B49+1,Q$38,1,1,"Confirmed Day Zero")))</f>
        <v>396</v>
      </c>
      <c r="R49" cm="1">
        <f t="array" aca="1" ref="R49" ca="1">IF(INDIRECT(ADDRESS($B49+1,R$38,1,1,"Confirmed Day Zero"))=0,#N/A,INDIRECT(ADDRESS($B49+1,R$38,1,1,"Confirmed Day Zero")))</f>
        <v>499</v>
      </c>
      <c r="S49" cm="1">
        <f t="array" aca="1" ref="S49" ca="1">IF(INDIRECT(ADDRESS($B49+1,S$38,1,1,"Confirmed Day Zero"))=0,#N/A,INDIRECT(ADDRESS($B49+1,S$38,1,1,"Confirmed Day Zero")))</f>
        <v>536</v>
      </c>
      <c r="T49" cm="1">
        <f t="array" aca="1" ref="T49" ca="1">IF(INDIRECT(ADDRESS($B49+1,T$38,1,1,"Confirmed Day Zero"))=0,#N/A,INDIRECT(ADDRESS($B49+1,T$38,1,1,"Confirmed Day Zero")))</f>
        <v>657</v>
      </c>
      <c r="U49" cm="1">
        <f t="array" aca="1" ref="U49" ca="1">IF(INDIRECT(ADDRESS($B49+1,U$38,1,1,"Confirmed Day Zero"))=0,#N/A,INDIRECT(ADDRESS($B49+1,U$38,1,1,"Confirmed Day Zero")))</f>
        <v>727</v>
      </c>
      <c r="V49" cm="1">
        <f t="array" aca="1" ref="V49" ca="1">IF(INDIRECT(ADDRESS($B49+1,V$38,1,1,"Confirmed Day Zero"))=0,#N/A,INDIRECT(ADDRESS($B49+1,V$38,1,1,"Confirmed Day Zero")))</f>
        <v>887</v>
      </c>
      <c r="W49" cm="1">
        <f t="array" aca="1" ref="W49" ca="1">IF(INDIRECT(ADDRESS($B49+1,W$38,1,1,"Confirmed Day Zero"))=0,#N/A,INDIRECT(ADDRESS($B49+1,W$38,1,1,"Confirmed Day Zero")))</f>
        <v>987</v>
      </c>
      <c r="X49" cm="1">
        <f t="array" aca="1" ref="X49" ca="1">IF(INDIRECT(ADDRESS($B49+1,X$38,1,1,"Confirmed Day Zero"))=0,#N/A,INDIRECT(ADDRESS($B49+1,X$38,1,1,"Confirmed Day Zero")))</f>
        <v>1024</v>
      </c>
      <c r="Y49" cm="1">
        <f t="array" aca="1" ref="Y49" ca="1">IF(INDIRECT(ADDRESS($B49+1,Y$38,1,1,"Confirmed Day Zero"))=0,#N/A,INDIRECT(ADDRESS($B49+1,Y$38,1,1,"Confirmed Day Zero")))</f>
        <v>1251</v>
      </c>
      <c r="Z49" t="e" cm="1">
        <f t="array" aca="1" ref="Z49" ca="1">IF(INDIRECT(ADDRESS($B49+1,Z$38,1,1,"Confirmed Day Zero"))=0,#N/A,INDIRECT(ADDRESS($B49+1,Z$38,1,1,"Confirmed Day Zero")))</f>
        <v>#N/A</v>
      </c>
      <c r="AA49" t="e" cm="1">
        <f t="array" aca="1" ref="AA49" ca="1">IF(INDIRECT(ADDRESS($B49+1,AA$38,1,1,"Confirmed Day Zero"))=0,#N/A,INDIRECT(ADDRESS($B49+1,AA$38,1,1,"Confirmed Day Zero")))</f>
        <v>#N/A</v>
      </c>
      <c r="AB49" t="e" cm="1">
        <f t="array" aca="1" ref="AB49" ca="1">IF(INDIRECT(ADDRESS($B49+1,AB$38,1,1,"Confirmed Day Zero"))=0,#N/A,INDIRECT(ADDRESS($B49+1,AB$38,1,1,"Confirmed Day Zero")))</f>
        <v>#N/A</v>
      </c>
      <c r="AC49" t="e" cm="1">
        <f t="array" aca="1" ref="AC49" ca="1">IF(INDIRECT(ADDRESS($B49+1,AC$38,1,1,"Confirmed Day Zero"))=0,#N/A,INDIRECT(ADDRESS($B49+1,AC$38,1,1,"Confirmed Day Zero")))</f>
        <v>#N/A</v>
      </c>
      <c r="AD49" t="e" cm="1">
        <f t="array" aca="1" ref="AD49" ca="1">IF(INDIRECT(ADDRESS($B49+1,AD$38,1,1,"Confirmed Day Zero"))=0,#N/A,INDIRECT(ADDRESS($B49+1,AD$38,1,1,"Confirmed Day Zero")))</f>
        <v>#N/A</v>
      </c>
      <c r="AE49" t="e" cm="1">
        <f t="array" aca="1" ref="AE49" ca="1">IF(INDIRECT(ADDRESS($B49+1,AE$38,1,1,"Confirmed Day Zero"))=0,#N/A,INDIRECT(ADDRESS($B49+1,AE$38,1,1,"Confirmed Day Zero")))</f>
        <v>#N/A</v>
      </c>
      <c r="AF49" t="e" cm="1">
        <f t="array" aca="1" ref="AF49" ca="1">IF(INDIRECT(ADDRESS($B49+1,AF$38,1,1,"Confirmed Day Zero"))=0,#N/A,INDIRECT(ADDRESS($B49+1,AF$38,1,1,"Confirmed Day Zero")))</f>
        <v>#N/A</v>
      </c>
      <c r="AG49" t="e" cm="1">
        <f t="array" aca="1" ref="AG49" ca="1">IF(INDIRECT(ADDRESS($B49+1,AG$38,1,1,"Confirmed Day Zero"))=0,#N/A,INDIRECT(ADDRESS($B49+1,AG$38,1,1,"Confirmed Day Zero")))</f>
        <v>#N/A</v>
      </c>
      <c r="AH49" t="e" cm="1">
        <f t="array" aca="1" ref="AH49" ca="1">IF(INDIRECT(ADDRESS($B49+1,AH$38,1,1,"Confirmed Day Zero"))=0,#N/A,INDIRECT(ADDRESS($B49+1,AH$38,1,1,"Confirmed Day Zero")))</f>
        <v>#N/A</v>
      </c>
      <c r="AI49" t="e" cm="1">
        <f t="array" aca="1" ref="AI49" ca="1">IF(INDIRECT(ADDRESS($B49+1,AI$38,1,1,"Confirmed Day Zero"))=0,#N/A,INDIRECT(ADDRESS($B49+1,AI$38,1,1,"Confirmed Day Zero")))</f>
        <v>#N/A</v>
      </c>
      <c r="AJ49" t="e" cm="1">
        <f t="array" aca="1" ref="AJ49" ca="1">IF(INDIRECT(ADDRESS($B49+1,AJ$38,1,1,"Confirmed Day Zero"))=0,#N/A,INDIRECT(ADDRESS($B49+1,AJ$38,1,1,"Confirmed Day Zero")))</f>
        <v>#N/A</v>
      </c>
      <c r="AK49" t="e" cm="1">
        <f t="array" aca="1" ref="AK49" ca="1">IF(INDIRECT(ADDRESS($B49+1,AK$38,1,1,"Confirmed Day Zero"))=0,#N/A,INDIRECT(ADDRESS($B49+1,AK$38,1,1,"Confirmed Day Zero")))</f>
        <v>#N/A</v>
      </c>
      <c r="AL49" t="e" cm="1">
        <f t="array" aca="1" ref="AL49" ca="1">IF(INDIRECT(ADDRESS($B49+1,AL$38,1,1,"Confirmed Day Zero"))=0,#N/A,INDIRECT(ADDRESS($B49+1,AL$38,1,1,"Confirmed Day Zero")))</f>
        <v>#N/A</v>
      </c>
      <c r="AM49" t="e" cm="1">
        <f t="array" aca="1" ref="AM49" ca="1">IF(INDIRECT(ADDRESS($B49+1,AM$38,1,1,"Confirmed Day Zero"))=0,#N/A,INDIRECT(ADDRESS($B49+1,AM$38,1,1,"Confirmed Day Zero")))</f>
        <v>#N/A</v>
      </c>
      <c r="AN49" t="e" cm="1">
        <f t="array" aca="1" ref="AN49" ca="1">IF(INDIRECT(ADDRESS($B49+1,AN$38,1,1,"Confirmed Day Zero"))=0,#N/A,INDIRECT(ADDRESS($B49+1,AN$38,1,1,"Confirmed Day Zero")))</f>
        <v>#N/A</v>
      </c>
      <c r="AO49" t="e" cm="1">
        <f t="array" aca="1" ref="AO49" ca="1">IF(INDIRECT(ADDRESS($B49+1,AO$38,1,1,"Confirmed Day Zero"))=0,#N/A,INDIRECT(ADDRESS($B49+1,AO$38,1,1,"Confirmed Day Zero")))</f>
        <v>#N/A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</row>
    <row r="50" spans="2:74" x14ac:dyDescent="0.25">
      <c r="B50" s="16">
        <f t="shared" si="8"/>
        <v>8</v>
      </c>
      <c r="C50" t="str" cm="1">
        <f t="array" aca="1" ref="C50" ca="1">INDIRECT(ADDRESS($B50+1,1,1,1,"Confirmed Day Zero"))</f>
        <v>Italy</v>
      </c>
      <c r="D50" s="1" cm="1">
        <f t="array" aca="1" ref="D50" ca="1">IF(INDIRECT(ADDRESS($B50+1,D$38,1,1,"Confirmed Day Zero"))=0,#N/A,INDIRECT(ADDRESS($B50+1,D$38,1,1,"Confirmed Day Zero")))</f>
        <v>60461826</v>
      </c>
      <c r="E50" cm="1">
        <f t="array" aca="1" ref="E50" ca="1">IF(INDIRECT(ADDRESS($B50+1,E$38,1,1,"Confirmed Day Zero"))=0,#N/A,INDIRECT(ADDRESS($B50+1,E$38,1,1,"Confirmed Day Zero")))</f>
        <v>62</v>
      </c>
      <c r="F50" cm="1">
        <f t="array" aca="1" ref="F50" ca="1">IF(INDIRECT(ADDRESS($B50+1,F$38,1,1,"Confirmed Day Zero"))=0,#N/A,INDIRECT(ADDRESS($B50+1,F$38,1,1,"Confirmed Day Zero")))</f>
        <v>155</v>
      </c>
      <c r="G50" cm="1">
        <f t="array" aca="1" ref="G50" ca="1">IF(INDIRECT(ADDRESS($B50+1,G$38,1,1,"Confirmed Day Zero"))=0,#N/A,INDIRECT(ADDRESS($B50+1,G$38,1,1,"Confirmed Day Zero")))</f>
        <v>229</v>
      </c>
      <c r="H50" cm="1">
        <f t="array" aca="1" ref="H50" ca="1">IF(INDIRECT(ADDRESS($B50+1,H$38,1,1,"Confirmed Day Zero"))=0,#N/A,INDIRECT(ADDRESS($B50+1,H$38,1,1,"Confirmed Day Zero")))</f>
        <v>322</v>
      </c>
      <c r="I50" cm="1">
        <f t="array" aca="1" ref="I50" ca="1">IF(INDIRECT(ADDRESS($B50+1,I$38,1,1,"Confirmed Day Zero"))=0,#N/A,INDIRECT(ADDRESS($B50+1,I$38,1,1,"Confirmed Day Zero")))</f>
        <v>453</v>
      </c>
      <c r="J50" cm="1">
        <f t="array" aca="1" ref="J50" ca="1">IF(INDIRECT(ADDRESS($B50+1,J$38,1,1,"Confirmed Day Zero"))=0,#N/A,INDIRECT(ADDRESS($B50+1,J$38,1,1,"Confirmed Day Zero")))</f>
        <v>655</v>
      </c>
      <c r="K50" cm="1">
        <f t="array" aca="1" ref="K50" ca="1">IF(INDIRECT(ADDRESS($B50+1,K$38,1,1,"Confirmed Day Zero"))=0,#N/A,INDIRECT(ADDRESS($B50+1,K$38,1,1,"Confirmed Day Zero")))</f>
        <v>888</v>
      </c>
      <c r="L50" cm="1">
        <f t="array" aca="1" ref="L50" ca="1">IF(INDIRECT(ADDRESS($B50+1,L$38,1,1,"Confirmed Day Zero"))=0,#N/A,INDIRECT(ADDRESS($B50+1,L$38,1,1,"Confirmed Day Zero")))</f>
        <v>1128</v>
      </c>
      <c r="M50" cm="1">
        <f t="array" aca="1" ref="M50" ca="1">IF(INDIRECT(ADDRESS($B50+1,M$38,1,1,"Confirmed Day Zero"))=0,#N/A,INDIRECT(ADDRESS($B50+1,M$38,1,1,"Confirmed Day Zero")))</f>
        <v>1694</v>
      </c>
      <c r="N50" cm="1">
        <f t="array" aca="1" ref="N50" ca="1">IF(INDIRECT(ADDRESS($B50+1,N$38,1,1,"Confirmed Day Zero"))=0,#N/A,INDIRECT(ADDRESS($B50+1,N$38,1,1,"Confirmed Day Zero")))</f>
        <v>2036</v>
      </c>
      <c r="O50" cm="1">
        <f t="array" aca="1" ref="O50" ca="1">IF(INDIRECT(ADDRESS($B50+1,O$38,1,1,"Confirmed Day Zero"))=0,#N/A,INDIRECT(ADDRESS($B50+1,O$38,1,1,"Confirmed Day Zero")))</f>
        <v>2502</v>
      </c>
      <c r="P50" cm="1">
        <f t="array" aca="1" ref="P50" ca="1">IF(INDIRECT(ADDRESS($B50+1,P$38,1,1,"Confirmed Day Zero"))=0,#N/A,INDIRECT(ADDRESS($B50+1,P$38,1,1,"Confirmed Day Zero")))</f>
        <v>3089</v>
      </c>
      <c r="Q50" cm="1">
        <f t="array" aca="1" ref="Q50" ca="1">IF(INDIRECT(ADDRESS($B50+1,Q$38,1,1,"Confirmed Day Zero"))=0,#N/A,INDIRECT(ADDRESS($B50+1,Q$38,1,1,"Confirmed Day Zero")))</f>
        <v>3858</v>
      </c>
      <c r="R50" cm="1">
        <f t="array" aca="1" ref="R50" ca="1">IF(INDIRECT(ADDRESS($B50+1,R$38,1,1,"Confirmed Day Zero"))=0,#N/A,INDIRECT(ADDRESS($B50+1,R$38,1,1,"Confirmed Day Zero")))</f>
        <v>4636</v>
      </c>
      <c r="S50" cm="1">
        <f t="array" aca="1" ref="S50" ca="1">IF(INDIRECT(ADDRESS($B50+1,S$38,1,1,"Confirmed Day Zero"))=0,#N/A,INDIRECT(ADDRESS($B50+1,S$38,1,1,"Confirmed Day Zero")))</f>
        <v>5883</v>
      </c>
      <c r="T50" cm="1">
        <f t="array" aca="1" ref="T50" ca="1">IF(INDIRECT(ADDRESS($B50+1,T$38,1,1,"Confirmed Day Zero"))=0,#N/A,INDIRECT(ADDRESS($B50+1,T$38,1,1,"Confirmed Day Zero")))</f>
        <v>7375</v>
      </c>
      <c r="U50" cm="1">
        <f t="array" aca="1" ref="U50" ca="1">IF(INDIRECT(ADDRESS($B50+1,U$38,1,1,"Confirmed Day Zero"))=0,#N/A,INDIRECT(ADDRESS($B50+1,U$38,1,1,"Confirmed Day Zero")))</f>
        <v>9172</v>
      </c>
      <c r="V50" cm="1">
        <f t="array" aca="1" ref="V50" ca="1">IF(INDIRECT(ADDRESS($B50+1,V$38,1,1,"Confirmed Day Zero"))=0,#N/A,INDIRECT(ADDRESS($B50+1,V$38,1,1,"Confirmed Day Zero")))</f>
        <v>10149</v>
      </c>
      <c r="W50" cm="1">
        <f t="array" aca="1" ref="W50" ca="1">IF(INDIRECT(ADDRESS($B50+1,W$38,1,1,"Confirmed Day Zero"))=0,#N/A,INDIRECT(ADDRESS($B50+1,W$38,1,1,"Confirmed Day Zero")))</f>
        <v>12462</v>
      </c>
      <c r="X50" cm="1">
        <f t="array" aca="1" ref="X50" ca="1">IF(INDIRECT(ADDRESS($B50+1,X$38,1,1,"Confirmed Day Zero"))=0,#N/A,INDIRECT(ADDRESS($B50+1,X$38,1,1,"Confirmed Day Zero")))</f>
        <v>12462</v>
      </c>
      <c r="Y50" cm="1">
        <f t="array" aca="1" ref="Y50" ca="1">IF(INDIRECT(ADDRESS($B50+1,Y$38,1,1,"Confirmed Day Zero"))=0,#N/A,INDIRECT(ADDRESS($B50+1,Y$38,1,1,"Confirmed Day Zero")))</f>
        <v>17660</v>
      </c>
      <c r="Z50" cm="1">
        <f t="array" aca="1" ref="Z50" ca="1">IF(INDIRECT(ADDRESS($B50+1,Z$38,1,1,"Confirmed Day Zero"))=0,#N/A,INDIRECT(ADDRESS($B50+1,Z$38,1,1,"Confirmed Day Zero")))</f>
        <v>21157</v>
      </c>
      <c r="AA50" cm="1">
        <f t="array" aca="1" ref="AA50" ca="1">IF(INDIRECT(ADDRESS($B50+1,AA$38,1,1,"Confirmed Day Zero"))=0,#N/A,INDIRECT(ADDRESS($B50+1,AA$38,1,1,"Confirmed Day Zero")))</f>
        <v>24747</v>
      </c>
      <c r="AB50" cm="1">
        <f t="array" aca="1" ref="AB50" ca="1">IF(INDIRECT(ADDRESS($B50+1,AB$38,1,1,"Confirmed Day Zero"))=0,#N/A,INDIRECT(ADDRESS($B50+1,AB$38,1,1,"Confirmed Day Zero")))</f>
        <v>27980</v>
      </c>
      <c r="AC50" cm="1">
        <f t="array" aca="1" ref="AC50" ca="1">IF(INDIRECT(ADDRESS($B50+1,AC$38,1,1,"Confirmed Day Zero"))=0,#N/A,INDIRECT(ADDRESS($B50+1,AC$38,1,1,"Confirmed Day Zero")))</f>
        <v>31506</v>
      </c>
      <c r="AD50" cm="1">
        <f t="array" aca="1" ref="AD50" ca="1">IF(INDIRECT(ADDRESS($B50+1,AD$38,1,1,"Confirmed Day Zero"))=0,#N/A,INDIRECT(ADDRESS($B50+1,AD$38,1,1,"Confirmed Day Zero")))</f>
        <v>35713</v>
      </c>
      <c r="AE50" cm="1">
        <f t="array" aca="1" ref="AE50" ca="1">IF(INDIRECT(ADDRESS($B50+1,AE$38,1,1,"Confirmed Day Zero"))=0,#N/A,INDIRECT(ADDRESS($B50+1,AE$38,1,1,"Confirmed Day Zero")))</f>
        <v>41035</v>
      </c>
      <c r="AF50" cm="1">
        <f t="array" aca="1" ref="AF50" ca="1">IF(INDIRECT(ADDRESS($B50+1,AF$38,1,1,"Confirmed Day Zero"))=0,#N/A,INDIRECT(ADDRESS($B50+1,AF$38,1,1,"Confirmed Day Zero")))</f>
        <v>47021</v>
      </c>
      <c r="AG50" cm="1">
        <f t="array" aca="1" ref="AG50" ca="1">IF(INDIRECT(ADDRESS($B50+1,AG$38,1,1,"Confirmed Day Zero"))=0,#N/A,INDIRECT(ADDRESS($B50+1,AG$38,1,1,"Confirmed Day Zero")))</f>
        <v>53578</v>
      </c>
      <c r="AH50" cm="1">
        <f t="array" aca="1" ref="AH50" ca="1">IF(INDIRECT(ADDRESS($B50+1,AH$38,1,1,"Confirmed Day Zero"))=0,#N/A,INDIRECT(ADDRESS($B50+1,AH$38,1,1,"Confirmed Day Zero")))</f>
        <v>59138</v>
      </c>
      <c r="AI50" cm="1">
        <f t="array" aca="1" ref="AI50" ca="1">IF(INDIRECT(ADDRESS($B50+1,AI$38,1,1,"Confirmed Day Zero"))=0,#N/A,INDIRECT(ADDRESS($B50+1,AI$38,1,1,"Confirmed Day Zero")))</f>
        <v>63927</v>
      </c>
      <c r="AJ50" cm="1">
        <f t="array" aca="1" ref="AJ50" ca="1">IF(INDIRECT(ADDRESS($B50+1,AJ$38,1,1,"Confirmed Day Zero"))=0,#N/A,INDIRECT(ADDRESS($B50+1,AJ$38,1,1,"Confirmed Day Zero")))</f>
        <v>69176</v>
      </c>
      <c r="AK50" cm="1">
        <f t="array" aca="1" ref="AK50" ca="1">IF(INDIRECT(ADDRESS($B50+1,AK$38,1,1,"Confirmed Day Zero"))=0,#N/A,INDIRECT(ADDRESS($B50+1,AK$38,1,1,"Confirmed Day Zero")))</f>
        <v>74386</v>
      </c>
      <c r="AL50" cm="1">
        <f t="array" aca="1" ref="AL50" ca="1">IF(INDIRECT(ADDRESS($B50+1,AL$38,1,1,"Confirmed Day Zero"))=0,#N/A,INDIRECT(ADDRESS($B50+1,AL$38,1,1,"Confirmed Day Zero")))</f>
        <v>80589</v>
      </c>
      <c r="AM50" cm="1">
        <f t="array" aca="1" ref="AM50" ca="1">IF(INDIRECT(ADDRESS($B50+1,AM$38,1,1,"Confirmed Day Zero"))=0,#N/A,INDIRECT(ADDRESS($B50+1,AM$38,1,1,"Confirmed Day Zero")))</f>
        <v>86498</v>
      </c>
      <c r="AN50" cm="1">
        <f t="array" aca="1" ref="AN50" ca="1">IF(INDIRECT(ADDRESS($B50+1,AN$38,1,1,"Confirmed Day Zero"))=0,#N/A,INDIRECT(ADDRESS($B50+1,AN$38,1,1,"Confirmed Day Zero")))</f>
        <v>92472</v>
      </c>
      <c r="AO50" cm="1">
        <f t="array" aca="1" ref="AO50" ca="1">IF(INDIRECT(ADDRESS($B50+1,AO$38,1,1,"Confirmed Day Zero"))=0,#N/A,INDIRECT(ADDRESS($B50+1,AO$38,1,1,"Confirmed Day Zero")))</f>
        <v>97689</v>
      </c>
      <c r="AP50" cm="1">
        <f t="array" aca="1" ref="AP50" ca="1">IF(INDIRECT(ADDRESS($B50+1,AP$38,1,1,"Confirmed Day Zero"))=0,#N/A,INDIRECT(ADDRESS($B50+1,AP$38,1,1,"Confirmed Day Zero")))</f>
        <v>101739</v>
      </c>
      <c r="AQ50" t="e" cm="1">
        <f t="array" aca="1" ref="AQ50" ca="1">IF(INDIRECT(ADDRESS($B50+1,AQ$38,1,1,"Confirmed Day Zero"))=0,#N/A,INDIRECT(ADDRESS($B50+1,AQ$38,1,1,"Confirmed Day Zero")))</f>
        <v>#N/A</v>
      </c>
      <c r="AR50" t="e" cm="1">
        <f t="array" aca="1" ref="AR50" ca="1">IF(INDIRECT(ADDRESS($B50+1,AR$38,1,1,"Confirmed Day Zero"))=0,#N/A,INDIRECT(ADDRESS($B50+1,AR$38,1,1,"Confirmed Day Zero")))</f>
        <v>#N/A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</row>
    <row r="51" spans="2:74" x14ac:dyDescent="0.25">
      <c r="B51" s="16">
        <f t="shared" si="8"/>
        <v>9</v>
      </c>
      <c r="C51" t="str" cm="1">
        <f t="array" aca="1" ref="C51" ca="1">INDIRECT(ADDRESS($B51+1,1,1,1,"Confirmed Day Zero"))</f>
        <v>Korea, South</v>
      </c>
      <c r="D51" s="1" cm="1">
        <f t="array" aca="1" ref="D51" ca="1">IF(INDIRECT(ADDRESS($B51+1,D$38,1,1,"Confirmed Day Zero"))=0,#N/A,INDIRECT(ADDRESS($B51+1,D$38,1,1,"Confirmed Day Zero")))</f>
        <v>51269185</v>
      </c>
      <c r="E51" cm="1">
        <f t="array" aca="1" ref="E51" ca="1">IF(INDIRECT(ADDRESS($B51+1,E$38,1,1,"Confirmed Day Zero"))=0,#N/A,INDIRECT(ADDRESS($B51+1,E$38,1,1,"Confirmed Day Zero")))</f>
        <v>104</v>
      </c>
      <c r="F51" cm="1">
        <f t="array" aca="1" ref="F51" ca="1">IF(INDIRECT(ADDRESS($B51+1,F$38,1,1,"Confirmed Day Zero"))=0,#N/A,INDIRECT(ADDRESS($B51+1,F$38,1,1,"Confirmed Day Zero")))</f>
        <v>204</v>
      </c>
      <c r="G51" cm="1">
        <f t="array" aca="1" ref="G51" ca="1">IF(INDIRECT(ADDRESS($B51+1,G$38,1,1,"Confirmed Day Zero"))=0,#N/A,INDIRECT(ADDRESS($B51+1,G$38,1,1,"Confirmed Day Zero")))</f>
        <v>433</v>
      </c>
      <c r="H51" cm="1">
        <f t="array" aca="1" ref="H51" ca="1">IF(INDIRECT(ADDRESS($B51+1,H$38,1,1,"Confirmed Day Zero"))=0,#N/A,INDIRECT(ADDRESS($B51+1,H$38,1,1,"Confirmed Day Zero")))</f>
        <v>602</v>
      </c>
      <c r="I51" cm="1">
        <f t="array" aca="1" ref="I51" ca="1">IF(INDIRECT(ADDRESS($B51+1,I$38,1,1,"Confirmed Day Zero"))=0,#N/A,INDIRECT(ADDRESS($B51+1,I$38,1,1,"Confirmed Day Zero")))</f>
        <v>833</v>
      </c>
      <c r="J51" cm="1">
        <f t="array" aca="1" ref="J51" ca="1">IF(INDIRECT(ADDRESS($B51+1,J$38,1,1,"Confirmed Day Zero"))=0,#N/A,INDIRECT(ADDRESS($B51+1,J$38,1,1,"Confirmed Day Zero")))</f>
        <v>977</v>
      </c>
      <c r="K51" cm="1">
        <f t="array" aca="1" ref="K51" ca="1">IF(INDIRECT(ADDRESS($B51+1,K$38,1,1,"Confirmed Day Zero"))=0,#N/A,INDIRECT(ADDRESS($B51+1,K$38,1,1,"Confirmed Day Zero")))</f>
        <v>1261</v>
      </c>
      <c r="L51" cm="1">
        <f t="array" aca="1" ref="L51" ca="1">IF(INDIRECT(ADDRESS($B51+1,L$38,1,1,"Confirmed Day Zero"))=0,#N/A,INDIRECT(ADDRESS($B51+1,L$38,1,1,"Confirmed Day Zero")))</f>
        <v>1766</v>
      </c>
      <c r="M51" cm="1">
        <f t="array" aca="1" ref="M51" ca="1">IF(INDIRECT(ADDRESS($B51+1,M$38,1,1,"Confirmed Day Zero"))=0,#N/A,INDIRECT(ADDRESS($B51+1,M$38,1,1,"Confirmed Day Zero")))</f>
        <v>2337</v>
      </c>
      <c r="N51" cm="1">
        <f t="array" aca="1" ref="N51" ca="1">IF(INDIRECT(ADDRESS($B51+1,N$38,1,1,"Confirmed Day Zero"))=0,#N/A,INDIRECT(ADDRESS($B51+1,N$38,1,1,"Confirmed Day Zero")))</f>
        <v>3150</v>
      </c>
      <c r="O51" cm="1">
        <f t="array" aca="1" ref="O51" ca="1">IF(INDIRECT(ADDRESS($B51+1,O$38,1,1,"Confirmed Day Zero"))=0,#N/A,INDIRECT(ADDRESS($B51+1,O$38,1,1,"Confirmed Day Zero")))</f>
        <v>3736</v>
      </c>
      <c r="P51" cm="1">
        <f t="array" aca="1" ref="P51" ca="1">IF(INDIRECT(ADDRESS($B51+1,P$38,1,1,"Confirmed Day Zero"))=0,#N/A,INDIRECT(ADDRESS($B51+1,P$38,1,1,"Confirmed Day Zero")))</f>
        <v>4335</v>
      </c>
      <c r="Q51" cm="1">
        <f t="array" aca="1" ref="Q51" ca="1">IF(INDIRECT(ADDRESS($B51+1,Q$38,1,1,"Confirmed Day Zero"))=0,#N/A,INDIRECT(ADDRESS($B51+1,Q$38,1,1,"Confirmed Day Zero")))</f>
        <v>5186</v>
      </c>
      <c r="R51" cm="1">
        <f t="array" aca="1" ref="R51" ca="1">IF(INDIRECT(ADDRESS($B51+1,R$38,1,1,"Confirmed Day Zero"))=0,#N/A,INDIRECT(ADDRESS($B51+1,R$38,1,1,"Confirmed Day Zero")))</f>
        <v>5621</v>
      </c>
      <c r="S51" cm="1">
        <f t="array" aca="1" ref="S51" ca="1">IF(INDIRECT(ADDRESS($B51+1,S$38,1,1,"Confirmed Day Zero"))=0,#N/A,INDIRECT(ADDRESS($B51+1,S$38,1,1,"Confirmed Day Zero")))</f>
        <v>6088</v>
      </c>
      <c r="T51" cm="1">
        <f t="array" aca="1" ref="T51" ca="1">IF(INDIRECT(ADDRESS($B51+1,T$38,1,1,"Confirmed Day Zero"))=0,#N/A,INDIRECT(ADDRESS($B51+1,T$38,1,1,"Confirmed Day Zero")))</f>
        <v>6593</v>
      </c>
      <c r="U51" cm="1">
        <f t="array" aca="1" ref="U51" ca="1">IF(INDIRECT(ADDRESS($B51+1,U$38,1,1,"Confirmed Day Zero"))=0,#N/A,INDIRECT(ADDRESS($B51+1,U$38,1,1,"Confirmed Day Zero")))</f>
        <v>7041</v>
      </c>
      <c r="V51" cm="1">
        <f t="array" aca="1" ref="V51" ca="1">IF(INDIRECT(ADDRESS($B51+1,V$38,1,1,"Confirmed Day Zero"))=0,#N/A,INDIRECT(ADDRESS($B51+1,V$38,1,1,"Confirmed Day Zero")))</f>
        <v>7314</v>
      </c>
      <c r="W51" cm="1">
        <f t="array" aca="1" ref="W51" ca="1">IF(INDIRECT(ADDRESS($B51+1,W$38,1,1,"Confirmed Day Zero"))=0,#N/A,INDIRECT(ADDRESS($B51+1,W$38,1,1,"Confirmed Day Zero")))</f>
        <v>7478</v>
      </c>
      <c r="X51" cm="1">
        <f t="array" aca="1" ref="X51" ca="1">IF(INDIRECT(ADDRESS($B51+1,X$38,1,1,"Confirmed Day Zero"))=0,#N/A,INDIRECT(ADDRESS($B51+1,X$38,1,1,"Confirmed Day Zero")))</f>
        <v>7513</v>
      </c>
      <c r="Y51" cm="1">
        <f t="array" aca="1" ref="Y51" ca="1">IF(INDIRECT(ADDRESS($B51+1,Y$38,1,1,"Confirmed Day Zero"))=0,#N/A,INDIRECT(ADDRESS($B51+1,Y$38,1,1,"Confirmed Day Zero")))</f>
        <v>7755</v>
      </c>
      <c r="Z51" cm="1">
        <f t="array" aca="1" ref="Z51" ca="1">IF(INDIRECT(ADDRESS($B51+1,Z$38,1,1,"Confirmed Day Zero"))=0,#N/A,INDIRECT(ADDRESS($B51+1,Z$38,1,1,"Confirmed Day Zero")))</f>
        <v>7869</v>
      </c>
      <c r="AA51" cm="1">
        <f t="array" aca="1" ref="AA51" ca="1">IF(INDIRECT(ADDRESS($B51+1,AA$38,1,1,"Confirmed Day Zero"))=0,#N/A,INDIRECT(ADDRESS($B51+1,AA$38,1,1,"Confirmed Day Zero")))</f>
        <v>7979</v>
      </c>
      <c r="AB51" cm="1">
        <f t="array" aca="1" ref="AB51" ca="1">IF(INDIRECT(ADDRESS($B51+1,AB$38,1,1,"Confirmed Day Zero"))=0,#N/A,INDIRECT(ADDRESS($B51+1,AB$38,1,1,"Confirmed Day Zero")))</f>
        <v>8086</v>
      </c>
      <c r="AC51" cm="1">
        <f t="array" aca="1" ref="AC51" ca="1">IF(INDIRECT(ADDRESS($B51+1,AC$38,1,1,"Confirmed Day Zero"))=0,#N/A,INDIRECT(ADDRESS($B51+1,AC$38,1,1,"Confirmed Day Zero")))</f>
        <v>8162</v>
      </c>
      <c r="AD51" cm="1">
        <f t="array" aca="1" ref="AD51" ca="1">IF(INDIRECT(ADDRESS($B51+1,AD$38,1,1,"Confirmed Day Zero"))=0,#N/A,INDIRECT(ADDRESS($B51+1,AD$38,1,1,"Confirmed Day Zero")))</f>
        <v>8236</v>
      </c>
      <c r="AE51" cm="1">
        <f t="array" aca="1" ref="AE51" ca="1">IF(INDIRECT(ADDRESS($B51+1,AE$38,1,1,"Confirmed Day Zero"))=0,#N/A,INDIRECT(ADDRESS($B51+1,AE$38,1,1,"Confirmed Day Zero")))</f>
        <v>8320</v>
      </c>
      <c r="AF51" cm="1">
        <f t="array" aca="1" ref="AF51" ca="1">IF(INDIRECT(ADDRESS($B51+1,AF$38,1,1,"Confirmed Day Zero"))=0,#N/A,INDIRECT(ADDRESS($B51+1,AF$38,1,1,"Confirmed Day Zero")))</f>
        <v>8413</v>
      </c>
      <c r="AG51" cm="1">
        <f t="array" aca="1" ref="AG51" ca="1">IF(INDIRECT(ADDRESS($B51+1,AG$38,1,1,"Confirmed Day Zero"))=0,#N/A,INDIRECT(ADDRESS($B51+1,AG$38,1,1,"Confirmed Day Zero")))</f>
        <v>8565</v>
      </c>
      <c r="AH51" cm="1">
        <f t="array" aca="1" ref="AH51" ca="1">IF(INDIRECT(ADDRESS($B51+1,AH$38,1,1,"Confirmed Day Zero"))=0,#N/A,INDIRECT(ADDRESS($B51+1,AH$38,1,1,"Confirmed Day Zero")))</f>
        <v>8652</v>
      </c>
      <c r="AI51" cm="1">
        <f t="array" aca="1" ref="AI51" ca="1">IF(INDIRECT(ADDRESS($B51+1,AI$38,1,1,"Confirmed Day Zero"))=0,#N/A,INDIRECT(ADDRESS($B51+1,AI$38,1,1,"Confirmed Day Zero")))</f>
        <v>8799</v>
      </c>
      <c r="AJ51" cm="1">
        <f t="array" aca="1" ref="AJ51" ca="1">IF(INDIRECT(ADDRESS($B51+1,AJ$38,1,1,"Confirmed Day Zero"))=0,#N/A,INDIRECT(ADDRESS($B51+1,AJ$38,1,1,"Confirmed Day Zero")))</f>
        <v>8961</v>
      </c>
      <c r="AK51" cm="1">
        <f t="array" aca="1" ref="AK51" ca="1">IF(INDIRECT(ADDRESS($B51+1,AK$38,1,1,"Confirmed Day Zero"))=0,#N/A,INDIRECT(ADDRESS($B51+1,AK$38,1,1,"Confirmed Day Zero")))</f>
        <v>8961</v>
      </c>
      <c r="AL51" cm="1">
        <f t="array" aca="1" ref="AL51" ca="1">IF(INDIRECT(ADDRESS($B51+1,AL$38,1,1,"Confirmed Day Zero"))=0,#N/A,INDIRECT(ADDRESS($B51+1,AL$38,1,1,"Confirmed Day Zero")))</f>
        <v>9037</v>
      </c>
      <c r="AM51" cm="1">
        <f t="array" aca="1" ref="AM51" ca="1">IF(INDIRECT(ADDRESS($B51+1,AM$38,1,1,"Confirmed Day Zero"))=0,#N/A,INDIRECT(ADDRESS($B51+1,AM$38,1,1,"Confirmed Day Zero")))</f>
        <v>9137</v>
      </c>
      <c r="AN51" cm="1">
        <f t="array" aca="1" ref="AN51" ca="1">IF(INDIRECT(ADDRESS($B51+1,AN$38,1,1,"Confirmed Day Zero"))=0,#N/A,INDIRECT(ADDRESS($B51+1,AN$38,1,1,"Confirmed Day Zero")))</f>
        <v>9241</v>
      </c>
      <c r="AO51" cm="1">
        <f t="array" aca="1" ref="AO51" ca="1">IF(INDIRECT(ADDRESS($B51+1,AO$38,1,1,"Confirmed Day Zero"))=0,#N/A,INDIRECT(ADDRESS($B51+1,AO$38,1,1,"Confirmed Day Zero")))</f>
        <v>9332</v>
      </c>
      <c r="AP51" cm="1">
        <f t="array" aca="1" ref="AP51" ca="1">IF(INDIRECT(ADDRESS($B51+1,AP$38,1,1,"Confirmed Day Zero"))=0,#N/A,INDIRECT(ADDRESS($B51+1,AP$38,1,1,"Confirmed Day Zero")))</f>
        <v>9478</v>
      </c>
      <c r="AQ51" cm="1">
        <f t="array" aca="1" ref="AQ51" ca="1">IF(INDIRECT(ADDRESS($B51+1,AQ$38,1,1,"Confirmed Day Zero"))=0,#N/A,INDIRECT(ADDRESS($B51+1,AQ$38,1,1,"Confirmed Day Zero")))</f>
        <v>9583</v>
      </c>
      <c r="AR51" cm="1">
        <f t="array" aca="1" ref="AR51" ca="1">IF(INDIRECT(ADDRESS($B51+1,AR$38,1,1,"Confirmed Day Zero"))=0,#N/A,INDIRECT(ADDRESS($B51+1,AR$38,1,1,"Confirmed Day Zero")))</f>
        <v>9661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</row>
    <row r="52" spans="2:74" x14ac:dyDescent="0.25">
      <c r="B52" s="16">
        <f t="shared" si="8"/>
        <v>10</v>
      </c>
      <c r="C52" t="str" cm="1">
        <f t="array" aca="1" ref="C52" ca="1">INDIRECT(ADDRESS($B52+1,1,1,1,"Confirmed Day Zero"))</f>
        <v>Russia</v>
      </c>
      <c r="D52" s="1" cm="1">
        <f t="array" aca="1" ref="D52" ca="1">IF(INDIRECT(ADDRESS($B52+1,D$38,1,1,"Confirmed Day Zero"))=0,#N/A,INDIRECT(ADDRESS($B52+1,D$38,1,1,"Confirmed Day Zero")))</f>
        <v>145934462</v>
      </c>
      <c r="E52" cm="1">
        <f t="array" aca="1" ref="E52" ca="1">IF(INDIRECT(ADDRESS($B52+1,E$38,1,1,"Confirmed Day Zero"))=0,#N/A,INDIRECT(ADDRESS($B52+1,E$38,1,1,"Confirmed Day Zero")))</f>
        <v>59</v>
      </c>
      <c r="F52" cm="1">
        <f t="array" aca="1" ref="F52" ca="1">IF(INDIRECT(ADDRESS($B52+1,F$38,1,1,"Confirmed Day Zero"))=0,#N/A,INDIRECT(ADDRESS($B52+1,F$38,1,1,"Confirmed Day Zero")))</f>
        <v>63</v>
      </c>
      <c r="G52" cm="1">
        <f t="array" aca="1" ref="G52" ca="1">IF(INDIRECT(ADDRESS($B52+1,G$38,1,1,"Confirmed Day Zero"))=0,#N/A,INDIRECT(ADDRESS($B52+1,G$38,1,1,"Confirmed Day Zero")))</f>
        <v>90</v>
      </c>
      <c r="H52" cm="1">
        <f t="array" aca="1" ref="H52" ca="1">IF(INDIRECT(ADDRESS($B52+1,H$38,1,1,"Confirmed Day Zero"))=0,#N/A,INDIRECT(ADDRESS($B52+1,H$38,1,1,"Confirmed Day Zero")))</f>
        <v>114</v>
      </c>
      <c r="I52" cm="1">
        <f t="array" aca="1" ref="I52" ca="1">IF(INDIRECT(ADDRESS($B52+1,I$38,1,1,"Confirmed Day Zero"))=0,#N/A,INDIRECT(ADDRESS($B52+1,I$38,1,1,"Confirmed Day Zero")))</f>
        <v>147</v>
      </c>
      <c r="J52" cm="1">
        <f t="array" aca="1" ref="J52" ca="1">IF(INDIRECT(ADDRESS($B52+1,J$38,1,1,"Confirmed Day Zero"))=0,#N/A,INDIRECT(ADDRESS($B52+1,J$38,1,1,"Confirmed Day Zero")))</f>
        <v>199</v>
      </c>
      <c r="K52" cm="1">
        <f t="array" aca="1" ref="K52" ca="1">IF(INDIRECT(ADDRESS($B52+1,K$38,1,1,"Confirmed Day Zero"))=0,#N/A,INDIRECT(ADDRESS($B52+1,K$38,1,1,"Confirmed Day Zero")))</f>
        <v>253</v>
      </c>
      <c r="L52" cm="1">
        <f t="array" aca="1" ref="L52" ca="1">IF(INDIRECT(ADDRESS($B52+1,L$38,1,1,"Confirmed Day Zero"))=0,#N/A,INDIRECT(ADDRESS($B52+1,L$38,1,1,"Confirmed Day Zero")))</f>
        <v>306</v>
      </c>
      <c r="M52" cm="1">
        <f t="array" aca="1" ref="M52" ca="1">IF(INDIRECT(ADDRESS($B52+1,M$38,1,1,"Confirmed Day Zero"))=0,#N/A,INDIRECT(ADDRESS($B52+1,M$38,1,1,"Confirmed Day Zero")))</f>
        <v>367</v>
      </c>
      <c r="N52" cm="1">
        <f t="array" aca="1" ref="N52" ca="1">IF(INDIRECT(ADDRESS($B52+1,N$38,1,1,"Confirmed Day Zero"))=0,#N/A,INDIRECT(ADDRESS($B52+1,N$38,1,1,"Confirmed Day Zero")))</f>
        <v>438</v>
      </c>
      <c r="O52" cm="1">
        <f t="array" aca="1" ref="O52" ca="1">IF(INDIRECT(ADDRESS($B52+1,O$38,1,1,"Confirmed Day Zero"))=0,#N/A,INDIRECT(ADDRESS($B52+1,O$38,1,1,"Confirmed Day Zero")))</f>
        <v>495</v>
      </c>
      <c r="P52" cm="1">
        <f t="array" aca="1" ref="P52" ca="1">IF(INDIRECT(ADDRESS($B52+1,P$38,1,1,"Confirmed Day Zero"))=0,#N/A,INDIRECT(ADDRESS($B52+1,P$38,1,1,"Confirmed Day Zero")))</f>
        <v>658</v>
      </c>
      <c r="Q52" cm="1">
        <f t="array" aca="1" ref="Q52" ca="1">IF(INDIRECT(ADDRESS($B52+1,Q$38,1,1,"Confirmed Day Zero"))=0,#N/A,INDIRECT(ADDRESS($B52+1,Q$38,1,1,"Confirmed Day Zero")))</f>
        <v>840</v>
      </c>
      <c r="R52" cm="1">
        <f t="array" aca="1" ref="R52" ca="1">IF(INDIRECT(ADDRESS($B52+1,R$38,1,1,"Confirmed Day Zero"))=0,#N/A,INDIRECT(ADDRESS($B52+1,R$38,1,1,"Confirmed Day Zero")))</f>
        <v>1036</v>
      </c>
      <c r="S52" cm="1">
        <f t="array" aca="1" ref="S52" ca="1">IF(INDIRECT(ADDRESS($B52+1,S$38,1,1,"Confirmed Day Zero"))=0,#N/A,INDIRECT(ADDRESS($B52+1,S$38,1,1,"Confirmed Day Zero")))</f>
        <v>1264</v>
      </c>
      <c r="T52" cm="1">
        <f t="array" aca="1" ref="T52" ca="1">IF(INDIRECT(ADDRESS($B52+1,T$38,1,1,"Confirmed Day Zero"))=0,#N/A,INDIRECT(ADDRESS($B52+1,T$38,1,1,"Confirmed Day Zero")))</f>
        <v>1534</v>
      </c>
      <c r="U52" cm="1">
        <f t="array" aca="1" ref="U52" ca="1">IF(INDIRECT(ADDRESS($B52+1,U$38,1,1,"Confirmed Day Zero"))=0,#N/A,INDIRECT(ADDRESS($B52+1,U$38,1,1,"Confirmed Day Zero")))</f>
        <v>1836</v>
      </c>
      <c r="V52" t="e" cm="1">
        <f t="array" aca="1" ref="V52" ca="1">IF(INDIRECT(ADDRESS($B52+1,V$38,1,1,"Confirmed Day Zero"))=0,#N/A,INDIRECT(ADDRESS($B52+1,V$38,1,1,"Confirmed Day Zero")))</f>
        <v>#N/A</v>
      </c>
      <c r="W52" t="e" cm="1">
        <f t="array" aca="1" ref="W52" ca="1">IF(INDIRECT(ADDRESS($B52+1,W$38,1,1,"Confirmed Day Zero"))=0,#N/A,INDIRECT(ADDRESS($B52+1,W$38,1,1,"Confirmed Day Zero")))</f>
        <v>#N/A</v>
      </c>
      <c r="X52" t="e" cm="1">
        <f t="array" aca="1" ref="X52" ca="1">IF(INDIRECT(ADDRESS($B52+1,X$38,1,1,"Confirmed Day Zero"))=0,#N/A,INDIRECT(ADDRESS($B52+1,X$38,1,1,"Confirmed Day Zero")))</f>
        <v>#N/A</v>
      </c>
      <c r="Y52" t="e" cm="1">
        <f t="array" aca="1" ref="Y52" ca="1">IF(INDIRECT(ADDRESS($B52+1,Y$38,1,1,"Confirmed Day Zero"))=0,#N/A,INDIRECT(ADDRESS($B52+1,Y$38,1,1,"Confirmed Day Zero")))</f>
        <v>#N/A</v>
      </c>
      <c r="Z52" t="e" cm="1">
        <f t="array" aca="1" ref="Z52" ca="1">IF(INDIRECT(ADDRESS($B52+1,Z$38,1,1,"Confirmed Day Zero"))=0,#N/A,INDIRECT(ADDRESS($B52+1,Z$38,1,1,"Confirmed Day Zero")))</f>
        <v>#N/A</v>
      </c>
      <c r="AA52" t="e" cm="1">
        <f t="array" aca="1" ref="AA52" ca="1">IF(INDIRECT(ADDRESS($B52+1,AA$38,1,1,"Confirmed Day Zero"))=0,#N/A,INDIRECT(ADDRESS($B52+1,AA$38,1,1,"Confirmed Day Zero")))</f>
        <v>#N/A</v>
      </c>
      <c r="AB52" t="e" cm="1">
        <f t="array" aca="1" ref="AB52" ca="1">IF(INDIRECT(ADDRESS($B52+1,AB$38,1,1,"Confirmed Day Zero"))=0,#N/A,INDIRECT(ADDRESS($B52+1,AB$38,1,1,"Confirmed Day Zero")))</f>
        <v>#N/A</v>
      </c>
      <c r="AC52" t="e" cm="1">
        <f t="array" aca="1" ref="AC52" ca="1">IF(INDIRECT(ADDRESS($B52+1,AC$38,1,1,"Confirmed Day Zero"))=0,#N/A,INDIRECT(ADDRESS($B52+1,AC$38,1,1,"Confirmed Day Zero")))</f>
        <v>#N/A</v>
      </c>
      <c r="AD52" t="e" cm="1">
        <f t="array" aca="1" ref="AD52" ca="1">IF(INDIRECT(ADDRESS($B52+1,AD$38,1,1,"Confirmed Day Zero"))=0,#N/A,INDIRECT(ADDRESS($B52+1,AD$38,1,1,"Confirmed Day Zero")))</f>
        <v>#N/A</v>
      </c>
      <c r="AE52" t="e" cm="1">
        <f t="array" aca="1" ref="AE52" ca="1">IF(INDIRECT(ADDRESS($B52+1,AE$38,1,1,"Confirmed Day Zero"))=0,#N/A,INDIRECT(ADDRESS($B52+1,AE$38,1,1,"Confirmed Day Zero")))</f>
        <v>#N/A</v>
      </c>
      <c r="AF52" t="e" cm="1">
        <f t="array" aca="1" ref="AF52" ca="1">IF(INDIRECT(ADDRESS($B52+1,AF$38,1,1,"Confirmed Day Zero"))=0,#N/A,INDIRECT(ADDRESS($B52+1,AF$38,1,1,"Confirmed Day Zero")))</f>
        <v>#N/A</v>
      </c>
      <c r="AG52" t="e" cm="1">
        <f t="array" aca="1" ref="AG52" ca="1">IF(INDIRECT(ADDRESS($B52+1,AG$38,1,1,"Confirmed Day Zero"))=0,#N/A,INDIRECT(ADDRESS($B52+1,AG$38,1,1,"Confirmed Day Zero")))</f>
        <v>#N/A</v>
      </c>
      <c r="AH52" t="e" cm="1">
        <f t="array" aca="1" ref="AH52" ca="1">IF(INDIRECT(ADDRESS($B52+1,AH$38,1,1,"Confirmed Day Zero"))=0,#N/A,INDIRECT(ADDRESS($B52+1,AH$38,1,1,"Confirmed Day Zero")))</f>
        <v>#N/A</v>
      </c>
      <c r="AI52" t="e" cm="1">
        <f t="array" aca="1" ref="AI52" ca="1">IF(INDIRECT(ADDRESS($B52+1,AI$38,1,1,"Confirmed Day Zero"))=0,#N/A,INDIRECT(ADDRESS($B52+1,AI$38,1,1,"Confirmed Day Zero")))</f>
        <v>#N/A</v>
      </c>
      <c r="AJ52" t="e" cm="1">
        <f t="array" aca="1" ref="AJ52" ca="1">IF(INDIRECT(ADDRESS($B52+1,AJ$38,1,1,"Confirmed Day Zero"))=0,#N/A,INDIRECT(ADDRESS($B52+1,AJ$38,1,1,"Confirmed Day Zero")))</f>
        <v>#N/A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</row>
    <row r="53" spans="2:74" x14ac:dyDescent="0.25">
      <c r="B53" s="16">
        <f t="shared" si="8"/>
        <v>11</v>
      </c>
      <c r="C53" t="str" cm="1">
        <f t="array" aca="1" ref="C53" ca="1">INDIRECT(ADDRESS($B53+1,1,1,1,"Confirmed Day Zero"))</f>
        <v>Spain</v>
      </c>
      <c r="D53" s="1" cm="1">
        <f t="array" aca="1" ref="D53" ca="1">IF(INDIRECT(ADDRESS($B53+1,D$38,1,1,"Confirmed Day Zero"))=0,#N/A,INDIRECT(ADDRESS($B53+1,D$38,1,1,"Confirmed Day Zero")))</f>
        <v>46754778</v>
      </c>
      <c r="E53" cm="1">
        <f t="array" aca="1" ref="E53" ca="1">IF(INDIRECT(ADDRESS($B53+1,E$38,1,1,"Confirmed Day Zero"))=0,#N/A,INDIRECT(ADDRESS($B53+1,E$38,1,1,"Confirmed Day Zero")))</f>
        <v>84</v>
      </c>
      <c r="F53" cm="1">
        <f t="array" aca="1" ref="F53" ca="1">IF(INDIRECT(ADDRESS($B53+1,F$38,1,1,"Confirmed Day Zero"))=0,#N/A,INDIRECT(ADDRESS($B53+1,F$38,1,1,"Confirmed Day Zero")))</f>
        <v>120</v>
      </c>
      <c r="G53" cm="1">
        <f t="array" aca="1" ref="G53" ca="1">IF(INDIRECT(ADDRESS($B53+1,G$38,1,1,"Confirmed Day Zero"))=0,#N/A,INDIRECT(ADDRESS($B53+1,G$38,1,1,"Confirmed Day Zero")))</f>
        <v>165</v>
      </c>
      <c r="H53" cm="1">
        <f t="array" aca="1" ref="H53" ca="1">IF(INDIRECT(ADDRESS($B53+1,H$38,1,1,"Confirmed Day Zero"))=0,#N/A,INDIRECT(ADDRESS($B53+1,H$38,1,1,"Confirmed Day Zero")))</f>
        <v>222</v>
      </c>
      <c r="I53" cm="1">
        <f t="array" aca="1" ref="I53" ca="1">IF(INDIRECT(ADDRESS($B53+1,I$38,1,1,"Confirmed Day Zero"))=0,#N/A,INDIRECT(ADDRESS($B53+1,I$38,1,1,"Confirmed Day Zero")))</f>
        <v>259</v>
      </c>
      <c r="J53" cm="1">
        <f t="array" aca="1" ref="J53" ca="1">IF(INDIRECT(ADDRESS($B53+1,J$38,1,1,"Confirmed Day Zero"))=0,#N/A,INDIRECT(ADDRESS($B53+1,J$38,1,1,"Confirmed Day Zero")))</f>
        <v>400</v>
      </c>
      <c r="K53" cm="1">
        <f t="array" aca="1" ref="K53" ca="1">IF(INDIRECT(ADDRESS($B53+1,K$38,1,1,"Confirmed Day Zero"))=0,#N/A,INDIRECT(ADDRESS($B53+1,K$38,1,1,"Confirmed Day Zero")))</f>
        <v>500</v>
      </c>
      <c r="L53" cm="1">
        <f t="array" aca="1" ref="L53" ca="1">IF(INDIRECT(ADDRESS($B53+1,L$38,1,1,"Confirmed Day Zero"))=0,#N/A,INDIRECT(ADDRESS($B53+1,L$38,1,1,"Confirmed Day Zero")))</f>
        <v>673</v>
      </c>
      <c r="M53" cm="1">
        <f t="array" aca="1" ref="M53" ca="1">IF(INDIRECT(ADDRESS($B53+1,M$38,1,1,"Confirmed Day Zero"))=0,#N/A,INDIRECT(ADDRESS($B53+1,M$38,1,1,"Confirmed Day Zero")))</f>
        <v>1073</v>
      </c>
      <c r="N53" cm="1">
        <f t="array" aca="1" ref="N53" ca="1">IF(INDIRECT(ADDRESS($B53+1,N$38,1,1,"Confirmed Day Zero"))=0,#N/A,INDIRECT(ADDRESS($B53+1,N$38,1,1,"Confirmed Day Zero")))</f>
        <v>1695</v>
      </c>
      <c r="O53" cm="1">
        <f t="array" aca="1" ref="O53" ca="1">IF(INDIRECT(ADDRESS($B53+1,O$38,1,1,"Confirmed Day Zero"))=0,#N/A,INDIRECT(ADDRESS($B53+1,O$38,1,1,"Confirmed Day Zero")))</f>
        <v>2277</v>
      </c>
      <c r="P53" cm="1">
        <f t="array" aca="1" ref="P53" ca="1">IF(INDIRECT(ADDRESS($B53+1,P$38,1,1,"Confirmed Day Zero"))=0,#N/A,INDIRECT(ADDRESS($B53+1,P$38,1,1,"Confirmed Day Zero")))</f>
        <v>2277</v>
      </c>
      <c r="Q53" cm="1">
        <f t="array" aca="1" ref="Q53" ca="1">IF(INDIRECT(ADDRESS($B53+1,Q$38,1,1,"Confirmed Day Zero"))=0,#N/A,INDIRECT(ADDRESS($B53+1,Q$38,1,1,"Confirmed Day Zero")))</f>
        <v>5232</v>
      </c>
      <c r="R53" cm="1">
        <f t="array" aca="1" ref="R53" ca="1">IF(INDIRECT(ADDRESS($B53+1,R$38,1,1,"Confirmed Day Zero"))=0,#N/A,INDIRECT(ADDRESS($B53+1,R$38,1,1,"Confirmed Day Zero")))</f>
        <v>6391</v>
      </c>
      <c r="S53" cm="1">
        <f t="array" aca="1" ref="S53" ca="1">IF(INDIRECT(ADDRESS($B53+1,S$38,1,1,"Confirmed Day Zero"))=0,#N/A,INDIRECT(ADDRESS($B53+1,S$38,1,1,"Confirmed Day Zero")))</f>
        <v>7798</v>
      </c>
      <c r="T53" cm="1">
        <f t="array" aca="1" ref="T53" ca="1">IF(INDIRECT(ADDRESS($B53+1,T$38,1,1,"Confirmed Day Zero"))=0,#N/A,INDIRECT(ADDRESS($B53+1,T$38,1,1,"Confirmed Day Zero")))</f>
        <v>9942</v>
      </c>
      <c r="U53" cm="1">
        <f t="array" aca="1" ref="U53" ca="1">IF(INDIRECT(ADDRESS($B53+1,U$38,1,1,"Confirmed Day Zero"))=0,#N/A,INDIRECT(ADDRESS($B53+1,U$38,1,1,"Confirmed Day Zero")))</f>
        <v>11748</v>
      </c>
      <c r="V53" cm="1">
        <f t="array" aca="1" ref="V53" ca="1">IF(INDIRECT(ADDRESS($B53+1,V$38,1,1,"Confirmed Day Zero"))=0,#N/A,INDIRECT(ADDRESS($B53+1,V$38,1,1,"Confirmed Day Zero")))</f>
        <v>13910</v>
      </c>
      <c r="W53" cm="1">
        <f t="array" aca="1" ref="W53" ca="1">IF(INDIRECT(ADDRESS($B53+1,W$38,1,1,"Confirmed Day Zero"))=0,#N/A,INDIRECT(ADDRESS($B53+1,W$38,1,1,"Confirmed Day Zero")))</f>
        <v>17963</v>
      </c>
      <c r="X53" cm="1">
        <f t="array" aca="1" ref="X53" ca="1">IF(INDIRECT(ADDRESS($B53+1,X$38,1,1,"Confirmed Day Zero"))=0,#N/A,INDIRECT(ADDRESS($B53+1,X$38,1,1,"Confirmed Day Zero")))</f>
        <v>20410</v>
      </c>
      <c r="Y53" cm="1">
        <f t="array" aca="1" ref="Y53" ca="1">IF(INDIRECT(ADDRESS($B53+1,Y$38,1,1,"Confirmed Day Zero"))=0,#N/A,INDIRECT(ADDRESS($B53+1,Y$38,1,1,"Confirmed Day Zero")))</f>
        <v>25374</v>
      </c>
      <c r="Z53" cm="1">
        <f t="array" aca="1" ref="Z53" ca="1">IF(INDIRECT(ADDRESS($B53+1,Z$38,1,1,"Confirmed Day Zero"))=0,#N/A,INDIRECT(ADDRESS($B53+1,Z$38,1,1,"Confirmed Day Zero")))</f>
        <v>28768</v>
      </c>
      <c r="AA53" cm="1">
        <f t="array" aca="1" ref="AA53" ca="1">IF(INDIRECT(ADDRESS($B53+1,AA$38,1,1,"Confirmed Day Zero"))=0,#N/A,INDIRECT(ADDRESS($B53+1,AA$38,1,1,"Confirmed Day Zero")))</f>
        <v>35136</v>
      </c>
      <c r="AB53" cm="1">
        <f t="array" aca="1" ref="AB53" ca="1">IF(INDIRECT(ADDRESS($B53+1,AB$38,1,1,"Confirmed Day Zero"))=0,#N/A,INDIRECT(ADDRESS($B53+1,AB$38,1,1,"Confirmed Day Zero")))</f>
        <v>39885</v>
      </c>
      <c r="AC53" cm="1">
        <f t="array" aca="1" ref="AC53" ca="1">IF(INDIRECT(ADDRESS($B53+1,AC$38,1,1,"Confirmed Day Zero"))=0,#N/A,INDIRECT(ADDRESS($B53+1,AC$38,1,1,"Confirmed Day Zero")))</f>
        <v>49515</v>
      </c>
      <c r="AD53" cm="1">
        <f t="array" aca="1" ref="AD53" ca="1">IF(INDIRECT(ADDRESS($B53+1,AD$38,1,1,"Confirmed Day Zero"))=0,#N/A,INDIRECT(ADDRESS($B53+1,AD$38,1,1,"Confirmed Day Zero")))</f>
        <v>57786</v>
      </c>
      <c r="AE53" cm="1">
        <f t="array" aca="1" ref="AE53" ca="1">IF(INDIRECT(ADDRESS($B53+1,AE$38,1,1,"Confirmed Day Zero"))=0,#N/A,INDIRECT(ADDRESS($B53+1,AE$38,1,1,"Confirmed Day Zero")))</f>
        <v>65719</v>
      </c>
      <c r="AF53" cm="1">
        <f t="array" aca="1" ref="AF53" ca="1">IF(INDIRECT(ADDRESS($B53+1,AF$38,1,1,"Confirmed Day Zero"))=0,#N/A,INDIRECT(ADDRESS($B53+1,AF$38,1,1,"Confirmed Day Zero")))</f>
        <v>73235</v>
      </c>
      <c r="AG53" cm="1">
        <f t="array" aca="1" ref="AG53" ca="1">IF(INDIRECT(ADDRESS($B53+1,AG$38,1,1,"Confirmed Day Zero"))=0,#N/A,INDIRECT(ADDRESS($B53+1,AG$38,1,1,"Confirmed Day Zero")))</f>
        <v>80110</v>
      </c>
      <c r="AH53" cm="1">
        <f t="array" aca="1" ref="AH53" ca="1">IF(INDIRECT(ADDRESS($B53+1,AH$38,1,1,"Confirmed Day Zero"))=0,#N/A,INDIRECT(ADDRESS($B53+1,AH$38,1,1,"Confirmed Day Zero")))</f>
        <v>87956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</row>
    <row r="54" spans="2:74" x14ac:dyDescent="0.25">
      <c r="B54" s="16">
        <f t="shared" si="8"/>
        <v>12</v>
      </c>
      <c r="C54" t="str" cm="1">
        <f t="array" aca="1" ref="C54" ca="1">INDIRECT(ADDRESS($B54+1,1,1,1,"Confirmed Day Zero"))</f>
        <v>Sweden</v>
      </c>
      <c r="D54" s="1" cm="1">
        <f t="array" aca="1" ref="D54" ca="1">IF(INDIRECT(ADDRESS($B54+1,D$38,1,1,"Confirmed Day Zero"))=0,#N/A,INDIRECT(ADDRESS($B54+1,D$38,1,1,"Confirmed Day Zero")))</f>
        <v>10099265</v>
      </c>
      <c r="E54" cm="1">
        <f t="array" aca="1" ref="E54" ca="1">IF(INDIRECT(ADDRESS($B54+1,E$38,1,1,"Confirmed Day Zero"))=0,#N/A,INDIRECT(ADDRESS($B54+1,E$38,1,1,"Confirmed Day Zero")))</f>
        <v>94</v>
      </c>
      <c r="F54" cm="1">
        <f t="array" aca="1" ref="F54" ca="1">IF(INDIRECT(ADDRESS($B54+1,F$38,1,1,"Confirmed Day Zero"))=0,#N/A,INDIRECT(ADDRESS($B54+1,F$38,1,1,"Confirmed Day Zero")))</f>
        <v>101</v>
      </c>
      <c r="G54" cm="1">
        <f t="array" aca="1" ref="G54" ca="1">IF(INDIRECT(ADDRESS($B54+1,G$38,1,1,"Confirmed Day Zero"))=0,#N/A,INDIRECT(ADDRESS($B54+1,G$38,1,1,"Confirmed Day Zero")))</f>
        <v>161</v>
      </c>
      <c r="H54" cm="1">
        <f t="array" aca="1" ref="H54" ca="1">IF(INDIRECT(ADDRESS($B54+1,H$38,1,1,"Confirmed Day Zero"))=0,#N/A,INDIRECT(ADDRESS($B54+1,H$38,1,1,"Confirmed Day Zero")))</f>
        <v>203</v>
      </c>
      <c r="I54" cm="1">
        <f t="array" aca="1" ref="I54" ca="1">IF(INDIRECT(ADDRESS($B54+1,I$38,1,1,"Confirmed Day Zero"))=0,#N/A,INDIRECT(ADDRESS($B54+1,I$38,1,1,"Confirmed Day Zero")))</f>
        <v>248</v>
      </c>
      <c r="J54" cm="1">
        <f t="array" aca="1" ref="J54" ca="1">IF(INDIRECT(ADDRESS($B54+1,J$38,1,1,"Confirmed Day Zero"))=0,#N/A,INDIRECT(ADDRESS($B54+1,J$38,1,1,"Confirmed Day Zero")))</f>
        <v>355</v>
      </c>
      <c r="K54" cm="1">
        <f t="array" aca="1" ref="K54" ca="1">IF(INDIRECT(ADDRESS($B54+1,K$38,1,1,"Confirmed Day Zero"))=0,#N/A,INDIRECT(ADDRESS($B54+1,K$38,1,1,"Confirmed Day Zero")))</f>
        <v>500</v>
      </c>
      <c r="L54" cm="1">
        <f t="array" aca="1" ref="L54" ca="1">IF(INDIRECT(ADDRESS($B54+1,L$38,1,1,"Confirmed Day Zero"))=0,#N/A,INDIRECT(ADDRESS($B54+1,L$38,1,1,"Confirmed Day Zero")))</f>
        <v>599</v>
      </c>
      <c r="M54" cm="1">
        <f t="array" aca="1" ref="M54" ca="1">IF(INDIRECT(ADDRESS($B54+1,M$38,1,1,"Confirmed Day Zero"))=0,#N/A,INDIRECT(ADDRESS($B54+1,M$38,1,1,"Confirmed Day Zero")))</f>
        <v>814</v>
      </c>
      <c r="N54" cm="1">
        <f t="array" aca="1" ref="N54" ca="1">IF(INDIRECT(ADDRESS($B54+1,N$38,1,1,"Confirmed Day Zero"))=0,#N/A,INDIRECT(ADDRESS($B54+1,N$38,1,1,"Confirmed Day Zero")))</f>
        <v>961</v>
      </c>
      <c r="O54" cm="1">
        <f t="array" aca="1" ref="O54" ca="1">IF(INDIRECT(ADDRESS($B54+1,O$38,1,1,"Confirmed Day Zero"))=0,#N/A,INDIRECT(ADDRESS($B54+1,O$38,1,1,"Confirmed Day Zero")))</f>
        <v>1022</v>
      </c>
      <c r="P54" cm="1">
        <f t="array" aca="1" ref="P54" ca="1">IF(INDIRECT(ADDRESS($B54+1,P$38,1,1,"Confirmed Day Zero"))=0,#N/A,INDIRECT(ADDRESS($B54+1,P$38,1,1,"Confirmed Day Zero")))</f>
        <v>1103</v>
      </c>
      <c r="Q54" cm="1">
        <f t="array" aca="1" ref="Q54" ca="1">IF(INDIRECT(ADDRESS($B54+1,Q$38,1,1,"Confirmed Day Zero"))=0,#N/A,INDIRECT(ADDRESS($B54+1,Q$38,1,1,"Confirmed Day Zero")))</f>
        <v>1190</v>
      </c>
      <c r="R54" cm="1">
        <f t="array" aca="1" ref="R54" ca="1">IF(INDIRECT(ADDRESS($B54+1,R$38,1,1,"Confirmed Day Zero"))=0,#N/A,INDIRECT(ADDRESS($B54+1,R$38,1,1,"Confirmed Day Zero")))</f>
        <v>1279</v>
      </c>
      <c r="S54" cm="1">
        <f t="array" aca="1" ref="S54" ca="1">IF(INDIRECT(ADDRESS($B54+1,S$38,1,1,"Confirmed Day Zero"))=0,#N/A,INDIRECT(ADDRESS($B54+1,S$38,1,1,"Confirmed Day Zero")))</f>
        <v>1439</v>
      </c>
      <c r="T54" cm="1">
        <f t="array" aca="1" ref="T54" ca="1">IF(INDIRECT(ADDRESS($B54+1,T$38,1,1,"Confirmed Day Zero"))=0,#N/A,INDIRECT(ADDRESS($B54+1,T$38,1,1,"Confirmed Day Zero")))</f>
        <v>1639</v>
      </c>
      <c r="U54" cm="1">
        <f t="array" aca="1" ref="U54" ca="1">IF(INDIRECT(ADDRESS($B54+1,U$38,1,1,"Confirmed Day Zero"))=0,#N/A,INDIRECT(ADDRESS($B54+1,U$38,1,1,"Confirmed Day Zero")))</f>
        <v>1763</v>
      </c>
      <c r="V54" cm="1">
        <f t="array" aca="1" ref="V54" ca="1">IF(INDIRECT(ADDRESS($B54+1,V$38,1,1,"Confirmed Day Zero"))=0,#N/A,INDIRECT(ADDRESS($B54+1,V$38,1,1,"Confirmed Day Zero")))</f>
        <v>1934</v>
      </c>
      <c r="W54" cm="1">
        <f t="array" aca="1" ref="W54" ca="1">IF(INDIRECT(ADDRESS($B54+1,W$38,1,1,"Confirmed Day Zero"))=0,#N/A,INDIRECT(ADDRESS($B54+1,W$38,1,1,"Confirmed Day Zero")))</f>
        <v>2046</v>
      </c>
      <c r="X54" cm="1">
        <f t="array" aca="1" ref="X54" ca="1">IF(INDIRECT(ADDRESS($B54+1,X$38,1,1,"Confirmed Day Zero"))=0,#N/A,INDIRECT(ADDRESS($B54+1,X$38,1,1,"Confirmed Day Zero")))</f>
        <v>2286</v>
      </c>
      <c r="Y54" cm="1">
        <f t="array" aca="1" ref="Y54" ca="1">IF(INDIRECT(ADDRESS($B54+1,Y$38,1,1,"Confirmed Day Zero"))=0,#N/A,INDIRECT(ADDRESS($B54+1,Y$38,1,1,"Confirmed Day Zero")))</f>
        <v>2526</v>
      </c>
      <c r="Z54" cm="1">
        <f t="array" aca="1" ref="Z54" ca="1">IF(INDIRECT(ADDRESS($B54+1,Z$38,1,1,"Confirmed Day Zero"))=0,#N/A,INDIRECT(ADDRESS($B54+1,Z$38,1,1,"Confirmed Day Zero")))</f>
        <v>2840</v>
      </c>
      <c r="AA54" cm="1">
        <f t="array" aca="1" ref="AA54" ca="1">IF(INDIRECT(ADDRESS($B54+1,AA$38,1,1,"Confirmed Day Zero"))=0,#N/A,INDIRECT(ADDRESS($B54+1,AA$38,1,1,"Confirmed Day Zero")))</f>
        <v>3069</v>
      </c>
      <c r="AB54" cm="1">
        <f t="array" aca="1" ref="AB54" ca="1">IF(INDIRECT(ADDRESS($B54+1,AB$38,1,1,"Confirmed Day Zero"))=0,#N/A,INDIRECT(ADDRESS($B54+1,AB$38,1,1,"Confirmed Day Zero")))</f>
        <v>3447</v>
      </c>
      <c r="AC54" cm="1">
        <f t="array" aca="1" ref="AC54" ca="1">IF(INDIRECT(ADDRESS($B54+1,AC$38,1,1,"Confirmed Day Zero"))=0,#N/A,INDIRECT(ADDRESS($B54+1,AC$38,1,1,"Confirmed Day Zero")))</f>
        <v>3700</v>
      </c>
      <c r="AD54" cm="1">
        <f t="array" aca="1" ref="AD54" ca="1">IF(INDIRECT(ADDRESS($B54+1,AD$38,1,1,"Confirmed Day Zero"))=0,#N/A,INDIRECT(ADDRESS($B54+1,AD$38,1,1,"Confirmed Day Zero")))</f>
        <v>4028</v>
      </c>
      <c r="AE54" t="e" cm="1">
        <f t="array" aca="1" ref="AE54" ca="1">IF(INDIRECT(ADDRESS($B54+1,AE$38,1,1,"Confirmed Day Zero"))=0,#N/A,INDIRECT(ADDRESS($B54+1,AE$38,1,1,"Confirmed Day Zero")))</f>
        <v>#N/A</v>
      </c>
      <c r="AF54" t="e" cm="1">
        <f t="array" aca="1" ref="AF54" ca="1">IF(INDIRECT(ADDRESS($B54+1,AF$38,1,1,"Confirmed Day Zero"))=0,#N/A,INDIRECT(ADDRESS($B54+1,AF$38,1,1,"Confirmed Day Zero")))</f>
        <v>#N/A</v>
      </c>
      <c r="AG54" t="e" cm="1">
        <f t="array" aca="1" ref="AG54" ca="1">IF(INDIRECT(ADDRESS($B54+1,AG$38,1,1,"Confirmed Day Zero"))=0,#N/A,INDIRECT(ADDRESS($B54+1,AG$38,1,1,"Confirmed Day Zero")))</f>
        <v>#N/A</v>
      </c>
      <c r="AH54" t="e" cm="1">
        <f t="array" aca="1" ref="AH54" ca="1">IF(INDIRECT(ADDRESS($B54+1,AH$38,1,1,"Confirmed Day Zero"))=0,#N/A,INDIRECT(ADDRESS($B54+1,AH$38,1,1,"Confirmed Day Zero")))</f>
        <v>#N/A</v>
      </c>
      <c r="AI54" t="e" cm="1">
        <f t="array" aca="1" ref="AI54" ca="1">IF(INDIRECT(ADDRESS($B54+1,AI$38,1,1,"Confirmed Day Zero"))=0,#N/A,INDIRECT(ADDRESS($B54+1,AI$38,1,1,"Confirmed Day Zero")))</f>
        <v>#N/A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</row>
    <row r="55" spans="2:74" x14ac:dyDescent="0.25">
      <c r="B55" s="16">
        <f t="shared" si="8"/>
        <v>13</v>
      </c>
      <c r="C55" t="str" cm="1">
        <f t="array" aca="1" ref="C55" ca="1">INDIRECT(ADDRESS($B55+1,1,1,1,"Confirmed Day Zero"))</f>
        <v>Switzerland</v>
      </c>
      <c r="D55" s="1" cm="1">
        <f t="array" aca="1" ref="D55" ca="1">IF(INDIRECT(ADDRESS($B55+1,D$38,1,1,"Confirmed Day Zero"))=0,#N/A,INDIRECT(ADDRESS($B55+1,D$38,1,1,"Confirmed Day Zero")))</f>
        <v>8654622</v>
      </c>
      <c r="E55" cm="1">
        <f t="array" aca="1" ref="E55" ca="1">IF(INDIRECT(ADDRESS($B55+1,E$38,1,1,"Confirmed Day Zero"))=0,#N/A,INDIRECT(ADDRESS($B55+1,E$38,1,1,"Confirmed Day Zero")))</f>
        <v>56</v>
      </c>
      <c r="F55" cm="1">
        <f t="array" aca="1" ref="F55" ca="1">IF(INDIRECT(ADDRESS($B55+1,F$38,1,1,"Confirmed Day Zero"))=0,#N/A,INDIRECT(ADDRESS($B55+1,F$38,1,1,"Confirmed Day Zero")))</f>
        <v>90</v>
      </c>
      <c r="G55" cm="1">
        <f t="array" aca="1" ref="G55" ca="1">IF(INDIRECT(ADDRESS($B55+1,G$38,1,1,"Confirmed Day Zero"))=0,#N/A,INDIRECT(ADDRESS($B55+1,G$38,1,1,"Confirmed Day Zero")))</f>
        <v>114</v>
      </c>
      <c r="H55" cm="1">
        <f t="array" aca="1" ref="H55" ca="1">IF(INDIRECT(ADDRESS($B55+1,H$38,1,1,"Confirmed Day Zero"))=0,#N/A,INDIRECT(ADDRESS($B55+1,H$38,1,1,"Confirmed Day Zero")))</f>
        <v>214</v>
      </c>
      <c r="I55" cm="1">
        <f t="array" aca="1" ref="I55" ca="1">IF(INDIRECT(ADDRESS($B55+1,I$38,1,1,"Confirmed Day Zero"))=0,#N/A,INDIRECT(ADDRESS($B55+1,I$38,1,1,"Confirmed Day Zero")))</f>
        <v>268</v>
      </c>
      <c r="J55" cm="1">
        <f t="array" aca="1" ref="J55" ca="1">IF(INDIRECT(ADDRESS($B55+1,J$38,1,1,"Confirmed Day Zero"))=0,#N/A,INDIRECT(ADDRESS($B55+1,J$38,1,1,"Confirmed Day Zero")))</f>
        <v>337</v>
      </c>
      <c r="K55" cm="1">
        <f t="array" aca="1" ref="K55" ca="1">IF(INDIRECT(ADDRESS($B55+1,K$38,1,1,"Confirmed Day Zero"))=0,#N/A,INDIRECT(ADDRESS($B55+1,K$38,1,1,"Confirmed Day Zero")))</f>
        <v>374</v>
      </c>
      <c r="L55" cm="1">
        <f t="array" aca="1" ref="L55" ca="1">IF(INDIRECT(ADDRESS($B55+1,L$38,1,1,"Confirmed Day Zero"))=0,#N/A,INDIRECT(ADDRESS($B55+1,L$38,1,1,"Confirmed Day Zero")))</f>
        <v>491</v>
      </c>
      <c r="M55" cm="1">
        <f t="array" aca="1" ref="M55" ca="1">IF(INDIRECT(ADDRESS($B55+1,M$38,1,1,"Confirmed Day Zero"))=0,#N/A,INDIRECT(ADDRESS($B55+1,M$38,1,1,"Confirmed Day Zero")))</f>
        <v>652</v>
      </c>
      <c r="N55" cm="1">
        <f t="array" aca="1" ref="N55" ca="1">IF(INDIRECT(ADDRESS($B55+1,N$38,1,1,"Confirmed Day Zero"))=0,#N/A,INDIRECT(ADDRESS($B55+1,N$38,1,1,"Confirmed Day Zero")))</f>
        <v>652</v>
      </c>
      <c r="O55" cm="1">
        <f t="array" aca="1" ref="O55" ca="1">IF(INDIRECT(ADDRESS($B55+1,O$38,1,1,"Confirmed Day Zero"))=0,#N/A,INDIRECT(ADDRESS($B55+1,O$38,1,1,"Confirmed Day Zero")))</f>
        <v>1139</v>
      </c>
      <c r="P55" cm="1">
        <f t="array" aca="1" ref="P55" ca="1">IF(INDIRECT(ADDRESS($B55+1,P$38,1,1,"Confirmed Day Zero"))=0,#N/A,INDIRECT(ADDRESS($B55+1,P$38,1,1,"Confirmed Day Zero")))</f>
        <v>1359</v>
      </c>
      <c r="Q55" cm="1">
        <f t="array" aca="1" ref="Q55" ca="1">IF(INDIRECT(ADDRESS($B55+1,Q$38,1,1,"Confirmed Day Zero"))=0,#N/A,INDIRECT(ADDRESS($B55+1,Q$38,1,1,"Confirmed Day Zero")))</f>
        <v>2200</v>
      </c>
      <c r="R55" cm="1">
        <f t="array" aca="1" ref="R55" ca="1">IF(INDIRECT(ADDRESS($B55+1,R$38,1,1,"Confirmed Day Zero"))=0,#N/A,INDIRECT(ADDRESS($B55+1,R$38,1,1,"Confirmed Day Zero")))</f>
        <v>2200</v>
      </c>
      <c r="S55" cm="1">
        <f t="array" aca="1" ref="S55" ca="1">IF(INDIRECT(ADDRESS($B55+1,S$38,1,1,"Confirmed Day Zero"))=0,#N/A,INDIRECT(ADDRESS($B55+1,S$38,1,1,"Confirmed Day Zero")))</f>
        <v>2700</v>
      </c>
      <c r="T55" cm="1">
        <f t="array" aca="1" ref="T55" ca="1">IF(INDIRECT(ADDRESS($B55+1,T$38,1,1,"Confirmed Day Zero"))=0,#N/A,INDIRECT(ADDRESS($B55+1,T$38,1,1,"Confirmed Day Zero")))</f>
        <v>3028</v>
      </c>
      <c r="U55" cm="1">
        <f t="array" aca="1" ref="U55" ca="1">IF(INDIRECT(ADDRESS($B55+1,U$38,1,1,"Confirmed Day Zero"))=0,#N/A,INDIRECT(ADDRESS($B55+1,U$38,1,1,"Confirmed Day Zero")))</f>
        <v>4075</v>
      </c>
      <c r="V55" cm="1">
        <f t="array" aca="1" ref="V55" ca="1">IF(INDIRECT(ADDRESS($B55+1,V$38,1,1,"Confirmed Day Zero"))=0,#N/A,INDIRECT(ADDRESS($B55+1,V$38,1,1,"Confirmed Day Zero")))</f>
        <v>5294</v>
      </c>
      <c r="W55" cm="1">
        <f t="array" aca="1" ref="W55" ca="1">IF(INDIRECT(ADDRESS($B55+1,W$38,1,1,"Confirmed Day Zero"))=0,#N/A,INDIRECT(ADDRESS($B55+1,W$38,1,1,"Confirmed Day Zero")))</f>
        <v>6575</v>
      </c>
      <c r="X55" cm="1">
        <f t="array" aca="1" ref="X55" ca="1">IF(INDIRECT(ADDRESS($B55+1,X$38,1,1,"Confirmed Day Zero"))=0,#N/A,INDIRECT(ADDRESS($B55+1,X$38,1,1,"Confirmed Day Zero")))</f>
        <v>7474</v>
      </c>
      <c r="Y55" cm="1">
        <f t="array" aca="1" ref="Y55" ca="1">IF(INDIRECT(ADDRESS($B55+1,Y$38,1,1,"Confirmed Day Zero"))=0,#N/A,INDIRECT(ADDRESS($B55+1,Y$38,1,1,"Confirmed Day Zero")))</f>
        <v>8795</v>
      </c>
      <c r="Z55" cm="1">
        <f t="array" aca="1" ref="Z55" ca="1">IF(INDIRECT(ADDRESS($B55+1,Z$38,1,1,"Confirmed Day Zero"))=0,#N/A,INDIRECT(ADDRESS($B55+1,Z$38,1,1,"Confirmed Day Zero")))</f>
        <v>9877</v>
      </c>
      <c r="AA55" cm="1">
        <f t="array" aca="1" ref="AA55" ca="1">IF(INDIRECT(ADDRESS($B55+1,AA$38,1,1,"Confirmed Day Zero"))=0,#N/A,INDIRECT(ADDRESS($B55+1,AA$38,1,1,"Confirmed Day Zero")))</f>
        <v>10897</v>
      </c>
      <c r="AB55" cm="1">
        <f t="array" aca="1" ref="AB55" ca="1">IF(INDIRECT(ADDRESS($B55+1,AB$38,1,1,"Confirmed Day Zero"))=0,#N/A,INDIRECT(ADDRESS($B55+1,AB$38,1,1,"Confirmed Day Zero")))</f>
        <v>11811</v>
      </c>
      <c r="AC55" cm="1">
        <f t="array" aca="1" ref="AC55" ca="1">IF(INDIRECT(ADDRESS($B55+1,AC$38,1,1,"Confirmed Day Zero"))=0,#N/A,INDIRECT(ADDRESS($B55+1,AC$38,1,1,"Confirmed Day Zero")))</f>
        <v>12928</v>
      </c>
      <c r="AD55" cm="1">
        <f t="array" aca="1" ref="AD55" ca="1">IF(INDIRECT(ADDRESS($B55+1,AD$38,1,1,"Confirmed Day Zero"))=0,#N/A,INDIRECT(ADDRESS($B55+1,AD$38,1,1,"Confirmed Day Zero")))</f>
        <v>14076</v>
      </c>
      <c r="AE55" cm="1">
        <f t="array" aca="1" ref="AE55" ca="1">IF(INDIRECT(ADDRESS($B55+1,AE$38,1,1,"Confirmed Day Zero"))=0,#N/A,INDIRECT(ADDRESS($B55+1,AE$38,1,1,"Confirmed Day Zero")))</f>
        <v>14829</v>
      </c>
      <c r="AF55" cm="1">
        <f t="array" aca="1" ref="AF55" ca="1">IF(INDIRECT(ADDRESS($B55+1,AF$38,1,1,"Confirmed Day Zero"))=0,#N/A,INDIRECT(ADDRESS($B55+1,AF$38,1,1,"Confirmed Day Zero")))</f>
        <v>15922</v>
      </c>
      <c r="AG55" t="e" cm="1">
        <f t="array" aca="1" ref="AG55" ca="1">IF(INDIRECT(ADDRESS($B55+1,AG$38,1,1,"Confirmed Day Zero"))=0,#N/A,INDIRECT(ADDRESS($B55+1,AG$38,1,1,"Confirmed Day Zero")))</f>
        <v>#N/A</v>
      </c>
      <c r="AH55" t="e" cm="1">
        <f t="array" aca="1" ref="AH55" ca="1">IF(INDIRECT(ADDRESS($B55+1,AH$38,1,1,"Confirmed Day Zero"))=0,#N/A,INDIRECT(ADDRESS($B55+1,AH$38,1,1,"Confirmed Day Zero")))</f>
        <v>#N/A</v>
      </c>
      <c r="AI55" t="e" cm="1">
        <f t="array" aca="1" ref="AI55" ca="1">IF(INDIRECT(ADDRESS($B55+1,AI$38,1,1,"Confirmed Day Zero"))=0,#N/A,INDIRECT(ADDRESS($B55+1,AI$38,1,1,"Confirmed Day Zero")))</f>
        <v>#N/A</v>
      </c>
      <c r="AJ55" t="e" cm="1">
        <f t="array" aca="1" ref="AJ55" ca="1">IF(INDIRECT(ADDRESS($B55+1,AJ$38,1,1,"Confirmed Day Zero"))=0,#N/A,INDIRECT(ADDRESS($B55+1,AJ$38,1,1,"Confirmed Day Zero")))</f>
        <v>#N/A</v>
      </c>
      <c r="AK55" t="e" cm="1">
        <f t="array" aca="1" ref="AK55" ca="1">IF(INDIRECT(ADDRESS($B55+1,AK$38,1,1,"Confirmed Day Zero"))=0,#N/A,INDIRECT(ADDRESS($B55+1,AK$38,1,1,"Confirmed Day Zero")))</f>
        <v>#N/A</v>
      </c>
      <c r="AL55" t="e" cm="1">
        <f t="array" aca="1" ref="AL55" ca="1">IF(INDIRECT(ADDRESS($B55+1,AL$38,1,1,"Confirmed Day Zero"))=0,#N/A,INDIRECT(ADDRESS($B55+1,AL$38,1,1,"Confirmed Day Zero")))</f>
        <v>#N/A</v>
      </c>
      <c r="AM55" t="e" cm="1">
        <f t="array" aca="1" ref="AM55" ca="1">IF(INDIRECT(ADDRESS($B55+1,AM$38,1,1,"Confirmed Day Zero"))=0,#N/A,INDIRECT(ADDRESS($B55+1,AM$38,1,1,"Confirmed Day Zero")))</f>
        <v>#N/A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</row>
    <row r="56" spans="2:74" x14ac:dyDescent="0.25">
      <c r="B56" s="16">
        <f t="shared" si="8"/>
        <v>14</v>
      </c>
      <c r="C56" t="str" cm="1">
        <f t="array" aca="1" ref="C56" ca="1">INDIRECT(ADDRESS($B56+1,1,1,1,"Confirmed Day Zero"))</f>
        <v>US</v>
      </c>
      <c r="D56" s="1" cm="1">
        <f t="array" aca="1" ref="D56" ca="1">IF(INDIRECT(ADDRESS($B56+1,D$38,1,1,"Confirmed Day Zero"))=0,#N/A,INDIRECT(ADDRESS($B56+1,D$38,1,1,"Confirmed Day Zero")))</f>
        <v>331002651</v>
      </c>
      <c r="E56" cm="1">
        <f t="array" aca="1" ref="E56" ca="1">IF(INDIRECT(ADDRESS($B56+1,E$38,1,1,"Confirmed Day Zero"))=0,#N/A,INDIRECT(ADDRESS($B56+1,E$38,1,1,"Confirmed Day Zero")))</f>
        <v>51</v>
      </c>
      <c r="F56" cm="1">
        <f t="array" aca="1" ref="F56" ca="1">IF(INDIRECT(ADDRESS($B56+1,F$38,1,1,"Confirmed Day Zero"))=0,#N/A,INDIRECT(ADDRESS($B56+1,F$38,1,1,"Confirmed Day Zero")))</f>
        <v>51</v>
      </c>
      <c r="G56" cm="1">
        <f t="array" aca="1" ref="G56" ca="1">IF(INDIRECT(ADDRESS($B56+1,G$38,1,1,"Confirmed Day Zero"))=0,#N/A,INDIRECT(ADDRESS($B56+1,G$38,1,1,"Confirmed Day Zero")))</f>
        <v>57</v>
      </c>
      <c r="H56" cm="1">
        <f t="array" aca="1" ref="H56" ca="1">IF(INDIRECT(ADDRESS($B56+1,H$38,1,1,"Confirmed Day Zero"))=0,#N/A,INDIRECT(ADDRESS($B56+1,H$38,1,1,"Confirmed Day Zero")))</f>
        <v>58</v>
      </c>
      <c r="I56" cm="1">
        <f t="array" aca="1" ref="I56" ca="1">IF(INDIRECT(ADDRESS($B56+1,I$38,1,1,"Confirmed Day Zero"))=0,#N/A,INDIRECT(ADDRESS($B56+1,I$38,1,1,"Confirmed Day Zero")))</f>
        <v>60</v>
      </c>
      <c r="J56" cm="1">
        <f t="array" aca="1" ref="J56" ca="1">IF(INDIRECT(ADDRESS($B56+1,J$38,1,1,"Confirmed Day Zero"))=0,#N/A,INDIRECT(ADDRESS($B56+1,J$38,1,1,"Confirmed Day Zero")))</f>
        <v>68</v>
      </c>
      <c r="K56" cm="1">
        <f t="array" aca="1" ref="K56" ca="1">IF(INDIRECT(ADDRESS($B56+1,K$38,1,1,"Confirmed Day Zero"))=0,#N/A,INDIRECT(ADDRESS($B56+1,K$38,1,1,"Confirmed Day Zero")))</f>
        <v>74</v>
      </c>
      <c r="L56" cm="1">
        <f t="array" aca="1" ref="L56" ca="1">IF(INDIRECT(ADDRESS($B56+1,L$38,1,1,"Confirmed Day Zero"))=0,#N/A,INDIRECT(ADDRESS($B56+1,L$38,1,1,"Confirmed Day Zero")))</f>
        <v>98</v>
      </c>
      <c r="M56" cm="1">
        <f t="array" aca="1" ref="M56" ca="1">IF(INDIRECT(ADDRESS($B56+1,M$38,1,1,"Confirmed Day Zero"))=0,#N/A,INDIRECT(ADDRESS($B56+1,M$38,1,1,"Confirmed Day Zero")))</f>
        <v>118</v>
      </c>
      <c r="N56" cm="1">
        <f t="array" aca="1" ref="N56" ca="1">IF(INDIRECT(ADDRESS($B56+1,N$38,1,1,"Confirmed Day Zero"))=0,#N/A,INDIRECT(ADDRESS($B56+1,N$38,1,1,"Confirmed Day Zero")))</f>
        <v>149</v>
      </c>
      <c r="O56" cm="1">
        <f t="array" aca="1" ref="O56" ca="1">IF(INDIRECT(ADDRESS($B56+1,O$38,1,1,"Confirmed Day Zero"))=0,#N/A,INDIRECT(ADDRESS($B56+1,O$38,1,1,"Confirmed Day Zero")))</f>
        <v>217</v>
      </c>
      <c r="P56" cm="1">
        <f t="array" aca="1" ref="P56" ca="1">IF(INDIRECT(ADDRESS($B56+1,P$38,1,1,"Confirmed Day Zero"))=0,#N/A,INDIRECT(ADDRESS($B56+1,P$38,1,1,"Confirmed Day Zero")))</f>
        <v>262</v>
      </c>
      <c r="Q56" cm="1">
        <f t="array" aca="1" ref="Q56" ca="1">IF(INDIRECT(ADDRESS($B56+1,Q$38,1,1,"Confirmed Day Zero"))=0,#N/A,INDIRECT(ADDRESS($B56+1,Q$38,1,1,"Confirmed Day Zero")))</f>
        <v>402</v>
      </c>
      <c r="R56" cm="1">
        <f t="array" aca="1" ref="R56" ca="1">IF(INDIRECT(ADDRESS($B56+1,R$38,1,1,"Confirmed Day Zero"))=0,#N/A,INDIRECT(ADDRESS($B56+1,R$38,1,1,"Confirmed Day Zero")))</f>
        <v>518</v>
      </c>
      <c r="S56" cm="1">
        <f t="array" aca="1" ref="S56" ca="1">IF(INDIRECT(ADDRESS($B56+1,S$38,1,1,"Confirmed Day Zero"))=0,#N/A,INDIRECT(ADDRESS($B56+1,S$38,1,1,"Confirmed Day Zero")))</f>
        <v>583</v>
      </c>
      <c r="T56" cm="1">
        <f t="array" aca="1" ref="T56" ca="1">IF(INDIRECT(ADDRESS($B56+1,T$38,1,1,"Confirmed Day Zero"))=0,#N/A,INDIRECT(ADDRESS($B56+1,T$38,1,1,"Confirmed Day Zero")))</f>
        <v>959</v>
      </c>
      <c r="U56" cm="1">
        <f t="array" aca="1" ref="U56" ca="1">IF(INDIRECT(ADDRESS($B56+1,U$38,1,1,"Confirmed Day Zero"))=0,#N/A,INDIRECT(ADDRESS($B56+1,U$38,1,1,"Confirmed Day Zero")))</f>
        <v>1281</v>
      </c>
      <c r="V56" cm="1">
        <f t="array" aca="1" ref="V56" ca="1">IF(INDIRECT(ADDRESS($B56+1,V$38,1,1,"Confirmed Day Zero"))=0,#N/A,INDIRECT(ADDRESS($B56+1,V$38,1,1,"Confirmed Day Zero")))</f>
        <v>1663</v>
      </c>
      <c r="W56" cm="1">
        <f t="array" aca="1" ref="W56" ca="1">IF(INDIRECT(ADDRESS($B56+1,W$38,1,1,"Confirmed Day Zero"))=0,#N/A,INDIRECT(ADDRESS($B56+1,W$38,1,1,"Confirmed Day Zero")))</f>
        <v>2179</v>
      </c>
      <c r="X56" cm="1">
        <f t="array" aca="1" ref="X56" ca="1">IF(INDIRECT(ADDRESS($B56+1,X$38,1,1,"Confirmed Day Zero"))=0,#N/A,INDIRECT(ADDRESS($B56+1,X$38,1,1,"Confirmed Day Zero")))</f>
        <v>2727</v>
      </c>
      <c r="Y56" cm="1">
        <f t="array" aca="1" ref="Y56" ca="1">IF(INDIRECT(ADDRESS($B56+1,Y$38,1,1,"Confirmed Day Zero"))=0,#N/A,INDIRECT(ADDRESS($B56+1,Y$38,1,1,"Confirmed Day Zero")))</f>
        <v>3499</v>
      </c>
      <c r="Z56" cm="1">
        <f t="array" aca="1" ref="Z56" ca="1">IF(INDIRECT(ADDRESS($B56+1,Z$38,1,1,"Confirmed Day Zero"))=0,#N/A,INDIRECT(ADDRESS($B56+1,Z$38,1,1,"Confirmed Day Zero")))</f>
        <v>4632</v>
      </c>
      <c r="AA56" cm="1">
        <f t="array" aca="1" ref="AA56" ca="1">IF(INDIRECT(ADDRESS($B56+1,AA$38,1,1,"Confirmed Day Zero"))=0,#N/A,INDIRECT(ADDRESS($B56+1,AA$38,1,1,"Confirmed Day Zero")))</f>
        <v>6421</v>
      </c>
      <c r="AB56" cm="1">
        <f t="array" aca="1" ref="AB56" ca="1">IF(INDIRECT(ADDRESS($B56+1,AB$38,1,1,"Confirmed Day Zero"))=0,#N/A,INDIRECT(ADDRESS($B56+1,AB$38,1,1,"Confirmed Day Zero")))</f>
        <v>7783</v>
      </c>
      <c r="AC56" cm="1">
        <f t="array" aca="1" ref="AC56" ca="1">IF(INDIRECT(ADDRESS($B56+1,AC$38,1,1,"Confirmed Day Zero"))=0,#N/A,INDIRECT(ADDRESS($B56+1,AC$38,1,1,"Confirmed Day Zero")))</f>
        <v>13677</v>
      </c>
      <c r="AD56" cm="1">
        <f t="array" aca="1" ref="AD56" ca="1">IF(INDIRECT(ADDRESS($B56+1,AD$38,1,1,"Confirmed Day Zero"))=0,#N/A,INDIRECT(ADDRESS($B56+1,AD$38,1,1,"Confirmed Day Zero")))</f>
        <v>19100</v>
      </c>
      <c r="AE56" cm="1">
        <f t="array" aca="1" ref="AE56" ca="1">IF(INDIRECT(ADDRESS($B56+1,AE$38,1,1,"Confirmed Day Zero"))=0,#N/A,INDIRECT(ADDRESS($B56+1,AE$38,1,1,"Confirmed Day Zero")))</f>
        <v>25489</v>
      </c>
      <c r="AF56" cm="1">
        <f t="array" aca="1" ref="AF56" ca="1">IF(INDIRECT(ADDRESS($B56+1,AF$38,1,1,"Confirmed Day Zero"))=0,#N/A,INDIRECT(ADDRESS($B56+1,AF$38,1,1,"Confirmed Day Zero")))</f>
        <v>33276</v>
      </c>
      <c r="AG56" cm="1">
        <f t="array" aca="1" ref="AG56" ca="1">IF(INDIRECT(ADDRESS($B56+1,AG$38,1,1,"Confirmed Day Zero"))=0,#N/A,INDIRECT(ADDRESS($B56+1,AG$38,1,1,"Confirmed Day Zero")))</f>
        <v>43847</v>
      </c>
      <c r="AH56" cm="1">
        <f t="array" aca="1" ref="AH56" ca="1">IF(INDIRECT(ADDRESS($B56+1,AH$38,1,1,"Confirmed Day Zero"))=0,#N/A,INDIRECT(ADDRESS($B56+1,AH$38,1,1,"Confirmed Day Zero")))</f>
        <v>53740</v>
      </c>
      <c r="AI56" cm="1">
        <f t="array" aca="1" ref="AI56" ca="1">IF(INDIRECT(ADDRESS($B56+1,AI$38,1,1,"Confirmed Day Zero"))=0,#N/A,INDIRECT(ADDRESS($B56+1,AI$38,1,1,"Confirmed Day Zero")))</f>
        <v>65778</v>
      </c>
      <c r="AJ56" cm="1">
        <f t="array" aca="1" ref="AJ56" ca="1">IF(INDIRECT(ADDRESS($B56+1,AJ$38,1,1,"Confirmed Day Zero"))=0,#N/A,INDIRECT(ADDRESS($B56+1,AJ$38,1,1,"Confirmed Day Zero")))</f>
        <v>83836</v>
      </c>
      <c r="AK56" cm="1">
        <f t="array" aca="1" ref="AK56" ca="1">IF(INDIRECT(ADDRESS($B56+1,AK$38,1,1,"Confirmed Day Zero"))=0,#N/A,INDIRECT(ADDRESS($B56+1,AK$38,1,1,"Confirmed Day Zero")))</f>
        <v>101657</v>
      </c>
      <c r="AL56" cm="1">
        <f t="array" aca="1" ref="AL56" ca="1">IF(INDIRECT(ADDRESS($B56+1,AL$38,1,1,"Confirmed Day Zero"))=0,#N/A,INDIRECT(ADDRESS($B56+1,AL$38,1,1,"Confirmed Day Zero")))</f>
        <v>121478</v>
      </c>
      <c r="AM56" cm="1">
        <f t="array" aca="1" ref="AM56" ca="1">IF(INDIRECT(ADDRESS($B56+1,AM$38,1,1,"Confirmed Day Zero"))=0,#N/A,INDIRECT(ADDRESS($B56+1,AM$38,1,1,"Confirmed Day Zero")))</f>
        <v>140886</v>
      </c>
      <c r="AN56" cm="1">
        <f t="array" aca="1" ref="AN56" ca="1">IF(INDIRECT(ADDRESS($B56+1,AN$38,1,1,"Confirmed Day Zero"))=0,#N/A,INDIRECT(ADDRESS($B56+1,AN$38,1,1,"Confirmed Day Zero")))</f>
        <v>161807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</row>
    <row r="57" spans="2:74" x14ac:dyDescent="0.25">
      <c r="B57" s="16">
        <f t="shared" si="8"/>
        <v>15</v>
      </c>
      <c r="C57" t="str" cm="1">
        <f t="array" aca="1" ref="C57" ca="1">INDIRECT(ADDRESS($B57+1,1,1,1,"Confirmed Day Zero"))</f>
        <v>United Kingdom</v>
      </c>
      <c r="D57" s="1" cm="1">
        <f t="array" aca="1" ref="D57" ca="1">IF(INDIRECT(ADDRESS($B57+1,D$38,1,1,"Confirmed Day Zero"))=0,#N/A,INDIRECT(ADDRESS($B57+1,D$38,1,1,"Confirmed Day Zero")))</f>
        <v>67886011</v>
      </c>
      <c r="E57" cm="1">
        <f t="array" aca="1" ref="E57" ca="1">IF(INDIRECT(ADDRESS($B57+1,E$38,1,1,"Confirmed Day Zero"))=0,#N/A,INDIRECT(ADDRESS($B57+1,E$38,1,1,"Confirmed Day Zero")))</f>
        <v>51</v>
      </c>
      <c r="F57" cm="1">
        <f t="array" aca="1" ref="F57" ca="1">IF(INDIRECT(ADDRESS($B57+1,F$38,1,1,"Confirmed Day Zero"))=0,#N/A,INDIRECT(ADDRESS($B57+1,F$38,1,1,"Confirmed Day Zero")))</f>
        <v>85</v>
      </c>
      <c r="G57" cm="1">
        <f t="array" aca="1" ref="G57" ca="1">IF(INDIRECT(ADDRESS($B57+1,G$38,1,1,"Confirmed Day Zero"))=0,#N/A,INDIRECT(ADDRESS($B57+1,G$38,1,1,"Confirmed Day Zero")))</f>
        <v>115</v>
      </c>
      <c r="H57" cm="1">
        <f t="array" aca="1" ref="H57" ca="1">IF(INDIRECT(ADDRESS($B57+1,H$38,1,1,"Confirmed Day Zero"))=0,#N/A,INDIRECT(ADDRESS($B57+1,H$38,1,1,"Confirmed Day Zero")))</f>
        <v>163</v>
      </c>
      <c r="I57" cm="1">
        <f t="array" aca="1" ref="I57" ca="1">IF(INDIRECT(ADDRESS($B57+1,I$38,1,1,"Confirmed Day Zero"))=0,#N/A,INDIRECT(ADDRESS($B57+1,I$38,1,1,"Confirmed Day Zero")))</f>
        <v>206</v>
      </c>
      <c r="J57" cm="1">
        <f t="array" aca="1" ref="J57" ca="1">IF(INDIRECT(ADDRESS($B57+1,J$38,1,1,"Confirmed Day Zero"))=0,#N/A,INDIRECT(ADDRESS($B57+1,J$38,1,1,"Confirmed Day Zero")))</f>
        <v>273</v>
      </c>
      <c r="K57" cm="1">
        <f t="array" aca="1" ref="K57" ca="1">IF(INDIRECT(ADDRESS($B57+1,K$38,1,1,"Confirmed Day Zero"))=0,#N/A,INDIRECT(ADDRESS($B57+1,K$38,1,1,"Confirmed Day Zero")))</f>
        <v>321</v>
      </c>
      <c r="L57" cm="1">
        <f t="array" aca="1" ref="L57" ca="1">IF(INDIRECT(ADDRESS($B57+1,L$38,1,1,"Confirmed Day Zero"))=0,#N/A,INDIRECT(ADDRESS($B57+1,L$38,1,1,"Confirmed Day Zero")))</f>
        <v>382</v>
      </c>
      <c r="M57" cm="1">
        <f t="array" aca="1" ref="M57" ca="1">IF(INDIRECT(ADDRESS($B57+1,M$38,1,1,"Confirmed Day Zero"))=0,#N/A,INDIRECT(ADDRESS($B57+1,M$38,1,1,"Confirmed Day Zero")))</f>
        <v>456</v>
      </c>
      <c r="N57" cm="1">
        <f t="array" aca="1" ref="N57" ca="1">IF(INDIRECT(ADDRESS($B57+1,N$38,1,1,"Confirmed Day Zero"))=0,#N/A,INDIRECT(ADDRESS($B57+1,N$38,1,1,"Confirmed Day Zero")))</f>
        <v>456</v>
      </c>
      <c r="O57" cm="1">
        <f t="array" aca="1" ref="O57" ca="1">IF(INDIRECT(ADDRESS($B57+1,O$38,1,1,"Confirmed Day Zero"))=0,#N/A,INDIRECT(ADDRESS($B57+1,O$38,1,1,"Confirmed Day Zero")))</f>
        <v>798</v>
      </c>
      <c r="P57" cm="1">
        <f t="array" aca="1" ref="P57" ca="1">IF(INDIRECT(ADDRESS($B57+1,P$38,1,1,"Confirmed Day Zero"))=0,#N/A,INDIRECT(ADDRESS($B57+1,P$38,1,1,"Confirmed Day Zero")))</f>
        <v>1140</v>
      </c>
      <c r="Q57" cm="1">
        <f t="array" aca="1" ref="Q57" ca="1">IF(INDIRECT(ADDRESS($B57+1,Q$38,1,1,"Confirmed Day Zero"))=0,#N/A,INDIRECT(ADDRESS($B57+1,Q$38,1,1,"Confirmed Day Zero")))</f>
        <v>1140</v>
      </c>
      <c r="R57" cm="1">
        <f t="array" aca="1" ref="R57" ca="1">IF(INDIRECT(ADDRESS($B57+1,R$38,1,1,"Confirmed Day Zero"))=0,#N/A,INDIRECT(ADDRESS($B57+1,R$38,1,1,"Confirmed Day Zero")))</f>
        <v>1543</v>
      </c>
      <c r="S57" cm="1">
        <f t="array" aca="1" ref="S57" ca="1">IF(INDIRECT(ADDRESS($B57+1,S$38,1,1,"Confirmed Day Zero"))=0,#N/A,INDIRECT(ADDRESS($B57+1,S$38,1,1,"Confirmed Day Zero")))</f>
        <v>1950</v>
      </c>
      <c r="T57" cm="1">
        <f t="array" aca="1" ref="T57" ca="1">IF(INDIRECT(ADDRESS($B57+1,T$38,1,1,"Confirmed Day Zero"))=0,#N/A,INDIRECT(ADDRESS($B57+1,T$38,1,1,"Confirmed Day Zero")))</f>
        <v>2626</v>
      </c>
      <c r="U57" cm="1">
        <f t="array" aca="1" ref="U57" ca="1">IF(INDIRECT(ADDRESS($B57+1,U$38,1,1,"Confirmed Day Zero"))=0,#N/A,INDIRECT(ADDRESS($B57+1,U$38,1,1,"Confirmed Day Zero")))</f>
        <v>2689</v>
      </c>
      <c r="V57" cm="1">
        <f t="array" aca="1" ref="V57" ca="1">IF(INDIRECT(ADDRESS($B57+1,V$38,1,1,"Confirmed Day Zero"))=0,#N/A,INDIRECT(ADDRESS($B57+1,V$38,1,1,"Confirmed Day Zero")))</f>
        <v>3983</v>
      </c>
      <c r="W57" cm="1">
        <f t="array" aca="1" ref="W57" ca="1">IF(INDIRECT(ADDRESS($B57+1,W$38,1,1,"Confirmed Day Zero"))=0,#N/A,INDIRECT(ADDRESS($B57+1,W$38,1,1,"Confirmed Day Zero")))</f>
        <v>5018</v>
      </c>
      <c r="X57" cm="1">
        <f t="array" aca="1" ref="X57" ca="1">IF(INDIRECT(ADDRESS($B57+1,X$38,1,1,"Confirmed Day Zero"))=0,#N/A,INDIRECT(ADDRESS($B57+1,X$38,1,1,"Confirmed Day Zero")))</f>
        <v>5683</v>
      </c>
      <c r="Y57" cm="1">
        <f t="array" aca="1" ref="Y57" ca="1">IF(INDIRECT(ADDRESS($B57+1,Y$38,1,1,"Confirmed Day Zero"))=0,#N/A,INDIRECT(ADDRESS($B57+1,Y$38,1,1,"Confirmed Day Zero")))</f>
        <v>6650</v>
      </c>
      <c r="Z57" cm="1">
        <f t="array" aca="1" ref="Z57" ca="1">IF(INDIRECT(ADDRESS($B57+1,Z$38,1,1,"Confirmed Day Zero"))=0,#N/A,INDIRECT(ADDRESS($B57+1,Z$38,1,1,"Confirmed Day Zero")))</f>
        <v>8077</v>
      </c>
      <c r="AA57" cm="1">
        <f t="array" aca="1" ref="AA57" ca="1">IF(INDIRECT(ADDRESS($B57+1,AA$38,1,1,"Confirmed Day Zero"))=0,#N/A,INDIRECT(ADDRESS($B57+1,AA$38,1,1,"Confirmed Day Zero")))</f>
        <v>9529</v>
      </c>
      <c r="AB57" cm="1">
        <f t="array" aca="1" ref="AB57" ca="1">IF(INDIRECT(ADDRESS($B57+1,AB$38,1,1,"Confirmed Day Zero"))=0,#N/A,INDIRECT(ADDRESS($B57+1,AB$38,1,1,"Confirmed Day Zero")))</f>
        <v>11658</v>
      </c>
      <c r="AC57" cm="1">
        <f t="array" aca="1" ref="AC57" ca="1">IF(INDIRECT(ADDRESS($B57+1,AC$38,1,1,"Confirmed Day Zero"))=0,#N/A,INDIRECT(ADDRESS($B57+1,AC$38,1,1,"Confirmed Day Zero")))</f>
        <v>14543</v>
      </c>
      <c r="AD57" cm="1">
        <f t="array" aca="1" ref="AD57" ca="1">IF(INDIRECT(ADDRESS($B57+1,AD$38,1,1,"Confirmed Day Zero"))=0,#N/A,INDIRECT(ADDRESS($B57+1,AD$38,1,1,"Confirmed Day Zero")))</f>
        <v>17089</v>
      </c>
      <c r="AE57" cm="1">
        <f t="array" aca="1" ref="AE57" ca="1">IF(INDIRECT(ADDRESS($B57+1,AE$38,1,1,"Confirmed Day Zero"))=0,#N/A,INDIRECT(ADDRESS($B57+1,AE$38,1,1,"Confirmed Day Zero")))</f>
        <v>19522</v>
      </c>
      <c r="AF57" cm="1">
        <f t="array" aca="1" ref="AF57" ca="1">IF(INDIRECT(ADDRESS($B57+1,AF$38,1,1,"Confirmed Day Zero"))=0,#N/A,INDIRECT(ADDRESS($B57+1,AF$38,1,1,"Confirmed Day Zero")))</f>
        <v>22141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</row>
    <row r="58" spans="2:74" x14ac:dyDescent="0.25">
      <c r="B58" s="16">
        <f t="shared" si="8"/>
        <v>16</v>
      </c>
      <c r="C58" cm="1">
        <f t="array" aca="1" ref="C58" ca="1">INDIRECT(ADDRESS($B58+1,1,1,1,"Confirmed Day Zero"))</f>
        <v>0</v>
      </c>
      <c r="D58" s="1" t="e" cm="1">
        <f t="array" aca="1" ref="D58" ca="1">IF(INDIRECT(ADDRESS($B58+1,D$38,1,1,"Confirmed Day Zero"))=0,#N/A,INDIRECT(ADDRESS($B58+1,D$38,1,1,"Confirmed Day Zero")))</f>
        <v>#N/A</v>
      </c>
      <c r="E58" t="e" cm="1">
        <f t="array" aca="1" ref="E58" ca="1">IF(INDIRECT(ADDRESS($B58+1,E$38,1,1,"Confirmed Day Zero"))=0,#N/A,INDIRECT(ADDRESS($B58+1,E$38,1,1,"Confirmed Day Zero")))</f>
        <v>#N/A</v>
      </c>
      <c r="F58" t="e" cm="1">
        <f t="array" aca="1" ref="F58" ca="1">IF(INDIRECT(ADDRESS($B58+1,F$38,1,1,"Confirmed Day Zero"))=0,#N/A,INDIRECT(ADDRESS($B58+1,F$38,1,1,"Confirmed Day Zero")))</f>
        <v>#N/A</v>
      </c>
      <c r="G58" t="e" cm="1">
        <f t="array" aca="1" ref="G58" ca="1">IF(INDIRECT(ADDRESS($B58+1,G$38,1,1,"Confirmed Day Zero"))=0,#N/A,INDIRECT(ADDRESS($B58+1,G$38,1,1,"Confirmed Day Zero")))</f>
        <v>#N/A</v>
      </c>
      <c r="H58" t="e" cm="1">
        <f t="array" aca="1" ref="H58" ca="1">IF(INDIRECT(ADDRESS($B58+1,H$38,1,1,"Confirmed Day Zero"))=0,#N/A,INDIRECT(ADDRESS($B58+1,H$38,1,1,"Confirmed Day Zero")))</f>
        <v>#N/A</v>
      </c>
      <c r="I58" t="e" cm="1">
        <f t="array" aca="1" ref="I58" ca="1">IF(INDIRECT(ADDRESS($B58+1,I$38,1,1,"Confirmed Day Zero"))=0,#N/A,INDIRECT(ADDRESS($B58+1,I$38,1,1,"Confirmed Day Zero")))</f>
        <v>#N/A</v>
      </c>
      <c r="J58" t="e" cm="1">
        <f t="array" aca="1" ref="J58" ca="1">IF(INDIRECT(ADDRESS($B58+1,J$38,1,1,"Confirmed Day Zero"))=0,#N/A,INDIRECT(ADDRESS($B58+1,J$38,1,1,"Confirmed Day Zero")))</f>
        <v>#N/A</v>
      </c>
      <c r="K58" t="e" cm="1">
        <f t="array" aca="1" ref="K58" ca="1">IF(INDIRECT(ADDRESS($B58+1,K$38,1,1,"Confirmed Day Zero"))=0,#N/A,INDIRECT(ADDRESS($B58+1,K$38,1,1,"Confirmed Day Zero")))</f>
        <v>#N/A</v>
      </c>
      <c r="L58" t="e" cm="1">
        <f t="array" aca="1" ref="L58" ca="1">IF(INDIRECT(ADDRESS($B58+1,L$38,1,1,"Confirmed Day Zero"))=0,#N/A,INDIRECT(ADDRESS($B58+1,L$38,1,1,"Confirmed Day Zero")))</f>
        <v>#N/A</v>
      </c>
      <c r="M58" t="e" cm="1">
        <f t="array" aca="1" ref="M58" ca="1">IF(INDIRECT(ADDRESS($B58+1,M$38,1,1,"Confirmed Day Zero"))=0,#N/A,INDIRECT(ADDRESS($B58+1,M$38,1,1,"Confirmed Day Zero")))</f>
        <v>#N/A</v>
      </c>
      <c r="N58" t="e" cm="1">
        <f t="array" aca="1" ref="N58" ca="1">IF(INDIRECT(ADDRESS($B58+1,N$38,1,1,"Confirmed Day Zero"))=0,#N/A,INDIRECT(ADDRESS($B58+1,N$38,1,1,"Confirmed Day Zero")))</f>
        <v>#N/A</v>
      </c>
      <c r="O58" t="e" cm="1">
        <f t="array" aca="1" ref="O58" ca="1">IF(INDIRECT(ADDRESS($B58+1,O$38,1,1,"Confirmed Day Zero"))=0,#N/A,INDIRECT(ADDRESS($B58+1,O$38,1,1,"Confirmed Day Zero")))</f>
        <v>#N/A</v>
      </c>
      <c r="P58" t="e" cm="1">
        <f t="array" aca="1" ref="P58" ca="1">IF(INDIRECT(ADDRESS($B58+1,P$38,1,1,"Confirmed Day Zero"))=0,#N/A,INDIRECT(ADDRESS($B58+1,P$38,1,1,"Confirmed Day Zero")))</f>
        <v>#N/A</v>
      </c>
      <c r="Q58" t="e" cm="1">
        <f t="array" aca="1" ref="Q58" ca="1">IF(INDIRECT(ADDRESS($B58+1,Q$38,1,1,"Confirmed Day Zero"))=0,#N/A,INDIRECT(ADDRESS($B58+1,Q$38,1,1,"Confirmed Day Zero")))</f>
        <v>#N/A</v>
      </c>
      <c r="R58" t="e" cm="1">
        <f t="array" aca="1" ref="R58" ca="1">IF(INDIRECT(ADDRESS($B58+1,R$38,1,1,"Confirmed Day Zero"))=0,#N/A,INDIRECT(ADDRESS($B58+1,R$38,1,1,"Confirmed Day Zero")))</f>
        <v>#N/A</v>
      </c>
      <c r="S58" t="e" cm="1">
        <f t="array" aca="1" ref="S58" ca="1">IF(INDIRECT(ADDRESS($B58+1,S$38,1,1,"Confirmed Day Zero"))=0,#N/A,INDIRECT(ADDRESS($B58+1,S$38,1,1,"Confirmed Day Zero")))</f>
        <v>#N/A</v>
      </c>
      <c r="T58" t="e" cm="1">
        <f t="array" aca="1" ref="T58" ca="1">IF(INDIRECT(ADDRESS($B58+1,T$38,1,1,"Confirmed Day Zero"))=0,#N/A,INDIRECT(ADDRESS($B58+1,T$38,1,1,"Confirmed Day Zero")))</f>
        <v>#N/A</v>
      </c>
      <c r="U58" t="e" cm="1">
        <f t="array" aca="1" ref="U58" ca="1">IF(INDIRECT(ADDRESS($B58+1,U$38,1,1,"Confirmed Day Zero"))=0,#N/A,INDIRECT(ADDRESS($B58+1,U$38,1,1,"Confirmed Day Zero")))</f>
        <v>#N/A</v>
      </c>
      <c r="V58" t="e" cm="1">
        <f t="array" aca="1" ref="V58" ca="1">IF(INDIRECT(ADDRESS($B58+1,V$38,1,1,"Confirmed Day Zero"))=0,#N/A,INDIRECT(ADDRESS($B58+1,V$38,1,1,"Confirmed Day Zero")))</f>
        <v>#N/A</v>
      </c>
      <c r="W58" t="e" cm="1">
        <f t="array" aca="1" ref="W58" ca="1">IF(INDIRECT(ADDRESS($B58+1,W$38,1,1,"Confirmed Day Zero"))=0,#N/A,INDIRECT(ADDRESS($B58+1,W$38,1,1,"Confirmed Day Zero")))</f>
        <v>#N/A</v>
      </c>
      <c r="X58" t="e" cm="1">
        <f t="array" aca="1" ref="X58" ca="1">IF(INDIRECT(ADDRESS($B58+1,X$38,1,1,"Confirmed Day Zero"))=0,#N/A,INDIRECT(ADDRESS($B58+1,X$38,1,1,"Confirmed Day Zero")))</f>
        <v>#N/A</v>
      </c>
      <c r="Y58" t="e" cm="1">
        <f t="array" aca="1" ref="Y58" ca="1">IF(INDIRECT(ADDRESS($B58+1,Y$38,1,1,"Confirmed Day Zero"))=0,#N/A,INDIRECT(ADDRESS($B58+1,Y$38,1,1,"Confirmed Day Zero")))</f>
        <v>#N/A</v>
      </c>
      <c r="Z58" t="e" cm="1">
        <f t="array" aca="1" ref="Z58" ca="1">IF(INDIRECT(ADDRESS($B58+1,Z$38,1,1,"Confirmed Day Zero"))=0,#N/A,INDIRECT(ADDRESS($B58+1,Z$38,1,1,"Confirmed Day Zero")))</f>
        <v>#N/A</v>
      </c>
      <c r="AA58" t="e" cm="1">
        <f t="array" aca="1" ref="AA58" ca="1">IF(INDIRECT(ADDRESS($B58+1,AA$38,1,1,"Confirmed Day Zero"))=0,#N/A,INDIRECT(ADDRESS($B58+1,AA$38,1,1,"Confirmed Day Zero")))</f>
        <v>#N/A</v>
      </c>
      <c r="AB58" t="e" cm="1">
        <f t="array" aca="1" ref="AB58" ca="1">IF(INDIRECT(ADDRESS($B58+1,AB$38,1,1,"Confirmed Day Zero"))=0,#N/A,INDIRECT(ADDRESS($B58+1,AB$38,1,1,"Confirmed Day Zero")))</f>
        <v>#N/A</v>
      </c>
      <c r="AC58" t="e" cm="1">
        <f t="array" aca="1" ref="AC58" ca="1">IF(INDIRECT(ADDRESS($B58+1,AC$38,1,1,"Confirmed Day Zero"))=0,#N/A,INDIRECT(ADDRESS($B58+1,AC$38,1,1,"Confirmed Day Zero")))</f>
        <v>#N/A</v>
      </c>
      <c r="AD58" t="e" cm="1">
        <f t="array" aca="1" ref="AD58" ca="1">IF(INDIRECT(ADDRESS($B58+1,AD$38,1,1,"Confirmed Day Zero"))=0,#N/A,INDIRECT(ADDRESS($B58+1,AD$38,1,1,"Confirmed Day Zero")))</f>
        <v>#N/A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</row>
    <row r="59" spans="2:74" x14ac:dyDescent="0.25">
      <c r="B59" s="16">
        <f t="shared" si="8"/>
        <v>17</v>
      </c>
      <c r="C59" cm="1">
        <f t="array" aca="1" ref="C59" ca="1">INDIRECT(ADDRESS($B59+1,1,1,1,"Confirmed Day Zero"))</f>
        <v>0</v>
      </c>
      <c r="D59" s="1" t="e" cm="1">
        <f t="array" aca="1" ref="D59" ca="1">IF(INDIRECT(ADDRESS($B59+1,D$38,1,1,"Confirmed Day Zero"))=0,#N/A,INDIRECT(ADDRESS($B59+1,D$38,1,1,"Confirmed Day Zero")))</f>
        <v>#N/A</v>
      </c>
      <c r="E59" t="e" cm="1">
        <f t="array" aca="1" ref="E59" ca="1">IF(INDIRECT(ADDRESS($B59+1,E$38,1,1,"Confirmed Day Zero"))=0,#N/A,INDIRECT(ADDRESS($B59+1,E$38,1,1,"Confirmed Day Zero")))</f>
        <v>#N/A</v>
      </c>
      <c r="F59" t="e" cm="1">
        <f t="array" aca="1" ref="F59" ca="1">IF(INDIRECT(ADDRESS($B59+1,F$38,1,1,"Confirmed Day Zero"))=0,#N/A,INDIRECT(ADDRESS($B59+1,F$38,1,1,"Confirmed Day Zero")))</f>
        <v>#N/A</v>
      </c>
      <c r="G59" t="e" cm="1">
        <f t="array" aca="1" ref="G59" ca="1">IF(INDIRECT(ADDRESS($B59+1,G$38,1,1,"Confirmed Day Zero"))=0,#N/A,INDIRECT(ADDRESS($B59+1,G$38,1,1,"Confirmed Day Zero")))</f>
        <v>#N/A</v>
      </c>
      <c r="H59" t="e" cm="1">
        <f t="array" aca="1" ref="H59" ca="1">IF(INDIRECT(ADDRESS($B59+1,H$38,1,1,"Confirmed Day Zero"))=0,#N/A,INDIRECT(ADDRESS($B59+1,H$38,1,1,"Confirmed Day Zero")))</f>
        <v>#N/A</v>
      </c>
      <c r="I59" t="e" cm="1">
        <f t="array" aca="1" ref="I59" ca="1">IF(INDIRECT(ADDRESS($B59+1,I$38,1,1,"Confirmed Day Zero"))=0,#N/A,INDIRECT(ADDRESS($B59+1,I$38,1,1,"Confirmed Day Zero")))</f>
        <v>#N/A</v>
      </c>
      <c r="J59" t="e" cm="1">
        <f t="array" aca="1" ref="J59" ca="1">IF(INDIRECT(ADDRESS($B59+1,J$38,1,1,"Confirmed Day Zero"))=0,#N/A,INDIRECT(ADDRESS($B59+1,J$38,1,1,"Confirmed Day Zero")))</f>
        <v>#N/A</v>
      </c>
      <c r="K59" t="e" cm="1">
        <f t="array" aca="1" ref="K59" ca="1">IF(INDIRECT(ADDRESS($B59+1,K$38,1,1,"Confirmed Day Zero"))=0,#N/A,INDIRECT(ADDRESS($B59+1,K$38,1,1,"Confirmed Day Zero")))</f>
        <v>#N/A</v>
      </c>
      <c r="L59" t="e" cm="1">
        <f t="array" aca="1" ref="L59" ca="1">IF(INDIRECT(ADDRESS($B59+1,L$38,1,1,"Confirmed Day Zero"))=0,#N/A,INDIRECT(ADDRESS($B59+1,L$38,1,1,"Confirmed Day Zero")))</f>
        <v>#N/A</v>
      </c>
      <c r="M59" t="e" cm="1">
        <f t="array" aca="1" ref="M59" ca="1">IF(INDIRECT(ADDRESS($B59+1,M$38,1,1,"Confirmed Day Zero"))=0,#N/A,INDIRECT(ADDRESS($B59+1,M$38,1,1,"Confirmed Day Zero")))</f>
        <v>#N/A</v>
      </c>
      <c r="N59" t="e" cm="1">
        <f t="array" aca="1" ref="N59" ca="1">IF(INDIRECT(ADDRESS($B59+1,N$38,1,1,"Confirmed Day Zero"))=0,#N/A,INDIRECT(ADDRESS($B59+1,N$38,1,1,"Confirmed Day Zero")))</f>
        <v>#N/A</v>
      </c>
      <c r="O59" t="e" cm="1">
        <f t="array" aca="1" ref="O59" ca="1">IF(INDIRECT(ADDRESS($B59+1,O$38,1,1,"Confirmed Day Zero"))=0,#N/A,INDIRECT(ADDRESS($B59+1,O$38,1,1,"Confirmed Day Zero")))</f>
        <v>#N/A</v>
      </c>
      <c r="P59" t="e" cm="1">
        <f t="array" aca="1" ref="P59" ca="1">IF(INDIRECT(ADDRESS($B59+1,P$38,1,1,"Confirmed Day Zero"))=0,#N/A,INDIRECT(ADDRESS($B59+1,P$38,1,1,"Confirmed Day Zero")))</f>
        <v>#N/A</v>
      </c>
      <c r="Q59" t="e" cm="1">
        <f t="array" aca="1" ref="Q59" ca="1">IF(INDIRECT(ADDRESS($B59+1,Q$38,1,1,"Confirmed Day Zero"))=0,#N/A,INDIRECT(ADDRESS($B59+1,Q$38,1,1,"Confirmed Day Zero")))</f>
        <v>#N/A</v>
      </c>
      <c r="R59" t="e" cm="1">
        <f t="array" aca="1" ref="R59" ca="1">IF(INDIRECT(ADDRESS($B59+1,R$38,1,1,"Confirmed Day Zero"))=0,#N/A,INDIRECT(ADDRESS($B59+1,R$38,1,1,"Confirmed Day Zero")))</f>
        <v>#N/A</v>
      </c>
      <c r="S59" t="e" cm="1">
        <f t="array" aca="1" ref="S59" ca="1">IF(INDIRECT(ADDRESS($B59+1,S$38,1,1,"Confirmed Day Zero"))=0,#N/A,INDIRECT(ADDRESS($B59+1,S$38,1,1,"Confirmed Day Zero")))</f>
        <v>#N/A</v>
      </c>
      <c r="T59" t="e" cm="1">
        <f t="array" aca="1" ref="T59" ca="1">IF(INDIRECT(ADDRESS($B59+1,T$38,1,1,"Confirmed Day Zero"))=0,#N/A,INDIRECT(ADDRESS($B59+1,T$38,1,1,"Confirmed Day Zero")))</f>
        <v>#N/A</v>
      </c>
      <c r="U59" t="e" cm="1">
        <f t="array" aca="1" ref="U59" ca="1">IF(INDIRECT(ADDRESS($B59+1,U$38,1,1,"Confirmed Day Zero"))=0,#N/A,INDIRECT(ADDRESS($B59+1,U$38,1,1,"Confirmed Day Zero")))</f>
        <v>#N/A</v>
      </c>
      <c r="V59" t="e" cm="1">
        <f t="array" aca="1" ref="V59" ca="1">IF(INDIRECT(ADDRESS($B59+1,V$38,1,1,"Confirmed Day Zero"))=0,#N/A,INDIRECT(ADDRESS($B59+1,V$38,1,1,"Confirmed Day Zero")))</f>
        <v>#N/A</v>
      </c>
      <c r="W59" t="e" cm="1">
        <f t="array" aca="1" ref="W59" ca="1">IF(INDIRECT(ADDRESS($B59+1,W$38,1,1,"Confirmed Day Zero"))=0,#N/A,INDIRECT(ADDRESS($B59+1,W$38,1,1,"Confirmed Day Zero")))</f>
        <v>#N/A</v>
      </c>
      <c r="X59" t="e" cm="1">
        <f t="array" aca="1" ref="X59" ca="1">IF(INDIRECT(ADDRESS($B59+1,X$38,1,1,"Confirmed Day Zero"))=0,#N/A,INDIRECT(ADDRESS($B59+1,X$38,1,1,"Confirmed Day Zero")))</f>
        <v>#N/A</v>
      </c>
      <c r="Y59" t="e" cm="1">
        <f t="array" aca="1" ref="Y59" ca="1">IF(INDIRECT(ADDRESS($B59+1,Y$38,1,1,"Confirmed Day Zero"))=0,#N/A,INDIRECT(ADDRESS($B59+1,Y$38,1,1,"Confirmed Day Zero")))</f>
        <v>#N/A</v>
      </c>
      <c r="Z59" t="e" cm="1">
        <f t="array" aca="1" ref="Z59" ca="1">IF(INDIRECT(ADDRESS($B59+1,Z$38,1,1,"Confirmed Day Zero"))=0,#N/A,INDIRECT(ADDRESS($B59+1,Z$38,1,1,"Confirmed Day Zero")))</f>
        <v>#N/A</v>
      </c>
      <c r="AA59" t="e" cm="1">
        <f t="array" aca="1" ref="AA59" ca="1">IF(INDIRECT(ADDRESS($B59+1,AA$38,1,1,"Confirmed Day Zero"))=0,#N/A,INDIRECT(ADDRESS($B59+1,AA$38,1,1,"Confirmed Day Zero")))</f>
        <v>#N/A</v>
      </c>
      <c r="AB59" t="e" cm="1">
        <f t="array" aca="1" ref="AB59" ca="1">IF(INDIRECT(ADDRESS($B59+1,AB$38,1,1,"Confirmed Day Zero"))=0,#N/A,INDIRECT(ADDRESS($B59+1,AB$38,1,1,"Confirmed Day Zero")))</f>
        <v>#N/A</v>
      </c>
      <c r="AC59" t="e" cm="1">
        <f t="array" aca="1" ref="AC59" ca="1">IF(INDIRECT(ADDRESS($B59+1,AC$38,1,1,"Confirmed Day Zero"))=0,#N/A,INDIRECT(ADDRESS($B59+1,AC$38,1,1,"Confirmed Day Zero")))</f>
        <v>#N/A</v>
      </c>
      <c r="AD59" t="e" cm="1">
        <f t="array" aca="1" ref="AD59" ca="1">IF(INDIRECT(ADDRESS($B59+1,AD$38,1,1,"Confirmed Day Zero"))=0,#N/A,INDIRECT(ADDRESS($B59+1,AD$38,1,1,"Confirmed Day Zero")))</f>
        <v>#N/A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</row>
    <row r="60" spans="2:74" x14ac:dyDescent="0.25">
      <c r="B60" s="16">
        <f t="shared" si="8"/>
        <v>18</v>
      </c>
      <c r="C60" cm="1">
        <f t="array" aca="1" ref="C60" ca="1">INDIRECT(ADDRESS($B60+1,1,1,1,"Confirmed Day Zero"))</f>
        <v>0</v>
      </c>
      <c r="D60" s="1" t="e" cm="1">
        <f t="array" aca="1" ref="D60" ca="1">IF(INDIRECT(ADDRESS($B60+1,D$38,1,1,"Confirmed Day Zero"))=0,#N/A,INDIRECT(ADDRESS($B60+1,D$38,1,1,"Confirmed Day Zero")))</f>
        <v>#N/A</v>
      </c>
      <c r="E60" t="e" cm="1">
        <f t="array" aca="1" ref="E60" ca="1">IF(INDIRECT(ADDRESS($B60+1,E$38,1,1,"Confirmed Day Zero"))=0,#N/A,INDIRECT(ADDRESS($B60+1,E$38,1,1,"Confirmed Day Zero")))</f>
        <v>#N/A</v>
      </c>
      <c r="F60" t="e" cm="1">
        <f t="array" aca="1" ref="F60" ca="1">IF(INDIRECT(ADDRESS($B60+1,F$38,1,1,"Confirmed Day Zero"))=0,#N/A,INDIRECT(ADDRESS($B60+1,F$38,1,1,"Confirmed Day Zero")))</f>
        <v>#N/A</v>
      </c>
      <c r="G60" t="e" cm="1">
        <f t="array" aca="1" ref="G60" ca="1">IF(INDIRECT(ADDRESS($B60+1,G$38,1,1,"Confirmed Day Zero"))=0,#N/A,INDIRECT(ADDRESS($B60+1,G$38,1,1,"Confirmed Day Zero")))</f>
        <v>#N/A</v>
      </c>
      <c r="H60" t="e" cm="1">
        <f t="array" aca="1" ref="H60" ca="1">IF(INDIRECT(ADDRESS($B60+1,H$38,1,1,"Confirmed Day Zero"))=0,#N/A,INDIRECT(ADDRESS($B60+1,H$38,1,1,"Confirmed Day Zero")))</f>
        <v>#N/A</v>
      </c>
      <c r="I60" t="e" cm="1">
        <f t="array" aca="1" ref="I60" ca="1">IF(INDIRECT(ADDRESS($B60+1,I$38,1,1,"Confirmed Day Zero"))=0,#N/A,INDIRECT(ADDRESS($B60+1,I$38,1,1,"Confirmed Day Zero")))</f>
        <v>#N/A</v>
      </c>
      <c r="J60" t="e" cm="1">
        <f t="array" aca="1" ref="J60" ca="1">IF(INDIRECT(ADDRESS($B60+1,J$38,1,1,"Confirmed Day Zero"))=0,#N/A,INDIRECT(ADDRESS($B60+1,J$38,1,1,"Confirmed Day Zero")))</f>
        <v>#N/A</v>
      </c>
      <c r="K60" t="e" cm="1">
        <f t="array" aca="1" ref="K60" ca="1">IF(INDIRECT(ADDRESS($B60+1,K$38,1,1,"Confirmed Day Zero"))=0,#N/A,INDIRECT(ADDRESS($B60+1,K$38,1,1,"Confirmed Day Zero")))</f>
        <v>#N/A</v>
      </c>
      <c r="L60" t="e" cm="1">
        <f t="array" aca="1" ref="L60" ca="1">IF(INDIRECT(ADDRESS($B60+1,L$38,1,1,"Confirmed Day Zero"))=0,#N/A,INDIRECT(ADDRESS($B60+1,L$38,1,1,"Confirmed Day Zero")))</f>
        <v>#N/A</v>
      </c>
      <c r="M60" t="e" cm="1">
        <f t="array" aca="1" ref="M60" ca="1">IF(INDIRECT(ADDRESS($B60+1,M$38,1,1,"Confirmed Day Zero"))=0,#N/A,INDIRECT(ADDRESS($B60+1,M$38,1,1,"Confirmed Day Zero")))</f>
        <v>#N/A</v>
      </c>
      <c r="N60" t="e" cm="1">
        <f t="array" aca="1" ref="N60" ca="1">IF(INDIRECT(ADDRESS($B60+1,N$38,1,1,"Confirmed Day Zero"))=0,#N/A,INDIRECT(ADDRESS($B60+1,N$38,1,1,"Confirmed Day Zero")))</f>
        <v>#N/A</v>
      </c>
      <c r="O60" t="e" cm="1">
        <f t="array" aca="1" ref="O60" ca="1">IF(INDIRECT(ADDRESS($B60+1,O$38,1,1,"Confirmed Day Zero"))=0,#N/A,INDIRECT(ADDRESS($B60+1,O$38,1,1,"Confirmed Day Zero")))</f>
        <v>#N/A</v>
      </c>
      <c r="P60" t="e" cm="1">
        <f t="array" aca="1" ref="P60" ca="1">IF(INDIRECT(ADDRESS($B60+1,P$38,1,1,"Confirmed Day Zero"))=0,#N/A,INDIRECT(ADDRESS($B60+1,P$38,1,1,"Confirmed Day Zero")))</f>
        <v>#N/A</v>
      </c>
      <c r="Q60" t="e" cm="1">
        <f t="array" aca="1" ref="Q60" ca="1">IF(INDIRECT(ADDRESS($B60+1,Q$38,1,1,"Confirmed Day Zero"))=0,#N/A,INDIRECT(ADDRESS($B60+1,Q$38,1,1,"Confirmed Day Zero")))</f>
        <v>#N/A</v>
      </c>
      <c r="R60" t="e" cm="1">
        <f t="array" aca="1" ref="R60" ca="1">IF(INDIRECT(ADDRESS($B60+1,R$38,1,1,"Confirmed Day Zero"))=0,#N/A,INDIRECT(ADDRESS($B60+1,R$38,1,1,"Confirmed Day Zero")))</f>
        <v>#N/A</v>
      </c>
      <c r="S60" t="e" cm="1">
        <f t="array" aca="1" ref="S60" ca="1">IF(INDIRECT(ADDRESS($B60+1,S$38,1,1,"Confirmed Day Zero"))=0,#N/A,INDIRECT(ADDRESS($B60+1,S$38,1,1,"Confirmed Day Zero")))</f>
        <v>#N/A</v>
      </c>
      <c r="T60" t="e" cm="1">
        <f t="array" aca="1" ref="T60" ca="1">IF(INDIRECT(ADDRESS($B60+1,T$38,1,1,"Confirmed Day Zero"))=0,#N/A,INDIRECT(ADDRESS($B60+1,T$38,1,1,"Confirmed Day Zero")))</f>
        <v>#N/A</v>
      </c>
      <c r="U60" t="e" cm="1">
        <f t="array" aca="1" ref="U60" ca="1">IF(INDIRECT(ADDRESS($B60+1,U$38,1,1,"Confirmed Day Zero"))=0,#N/A,INDIRECT(ADDRESS($B60+1,U$38,1,1,"Confirmed Day Zero")))</f>
        <v>#N/A</v>
      </c>
      <c r="V60" t="e" cm="1">
        <f t="array" aca="1" ref="V60" ca="1">IF(INDIRECT(ADDRESS($B60+1,V$38,1,1,"Confirmed Day Zero"))=0,#N/A,INDIRECT(ADDRESS($B60+1,V$38,1,1,"Confirmed Day Zero")))</f>
        <v>#N/A</v>
      </c>
      <c r="W60" t="e" cm="1">
        <f t="array" aca="1" ref="W60" ca="1">IF(INDIRECT(ADDRESS($B60+1,W$38,1,1,"Confirmed Day Zero"))=0,#N/A,INDIRECT(ADDRESS($B60+1,W$38,1,1,"Confirmed Day Zero")))</f>
        <v>#N/A</v>
      </c>
      <c r="X60" t="e" cm="1">
        <f t="array" aca="1" ref="X60" ca="1">IF(INDIRECT(ADDRESS($B60+1,X$38,1,1,"Confirmed Day Zero"))=0,#N/A,INDIRECT(ADDRESS($B60+1,X$38,1,1,"Confirmed Day Zero")))</f>
        <v>#N/A</v>
      </c>
      <c r="Y60" t="e" cm="1">
        <f t="array" aca="1" ref="Y60" ca="1">IF(INDIRECT(ADDRESS($B60+1,Y$38,1,1,"Confirmed Day Zero"))=0,#N/A,INDIRECT(ADDRESS($B60+1,Y$38,1,1,"Confirmed Day Zero")))</f>
        <v>#N/A</v>
      </c>
      <c r="Z60" t="e" cm="1">
        <f t="array" aca="1" ref="Z60" ca="1">IF(INDIRECT(ADDRESS($B60+1,Z$38,1,1,"Confirmed Day Zero"))=0,#N/A,INDIRECT(ADDRESS($B60+1,Z$38,1,1,"Confirmed Day Zero")))</f>
        <v>#N/A</v>
      </c>
      <c r="AA60" t="e" cm="1">
        <f t="array" aca="1" ref="AA60" ca="1">IF(INDIRECT(ADDRESS($B60+1,AA$38,1,1,"Confirmed Day Zero"))=0,#N/A,INDIRECT(ADDRESS($B60+1,AA$38,1,1,"Confirmed Day Zero")))</f>
        <v>#N/A</v>
      </c>
      <c r="AB60" t="e" cm="1">
        <f t="array" aca="1" ref="AB60" ca="1">IF(INDIRECT(ADDRESS($B60+1,AB$38,1,1,"Confirmed Day Zero"))=0,#N/A,INDIRECT(ADDRESS($B60+1,AB$38,1,1,"Confirmed Day Zero")))</f>
        <v>#N/A</v>
      </c>
      <c r="AC60" t="e" cm="1">
        <f t="array" aca="1" ref="AC60" ca="1">IF(INDIRECT(ADDRESS($B60+1,AC$38,1,1,"Confirmed Day Zero"))=0,#N/A,INDIRECT(ADDRESS($B60+1,AC$38,1,1,"Confirmed Day Zero")))</f>
        <v>#N/A</v>
      </c>
      <c r="AD60" t="e" cm="1">
        <f t="array" aca="1" ref="AD60" ca="1">IF(INDIRECT(ADDRESS($B60+1,AD$38,1,1,"Confirmed Day Zero"))=0,#N/A,INDIRECT(ADDRESS($B60+1,AD$38,1,1,"Confirmed Day Zero")))</f>
        <v>#N/A</v>
      </c>
      <c r="AE60" t="e" cm="1">
        <f t="array" aca="1" ref="AE60" ca="1">IF(INDIRECT(ADDRESS($B60+1,AE$38,1,1,"Confirmed Day Zero"))=0,#N/A,INDIRECT(ADDRESS($B60+1,AE$38,1,1,"Confirmed Day Zero")))</f>
        <v>#N/A</v>
      </c>
      <c r="AF60" t="e" cm="1">
        <f t="array" aca="1" ref="AF60" ca="1">IF(INDIRECT(ADDRESS($B60+1,AF$38,1,1,"Confirmed Day Zero"))=0,#N/A,INDIRECT(ADDRESS($B60+1,AF$38,1,1,"Confirmed Day Zero")))</f>
        <v>#N/A</v>
      </c>
      <c r="AG60" t="e" cm="1">
        <f t="array" aca="1" ref="AG60" ca="1">IF(INDIRECT(ADDRESS($B60+1,AG$38,1,1,"Confirmed Day Zero"))=0,#N/A,INDIRECT(ADDRESS($B60+1,AG$38,1,1,"Confirmed Day Zero")))</f>
        <v>#N/A</v>
      </c>
      <c r="AH60" t="e" cm="1">
        <f t="array" aca="1" ref="AH60" ca="1">IF(INDIRECT(ADDRESS($B60+1,AH$38,1,1,"Confirmed Day Zero"))=0,#N/A,INDIRECT(ADDRESS($B60+1,AH$38,1,1,"Confirmed Day Zero")))</f>
        <v>#N/A</v>
      </c>
      <c r="AI60" t="e" cm="1">
        <f t="array" aca="1" ref="AI60" ca="1">IF(INDIRECT(ADDRESS($B60+1,AI$38,1,1,"Confirmed Day Zero"))=0,#N/A,INDIRECT(ADDRESS($B60+1,AI$38,1,1,"Confirmed Day Zero")))</f>
        <v>#N/A</v>
      </c>
      <c r="AJ60" t="e" cm="1">
        <f t="array" aca="1" ref="AJ60" ca="1">IF(INDIRECT(ADDRESS($B60+1,AJ$38,1,1,"Confirmed Day Zero"))=0,#N/A,INDIRECT(ADDRESS($B60+1,AJ$38,1,1,"Confirmed Day Zero")))</f>
        <v>#N/A</v>
      </c>
      <c r="AK60" t="e" cm="1">
        <f t="array" aca="1" ref="AK60" ca="1">IF(INDIRECT(ADDRESS($B60+1,AK$38,1,1,"Confirmed Day Zero"))=0,#N/A,INDIRECT(ADDRESS($B60+1,AK$38,1,1,"Confirmed Day Zero")))</f>
        <v>#N/A</v>
      </c>
      <c r="AL60" t="e" cm="1">
        <f t="array" aca="1" ref="AL60" ca="1">IF(INDIRECT(ADDRESS($B60+1,AL$38,1,1,"Confirmed Day Zero"))=0,#N/A,INDIRECT(ADDRESS($B60+1,AL$38,1,1,"Confirmed Day Zero")))</f>
        <v>#N/A</v>
      </c>
      <c r="AM60" t="e" cm="1">
        <f t="array" aca="1" ref="AM60" ca="1">IF(INDIRECT(ADDRESS($B60+1,AM$38,1,1,"Confirmed Day Zero"))=0,#N/A,INDIRECT(ADDRESS($B60+1,AM$38,1,1,"Confirmed Day Zero")))</f>
        <v>#N/A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</row>
    <row r="61" spans="2:74" x14ac:dyDescent="0.25">
      <c r="B61" s="16">
        <f t="shared" si="8"/>
        <v>19</v>
      </c>
      <c r="C61" cm="1">
        <f t="array" aca="1" ref="C61" ca="1">INDIRECT(ADDRESS($B61+1,1,1,1,"Confirmed Day Zero"))</f>
        <v>0</v>
      </c>
      <c r="D61" s="1" t="e" cm="1">
        <f t="array" aca="1" ref="D61" ca="1">IF(INDIRECT(ADDRESS($B61+1,D$38,1,1,"Confirmed Day Zero"))=0,#N/A,INDIRECT(ADDRESS($B61+1,D$38,1,1,"Confirmed Day Zero")))</f>
        <v>#N/A</v>
      </c>
      <c r="E61" t="e" cm="1">
        <f t="array" aca="1" ref="E61" ca="1">IF(INDIRECT(ADDRESS($B61+1,E$38,1,1,"Confirmed Day Zero"))=0,#N/A,INDIRECT(ADDRESS($B61+1,E$38,1,1,"Confirmed Day Zero")))</f>
        <v>#N/A</v>
      </c>
      <c r="F61" t="e" cm="1">
        <f t="array" aca="1" ref="F61" ca="1">IF(INDIRECT(ADDRESS($B61+1,F$38,1,1,"Confirmed Day Zero"))=0,#N/A,INDIRECT(ADDRESS($B61+1,F$38,1,1,"Confirmed Day Zero")))</f>
        <v>#N/A</v>
      </c>
      <c r="G61" t="e" cm="1">
        <f t="array" aca="1" ref="G61" ca="1">IF(INDIRECT(ADDRESS($B61+1,G$38,1,1,"Confirmed Day Zero"))=0,#N/A,INDIRECT(ADDRESS($B61+1,G$38,1,1,"Confirmed Day Zero")))</f>
        <v>#N/A</v>
      </c>
      <c r="H61" t="e" cm="1">
        <f t="array" aca="1" ref="H61" ca="1">IF(INDIRECT(ADDRESS($B61+1,H$38,1,1,"Confirmed Day Zero"))=0,#N/A,INDIRECT(ADDRESS($B61+1,H$38,1,1,"Confirmed Day Zero")))</f>
        <v>#N/A</v>
      </c>
      <c r="I61" t="e" cm="1">
        <f t="array" aca="1" ref="I61" ca="1">IF(INDIRECT(ADDRESS($B61+1,I$38,1,1,"Confirmed Day Zero"))=0,#N/A,INDIRECT(ADDRESS($B61+1,I$38,1,1,"Confirmed Day Zero")))</f>
        <v>#N/A</v>
      </c>
      <c r="J61" t="e" cm="1">
        <f t="array" aca="1" ref="J61" ca="1">IF(INDIRECT(ADDRESS($B61+1,J$38,1,1,"Confirmed Day Zero"))=0,#N/A,INDIRECT(ADDRESS($B61+1,J$38,1,1,"Confirmed Day Zero")))</f>
        <v>#N/A</v>
      </c>
      <c r="K61" t="e" cm="1">
        <f t="array" aca="1" ref="K61" ca="1">IF(INDIRECT(ADDRESS($B61+1,K$38,1,1,"Confirmed Day Zero"))=0,#N/A,INDIRECT(ADDRESS($B61+1,K$38,1,1,"Confirmed Day Zero")))</f>
        <v>#N/A</v>
      </c>
      <c r="L61" t="e" cm="1">
        <f t="array" aca="1" ref="L61" ca="1">IF(INDIRECT(ADDRESS($B61+1,L$38,1,1,"Confirmed Day Zero"))=0,#N/A,INDIRECT(ADDRESS($B61+1,L$38,1,1,"Confirmed Day Zero")))</f>
        <v>#N/A</v>
      </c>
      <c r="M61" t="e" cm="1">
        <f t="array" aca="1" ref="M61" ca="1">IF(INDIRECT(ADDRESS($B61+1,M$38,1,1,"Confirmed Day Zero"))=0,#N/A,INDIRECT(ADDRESS($B61+1,M$38,1,1,"Confirmed Day Zero")))</f>
        <v>#N/A</v>
      </c>
      <c r="N61" t="e" cm="1">
        <f t="array" aca="1" ref="N61" ca="1">IF(INDIRECT(ADDRESS($B61+1,N$38,1,1,"Confirmed Day Zero"))=0,#N/A,INDIRECT(ADDRESS($B61+1,N$38,1,1,"Confirmed Day Zero")))</f>
        <v>#N/A</v>
      </c>
      <c r="O61" t="e" cm="1">
        <f t="array" aca="1" ref="O61" ca="1">IF(INDIRECT(ADDRESS($B61+1,O$38,1,1,"Confirmed Day Zero"))=0,#N/A,INDIRECT(ADDRESS($B61+1,O$38,1,1,"Confirmed Day Zero")))</f>
        <v>#N/A</v>
      </c>
      <c r="P61" t="e" cm="1">
        <f t="array" aca="1" ref="P61" ca="1">IF(INDIRECT(ADDRESS($B61+1,P$38,1,1,"Confirmed Day Zero"))=0,#N/A,INDIRECT(ADDRESS($B61+1,P$38,1,1,"Confirmed Day Zero")))</f>
        <v>#N/A</v>
      </c>
      <c r="Q61" t="e" cm="1">
        <f t="array" aca="1" ref="Q61" ca="1">IF(INDIRECT(ADDRESS($B61+1,Q$38,1,1,"Confirmed Day Zero"))=0,#N/A,INDIRECT(ADDRESS($B61+1,Q$38,1,1,"Confirmed Day Zero")))</f>
        <v>#N/A</v>
      </c>
      <c r="R61" t="e" cm="1">
        <f t="array" aca="1" ref="R61" ca="1">IF(INDIRECT(ADDRESS($B61+1,R$38,1,1,"Confirmed Day Zero"))=0,#N/A,INDIRECT(ADDRESS($B61+1,R$38,1,1,"Confirmed Day Zero")))</f>
        <v>#N/A</v>
      </c>
      <c r="S61" t="e" cm="1">
        <f t="array" aca="1" ref="S61" ca="1">IF(INDIRECT(ADDRESS($B61+1,S$38,1,1,"Confirmed Day Zero"))=0,#N/A,INDIRECT(ADDRESS($B61+1,S$38,1,1,"Confirmed Day Zero")))</f>
        <v>#N/A</v>
      </c>
      <c r="T61" t="e" cm="1">
        <f t="array" aca="1" ref="T61" ca="1">IF(INDIRECT(ADDRESS($B61+1,T$38,1,1,"Confirmed Day Zero"))=0,#N/A,INDIRECT(ADDRESS($B61+1,T$38,1,1,"Confirmed Day Zero")))</f>
        <v>#N/A</v>
      </c>
      <c r="U61" t="e" cm="1">
        <f t="array" aca="1" ref="U61" ca="1">IF(INDIRECT(ADDRESS($B61+1,U$38,1,1,"Confirmed Day Zero"))=0,#N/A,INDIRECT(ADDRESS($B61+1,U$38,1,1,"Confirmed Day Zero")))</f>
        <v>#N/A</v>
      </c>
      <c r="V61" t="e" cm="1">
        <f t="array" aca="1" ref="V61" ca="1">IF(INDIRECT(ADDRESS($B61+1,V$38,1,1,"Confirmed Day Zero"))=0,#N/A,INDIRECT(ADDRESS($B61+1,V$38,1,1,"Confirmed Day Zero")))</f>
        <v>#N/A</v>
      </c>
      <c r="W61" t="e" cm="1">
        <f t="array" aca="1" ref="W61" ca="1">IF(INDIRECT(ADDRESS($B61+1,W$38,1,1,"Confirmed Day Zero"))=0,#N/A,INDIRECT(ADDRESS($B61+1,W$38,1,1,"Confirmed Day Zero")))</f>
        <v>#N/A</v>
      </c>
      <c r="X61" t="e" cm="1">
        <f t="array" aca="1" ref="X61" ca="1">IF(INDIRECT(ADDRESS($B61+1,X$38,1,1,"Confirmed Day Zero"))=0,#N/A,INDIRECT(ADDRESS($B61+1,X$38,1,1,"Confirmed Day Zero")))</f>
        <v>#N/A</v>
      </c>
      <c r="Y61" t="e" cm="1">
        <f t="array" aca="1" ref="Y61" ca="1">IF(INDIRECT(ADDRESS($B61+1,Y$38,1,1,"Confirmed Day Zero"))=0,#N/A,INDIRECT(ADDRESS($B61+1,Y$38,1,1,"Confirmed Day Zero")))</f>
        <v>#N/A</v>
      </c>
      <c r="Z61" t="e" cm="1">
        <f t="array" aca="1" ref="Z61" ca="1">IF(INDIRECT(ADDRESS($B61+1,Z$38,1,1,"Confirmed Day Zero"))=0,#N/A,INDIRECT(ADDRESS($B61+1,Z$38,1,1,"Confirmed Day Zero")))</f>
        <v>#N/A</v>
      </c>
      <c r="AA61" t="e" cm="1">
        <f t="array" aca="1" ref="AA61" ca="1">IF(INDIRECT(ADDRESS($B61+1,AA$38,1,1,"Confirmed Day Zero"))=0,#N/A,INDIRECT(ADDRESS($B61+1,AA$38,1,1,"Confirmed Day Zero")))</f>
        <v>#N/A</v>
      </c>
      <c r="AB61" t="e" cm="1">
        <f t="array" aca="1" ref="AB61" ca="1">IF(INDIRECT(ADDRESS($B61+1,AB$38,1,1,"Confirmed Day Zero"))=0,#N/A,INDIRECT(ADDRESS($B61+1,AB$38,1,1,"Confirmed Day Zero")))</f>
        <v>#N/A</v>
      </c>
      <c r="AC61" t="e" cm="1">
        <f t="array" aca="1" ref="AC61" ca="1">IF(INDIRECT(ADDRESS($B61+1,AC$38,1,1,"Confirmed Day Zero"))=0,#N/A,INDIRECT(ADDRESS($B61+1,AC$38,1,1,"Confirmed Day Zero")))</f>
        <v>#N/A</v>
      </c>
      <c r="AD61" t="e" cm="1">
        <f t="array" aca="1" ref="AD61" ca="1">IF(INDIRECT(ADDRESS($B61+1,AD$38,1,1,"Confirmed Day Zero"))=0,#N/A,INDIRECT(ADDRESS($B61+1,AD$38,1,1,"Confirmed Day Zero")))</f>
        <v>#N/A</v>
      </c>
      <c r="AE61" t="e" cm="1">
        <f t="array" aca="1" ref="AE61" ca="1">IF(INDIRECT(ADDRESS($B61+1,AE$38,1,1,"Confirmed Day Zero"))=0,#N/A,INDIRECT(ADDRESS($B61+1,AE$38,1,1,"Confirmed Day Zero")))</f>
        <v>#N/A</v>
      </c>
      <c r="AF61" t="e" cm="1">
        <f t="array" aca="1" ref="AF61" ca="1">IF(INDIRECT(ADDRESS($B61+1,AF$38,1,1,"Confirmed Day Zero"))=0,#N/A,INDIRECT(ADDRESS($B61+1,AF$38,1,1,"Confirmed Day Zero")))</f>
        <v>#N/A</v>
      </c>
      <c r="AG61" t="e" cm="1">
        <f t="array" aca="1" ref="AG61" ca="1">IF(INDIRECT(ADDRESS($B61+1,AG$38,1,1,"Confirmed Day Zero"))=0,#N/A,INDIRECT(ADDRESS($B61+1,AG$38,1,1,"Confirmed Day Zero")))</f>
        <v>#N/A</v>
      </c>
      <c r="AH61" t="e" cm="1">
        <f t="array" aca="1" ref="AH61" ca="1">IF(INDIRECT(ADDRESS($B61+1,AH$38,1,1,"Confirmed Day Zero"))=0,#N/A,INDIRECT(ADDRESS($B61+1,AH$38,1,1,"Confirmed Day Zero")))</f>
        <v>#N/A</v>
      </c>
      <c r="AI61" t="e" cm="1">
        <f t="array" aca="1" ref="AI61" ca="1">IF(INDIRECT(ADDRESS($B61+1,AI$38,1,1,"Confirmed Day Zero"))=0,#N/A,INDIRECT(ADDRESS($B61+1,AI$38,1,1,"Confirmed Day Zero")))</f>
        <v>#N/A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</row>
    <row r="62" spans="2:74" x14ac:dyDescent="0.25">
      <c r="B62" s="16">
        <f t="shared" si="8"/>
        <v>20</v>
      </c>
      <c r="C62" cm="1">
        <f t="array" aca="1" ref="C62" ca="1">INDIRECT(ADDRESS($B62+1,1,1,1,"Confirmed Day Zero"))</f>
        <v>0</v>
      </c>
      <c r="D62" s="1" t="e" cm="1">
        <f t="array" aca="1" ref="D62" ca="1">IF(INDIRECT(ADDRESS($B62+1,D$38,1,1,"Confirmed Day Zero"))=0,#N/A,INDIRECT(ADDRESS($B62+1,D$38,1,1,"Confirmed Day Zero")))</f>
        <v>#N/A</v>
      </c>
      <c r="E62" t="e" cm="1">
        <f t="array" aca="1" ref="E62" ca="1">IF(INDIRECT(ADDRESS($B62+1,E$38,1,1,"Confirmed Day Zero"))=0,#N/A,INDIRECT(ADDRESS($B62+1,E$38,1,1,"Confirmed Day Zero")))</f>
        <v>#N/A</v>
      </c>
      <c r="F62" t="e" cm="1">
        <f t="array" aca="1" ref="F62" ca="1">IF(INDIRECT(ADDRESS($B62+1,F$38,1,1,"Confirmed Day Zero"))=0,#N/A,INDIRECT(ADDRESS($B62+1,F$38,1,1,"Confirmed Day Zero")))</f>
        <v>#N/A</v>
      </c>
      <c r="G62" t="e" cm="1">
        <f t="array" aca="1" ref="G62" ca="1">IF(INDIRECT(ADDRESS($B62+1,G$38,1,1,"Confirmed Day Zero"))=0,#N/A,INDIRECT(ADDRESS($B62+1,G$38,1,1,"Confirmed Day Zero")))</f>
        <v>#N/A</v>
      </c>
      <c r="H62" t="e" cm="1">
        <f t="array" aca="1" ref="H62" ca="1">IF(INDIRECT(ADDRESS($B62+1,H$38,1,1,"Confirmed Day Zero"))=0,#N/A,INDIRECT(ADDRESS($B62+1,H$38,1,1,"Confirmed Day Zero")))</f>
        <v>#N/A</v>
      </c>
      <c r="I62" t="e" cm="1">
        <f t="array" aca="1" ref="I62" ca="1">IF(INDIRECT(ADDRESS($B62+1,I$38,1,1,"Confirmed Day Zero"))=0,#N/A,INDIRECT(ADDRESS($B62+1,I$38,1,1,"Confirmed Day Zero")))</f>
        <v>#N/A</v>
      </c>
      <c r="J62" t="e" cm="1">
        <f t="array" aca="1" ref="J62" ca="1">IF(INDIRECT(ADDRESS($B62+1,J$38,1,1,"Confirmed Day Zero"))=0,#N/A,INDIRECT(ADDRESS($B62+1,J$38,1,1,"Confirmed Day Zero")))</f>
        <v>#N/A</v>
      </c>
      <c r="K62" t="e" cm="1">
        <f t="array" aca="1" ref="K62" ca="1">IF(INDIRECT(ADDRESS($B62+1,K$38,1,1,"Confirmed Day Zero"))=0,#N/A,INDIRECT(ADDRESS($B62+1,K$38,1,1,"Confirmed Day Zero")))</f>
        <v>#N/A</v>
      </c>
      <c r="L62" t="e" cm="1">
        <f t="array" aca="1" ref="L62" ca="1">IF(INDIRECT(ADDRESS($B62+1,L$38,1,1,"Confirmed Day Zero"))=0,#N/A,INDIRECT(ADDRESS($B62+1,L$38,1,1,"Confirmed Day Zero")))</f>
        <v>#N/A</v>
      </c>
      <c r="M62" t="e" cm="1">
        <f t="array" aca="1" ref="M62" ca="1">IF(INDIRECT(ADDRESS($B62+1,M$38,1,1,"Confirmed Day Zero"))=0,#N/A,INDIRECT(ADDRESS($B62+1,M$38,1,1,"Confirmed Day Zero")))</f>
        <v>#N/A</v>
      </c>
      <c r="N62" t="e" cm="1">
        <f t="array" aca="1" ref="N62" ca="1">IF(INDIRECT(ADDRESS($B62+1,N$38,1,1,"Confirmed Day Zero"))=0,#N/A,INDIRECT(ADDRESS($B62+1,N$38,1,1,"Confirmed Day Zero")))</f>
        <v>#N/A</v>
      </c>
      <c r="O62" t="e" cm="1">
        <f t="array" aca="1" ref="O62" ca="1">IF(INDIRECT(ADDRESS($B62+1,O$38,1,1,"Confirmed Day Zero"))=0,#N/A,INDIRECT(ADDRESS($B62+1,O$38,1,1,"Confirmed Day Zero")))</f>
        <v>#N/A</v>
      </c>
      <c r="P62" t="e" cm="1">
        <f t="array" aca="1" ref="P62" ca="1">IF(INDIRECT(ADDRESS($B62+1,P$38,1,1,"Confirmed Day Zero"))=0,#N/A,INDIRECT(ADDRESS($B62+1,P$38,1,1,"Confirmed Day Zero")))</f>
        <v>#N/A</v>
      </c>
      <c r="Q62" t="e" cm="1">
        <f t="array" aca="1" ref="Q62" ca="1">IF(INDIRECT(ADDRESS($B62+1,Q$38,1,1,"Confirmed Day Zero"))=0,#N/A,INDIRECT(ADDRESS($B62+1,Q$38,1,1,"Confirmed Day Zero")))</f>
        <v>#N/A</v>
      </c>
      <c r="R62" t="e" cm="1">
        <f t="array" aca="1" ref="R62" ca="1">IF(INDIRECT(ADDRESS($B62+1,R$38,1,1,"Confirmed Day Zero"))=0,#N/A,INDIRECT(ADDRESS($B62+1,R$38,1,1,"Confirmed Day Zero")))</f>
        <v>#N/A</v>
      </c>
      <c r="S62" t="e" cm="1">
        <f t="array" aca="1" ref="S62" ca="1">IF(INDIRECT(ADDRESS($B62+1,S$38,1,1,"Confirmed Day Zero"))=0,#N/A,INDIRECT(ADDRESS($B62+1,S$38,1,1,"Confirmed Day Zero")))</f>
        <v>#N/A</v>
      </c>
      <c r="T62" t="e" cm="1">
        <f t="array" aca="1" ref="T62" ca="1">IF(INDIRECT(ADDRESS($B62+1,T$38,1,1,"Confirmed Day Zero"))=0,#N/A,INDIRECT(ADDRESS($B62+1,T$38,1,1,"Confirmed Day Zero")))</f>
        <v>#N/A</v>
      </c>
      <c r="U62" t="e" cm="1">
        <f t="array" aca="1" ref="U62" ca="1">IF(INDIRECT(ADDRESS($B62+1,U$38,1,1,"Confirmed Day Zero"))=0,#N/A,INDIRECT(ADDRESS($B62+1,U$38,1,1,"Confirmed Day Zero")))</f>
        <v>#N/A</v>
      </c>
      <c r="V62" t="e" cm="1">
        <f t="array" aca="1" ref="V62" ca="1">IF(INDIRECT(ADDRESS($B62+1,V$38,1,1,"Confirmed Day Zero"))=0,#N/A,INDIRECT(ADDRESS($B62+1,V$38,1,1,"Confirmed Day Zero")))</f>
        <v>#N/A</v>
      </c>
      <c r="W62" t="e" cm="1">
        <f t="array" aca="1" ref="W62" ca="1">IF(INDIRECT(ADDRESS($B62+1,W$38,1,1,"Confirmed Day Zero"))=0,#N/A,INDIRECT(ADDRESS($B62+1,W$38,1,1,"Confirmed Day Zero")))</f>
        <v>#N/A</v>
      </c>
      <c r="X62" t="e" cm="1">
        <f t="array" aca="1" ref="X62" ca="1">IF(INDIRECT(ADDRESS($B62+1,X$38,1,1,"Confirmed Day Zero"))=0,#N/A,INDIRECT(ADDRESS($B62+1,X$38,1,1,"Confirmed Day Zero")))</f>
        <v>#N/A</v>
      </c>
      <c r="Y62" t="e" cm="1">
        <f t="array" aca="1" ref="Y62" ca="1">IF(INDIRECT(ADDRESS($B62+1,Y$38,1,1,"Confirmed Day Zero"))=0,#N/A,INDIRECT(ADDRESS($B62+1,Y$38,1,1,"Confirmed Day Zero")))</f>
        <v>#N/A</v>
      </c>
      <c r="Z62" t="e" cm="1">
        <f t="array" aca="1" ref="Z62" ca="1">IF(INDIRECT(ADDRESS($B62+1,Z$38,1,1,"Confirmed Day Zero"))=0,#N/A,INDIRECT(ADDRESS($B62+1,Z$38,1,1,"Confirmed Day Zero")))</f>
        <v>#N/A</v>
      </c>
      <c r="AA62" t="e" cm="1">
        <f t="array" aca="1" ref="AA62" ca="1">IF(INDIRECT(ADDRESS($B62+1,AA$38,1,1,"Confirmed Day Zero"))=0,#N/A,INDIRECT(ADDRESS($B62+1,AA$38,1,1,"Confirmed Day Zero")))</f>
        <v>#N/A</v>
      </c>
      <c r="AB62" t="e" cm="1">
        <f t="array" aca="1" ref="AB62" ca="1">IF(INDIRECT(ADDRESS($B62+1,AB$38,1,1,"Confirmed Day Zero"))=0,#N/A,INDIRECT(ADDRESS($B62+1,AB$38,1,1,"Confirmed Day Zero")))</f>
        <v>#N/A</v>
      </c>
      <c r="AC62" t="e" cm="1">
        <f t="array" aca="1" ref="AC62" ca="1">IF(INDIRECT(ADDRESS($B62+1,AC$38,1,1,"Confirmed Day Zero"))=0,#N/A,INDIRECT(ADDRESS($B62+1,AC$38,1,1,"Confirmed Day Zero")))</f>
        <v>#N/A</v>
      </c>
      <c r="AD62" t="e" cm="1">
        <f t="array" aca="1" ref="AD62" ca="1">IF(INDIRECT(ADDRESS($B62+1,AD$38,1,1,"Confirmed Day Zero"))=0,#N/A,INDIRECT(ADDRESS($B62+1,AD$38,1,1,"Confirmed Day Zero")))</f>
        <v>#N/A</v>
      </c>
      <c r="AE62" t="e" cm="1">
        <f t="array" aca="1" ref="AE62" ca="1">IF(INDIRECT(ADDRESS($B62+1,AE$38,1,1,"Confirmed Day Zero"))=0,#N/A,INDIRECT(ADDRESS($B62+1,AE$38,1,1,"Confirmed Day Zero")))</f>
        <v>#N/A</v>
      </c>
      <c r="AF62" t="e" cm="1">
        <f t="array" aca="1" ref="AF62" ca="1">IF(INDIRECT(ADDRESS($B62+1,AF$38,1,1,"Confirmed Day Zero"))=0,#N/A,INDIRECT(ADDRESS($B62+1,AF$38,1,1,"Confirmed Day Zero")))</f>
        <v>#N/A</v>
      </c>
      <c r="AG62" t="e" cm="1">
        <f t="array" aca="1" ref="AG62" ca="1">IF(INDIRECT(ADDRESS($B62+1,AG$38,1,1,"Confirmed Day Zero"))=0,#N/A,INDIRECT(ADDRESS($B62+1,AG$38,1,1,"Confirmed Day Zero")))</f>
        <v>#N/A</v>
      </c>
      <c r="AH62" t="e" cm="1">
        <f t="array" aca="1" ref="AH62" ca="1">IF(INDIRECT(ADDRESS($B62+1,AH$38,1,1,"Confirmed Day Zero"))=0,#N/A,INDIRECT(ADDRESS($B62+1,AH$38,1,1,"Confirmed Day Zero")))</f>
        <v>#N/A</v>
      </c>
      <c r="AI62" t="e" cm="1">
        <f t="array" aca="1" ref="AI62" ca="1">IF(INDIRECT(ADDRESS($B62+1,AI$38,1,1,"Confirmed Day Zero"))=0,#N/A,INDIRECT(ADDRESS($B62+1,AI$38,1,1,"Confirmed Day Zero")))</f>
        <v>#N/A</v>
      </c>
      <c r="AJ62" t="e" cm="1">
        <f t="array" aca="1" ref="AJ62" ca="1">IF(INDIRECT(ADDRESS($B62+1,AJ$38,1,1,"Confirmed Day Zero"))=0,#N/A,INDIRECT(ADDRESS($B62+1,AJ$38,1,1,"Confirmed Day Zero")))</f>
        <v>#N/A</v>
      </c>
      <c r="AK62" t="e" cm="1">
        <f t="array" aca="1" ref="AK62" ca="1">IF(INDIRECT(ADDRESS($B62+1,AK$38,1,1,"Confirmed Day Zero"))=0,#N/A,INDIRECT(ADDRESS($B62+1,AK$38,1,1,"Confirmed Day Zero")))</f>
        <v>#N/A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</row>
    <row r="63" spans="2:74" x14ac:dyDescent="0.25">
      <c r="B63" s="16">
        <f t="shared" si="8"/>
        <v>21</v>
      </c>
      <c r="C63" cm="1">
        <f t="array" aca="1" ref="C63" ca="1">INDIRECT(ADDRESS($B63+1,1,1,1,"Confirmed Day Zero"))</f>
        <v>0</v>
      </c>
      <c r="D63" s="1" t="e" cm="1">
        <f t="array" aca="1" ref="D63" ca="1">IF(INDIRECT(ADDRESS($B63+1,D$38,1,1,"Confirmed Day Zero"))=0,#N/A,INDIRECT(ADDRESS($B63+1,D$38,1,1,"Confirmed Day Zero")))</f>
        <v>#N/A</v>
      </c>
      <c r="E63" t="e" cm="1">
        <f t="array" aca="1" ref="E63" ca="1">IF(INDIRECT(ADDRESS($B63+1,E$38,1,1,"Confirmed Day Zero"))=0,#N/A,INDIRECT(ADDRESS($B63+1,E$38,1,1,"Confirmed Day Zero")))</f>
        <v>#N/A</v>
      </c>
      <c r="F63" t="e" cm="1">
        <f t="array" aca="1" ref="F63" ca="1">IF(INDIRECT(ADDRESS($B63+1,F$38,1,1,"Confirmed Day Zero"))=0,#N/A,INDIRECT(ADDRESS($B63+1,F$38,1,1,"Confirmed Day Zero")))</f>
        <v>#N/A</v>
      </c>
      <c r="G63" t="e" cm="1">
        <f t="array" aca="1" ref="G63" ca="1">IF(INDIRECT(ADDRESS($B63+1,G$38,1,1,"Confirmed Day Zero"))=0,#N/A,INDIRECT(ADDRESS($B63+1,G$38,1,1,"Confirmed Day Zero")))</f>
        <v>#N/A</v>
      </c>
      <c r="H63" t="e" cm="1">
        <f t="array" aca="1" ref="H63" ca="1">IF(INDIRECT(ADDRESS($B63+1,H$38,1,1,"Confirmed Day Zero"))=0,#N/A,INDIRECT(ADDRESS($B63+1,H$38,1,1,"Confirmed Day Zero")))</f>
        <v>#N/A</v>
      </c>
      <c r="I63" t="e" cm="1">
        <f t="array" aca="1" ref="I63" ca="1">IF(INDIRECT(ADDRESS($B63+1,I$38,1,1,"Confirmed Day Zero"))=0,#N/A,INDIRECT(ADDRESS($B63+1,I$38,1,1,"Confirmed Day Zero")))</f>
        <v>#N/A</v>
      </c>
      <c r="J63" t="e" cm="1">
        <f t="array" aca="1" ref="J63" ca="1">IF(INDIRECT(ADDRESS($B63+1,J$38,1,1,"Confirmed Day Zero"))=0,#N/A,INDIRECT(ADDRESS($B63+1,J$38,1,1,"Confirmed Day Zero")))</f>
        <v>#N/A</v>
      </c>
      <c r="K63" t="e" cm="1">
        <f t="array" aca="1" ref="K63" ca="1">IF(INDIRECT(ADDRESS($B63+1,K$38,1,1,"Confirmed Day Zero"))=0,#N/A,INDIRECT(ADDRESS($B63+1,K$38,1,1,"Confirmed Day Zero")))</f>
        <v>#N/A</v>
      </c>
      <c r="L63" t="e" cm="1">
        <f t="array" aca="1" ref="L63" ca="1">IF(INDIRECT(ADDRESS($B63+1,L$38,1,1,"Confirmed Day Zero"))=0,#N/A,INDIRECT(ADDRESS($B63+1,L$38,1,1,"Confirmed Day Zero")))</f>
        <v>#N/A</v>
      </c>
      <c r="M63" t="e" cm="1">
        <f t="array" aca="1" ref="M63" ca="1">IF(INDIRECT(ADDRESS($B63+1,M$38,1,1,"Confirmed Day Zero"))=0,#N/A,INDIRECT(ADDRESS($B63+1,M$38,1,1,"Confirmed Day Zero")))</f>
        <v>#N/A</v>
      </c>
      <c r="N63" t="e" cm="1">
        <f t="array" aca="1" ref="N63" ca="1">IF(INDIRECT(ADDRESS($B63+1,N$38,1,1,"Confirmed Day Zero"))=0,#N/A,INDIRECT(ADDRESS($B63+1,N$38,1,1,"Confirmed Day Zero")))</f>
        <v>#N/A</v>
      </c>
      <c r="O63" t="e" cm="1">
        <f t="array" aca="1" ref="O63" ca="1">IF(INDIRECT(ADDRESS($B63+1,O$38,1,1,"Confirmed Day Zero"))=0,#N/A,INDIRECT(ADDRESS($B63+1,O$38,1,1,"Confirmed Day Zero")))</f>
        <v>#N/A</v>
      </c>
      <c r="P63" t="e" cm="1">
        <f t="array" aca="1" ref="P63" ca="1">IF(INDIRECT(ADDRESS($B63+1,P$38,1,1,"Confirmed Day Zero"))=0,#N/A,INDIRECT(ADDRESS($B63+1,P$38,1,1,"Confirmed Day Zero")))</f>
        <v>#N/A</v>
      </c>
      <c r="Q63" t="e" cm="1">
        <f t="array" aca="1" ref="Q63" ca="1">IF(INDIRECT(ADDRESS($B63+1,Q$38,1,1,"Confirmed Day Zero"))=0,#N/A,INDIRECT(ADDRESS($B63+1,Q$38,1,1,"Confirmed Day Zero")))</f>
        <v>#N/A</v>
      </c>
      <c r="R63" t="e" cm="1">
        <f t="array" aca="1" ref="R63" ca="1">IF(INDIRECT(ADDRESS($B63+1,R$38,1,1,"Confirmed Day Zero"))=0,#N/A,INDIRECT(ADDRESS($B63+1,R$38,1,1,"Confirmed Day Zero")))</f>
        <v>#N/A</v>
      </c>
      <c r="S63" t="e" cm="1">
        <f t="array" aca="1" ref="S63" ca="1">IF(INDIRECT(ADDRESS($B63+1,S$38,1,1,"Confirmed Day Zero"))=0,#N/A,INDIRECT(ADDRESS($B63+1,S$38,1,1,"Confirmed Day Zero")))</f>
        <v>#N/A</v>
      </c>
      <c r="T63" t="e" cm="1">
        <f t="array" aca="1" ref="T63" ca="1">IF(INDIRECT(ADDRESS($B63+1,T$38,1,1,"Confirmed Day Zero"))=0,#N/A,INDIRECT(ADDRESS($B63+1,T$38,1,1,"Confirmed Day Zero")))</f>
        <v>#N/A</v>
      </c>
      <c r="U63" t="e" cm="1">
        <f t="array" aca="1" ref="U63" ca="1">IF(INDIRECT(ADDRESS($B63+1,U$38,1,1,"Confirmed Day Zero"))=0,#N/A,INDIRECT(ADDRESS($B63+1,U$38,1,1,"Confirmed Day Zero")))</f>
        <v>#N/A</v>
      </c>
      <c r="V63" t="e" cm="1">
        <f t="array" aca="1" ref="V63" ca="1">IF(INDIRECT(ADDRESS($B63+1,V$38,1,1,"Confirmed Day Zero"))=0,#N/A,INDIRECT(ADDRESS($B63+1,V$38,1,1,"Confirmed Day Zero")))</f>
        <v>#N/A</v>
      </c>
      <c r="W63" t="e" cm="1">
        <f t="array" aca="1" ref="W63" ca="1">IF(INDIRECT(ADDRESS($B63+1,W$38,1,1,"Confirmed Day Zero"))=0,#N/A,INDIRECT(ADDRESS($B63+1,W$38,1,1,"Confirmed Day Zero")))</f>
        <v>#N/A</v>
      </c>
      <c r="X63" t="e" cm="1">
        <f t="array" aca="1" ref="X63" ca="1">IF(INDIRECT(ADDRESS($B63+1,X$38,1,1,"Confirmed Day Zero"))=0,#N/A,INDIRECT(ADDRESS($B63+1,X$38,1,1,"Confirmed Day Zero")))</f>
        <v>#N/A</v>
      </c>
      <c r="Y63" t="e" cm="1">
        <f t="array" aca="1" ref="Y63" ca="1">IF(INDIRECT(ADDRESS($B63+1,Y$38,1,1,"Confirmed Day Zero"))=0,#N/A,INDIRECT(ADDRESS($B63+1,Y$38,1,1,"Confirmed Day Zero")))</f>
        <v>#N/A</v>
      </c>
      <c r="Z63" t="e" cm="1">
        <f t="array" aca="1" ref="Z63" ca="1">IF(INDIRECT(ADDRESS($B63+1,Z$38,1,1,"Confirmed Day Zero"))=0,#N/A,INDIRECT(ADDRESS($B63+1,Z$38,1,1,"Confirmed Day Zero")))</f>
        <v>#N/A</v>
      </c>
      <c r="AA63" t="e" cm="1">
        <f t="array" aca="1" ref="AA63" ca="1">IF(INDIRECT(ADDRESS($B63+1,AA$38,1,1,"Confirmed Day Zero"))=0,#N/A,INDIRECT(ADDRESS($B63+1,AA$38,1,1,"Confirmed Day Zero")))</f>
        <v>#N/A</v>
      </c>
      <c r="AB63" t="e" cm="1">
        <f t="array" aca="1" ref="AB63" ca="1">IF(INDIRECT(ADDRESS($B63+1,AB$38,1,1,"Confirmed Day Zero"))=0,#N/A,INDIRECT(ADDRESS($B63+1,AB$38,1,1,"Confirmed Day Zero")))</f>
        <v>#N/A</v>
      </c>
      <c r="AC63" t="e" cm="1">
        <f t="array" aca="1" ref="AC63" ca="1">IF(INDIRECT(ADDRESS($B63+1,AC$38,1,1,"Confirmed Day Zero"))=0,#N/A,INDIRECT(ADDRESS($B63+1,AC$38,1,1,"Confirmed Day Zero")))</f>
        <v>#N/A</v>
      </c>
      <c r="AD63" t="e" cm="1">
        <f t="array" aca="1" ref="AD63" ca="1">IF(INDIRECT(ADDRESS($B63+1,AD$38,1,1,"Confirmed Day Zero"))=0,#N/A,INDIRECT(ADDRESS($B63+1,AD$38,1,1,"Confirmed Day Zero")))</f>
        <v>#N/A</v>
      </c>
      <c r="AE63" t="e" cm="1">
        <f t="array" aca="1" ref="AE63" ca="1">IF(INDIRECT(ADDRESS($B63+1,AE$38,1,1,"Confirmed Day Zero"))=0,#N/A,INDIRECT(ADDRESS($B63+1,AE$38,1,1,"Confirmed Day Zero")))</f>
        <v>#N/A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</row>
    <row r="64" spans="2:74" x14ac:dyDescent="0.25">
      <c r="B64" s="16">
        <f t="shared" si="8"/>
        <v>22</v>
      </c>
      <c r="C64" cm="1">
        <f t="array" aca="1" ref="C64" ca="1">INDIRECT(ADDRESS($B64+1,1,1,1,"Confirmed Day Zero"))</f>
        <v>0</v>
      </c>
      <c r="D64" s="1" t="e" cm="1">
        <f t="array" aca="1" ref="D64" ca="1">IF(INDIRECT(ADDRESS($B64+1,D$38,1,1,"Confirmed Day Zero"))=0,#N/A,INDIRECT(ADDRESS($B64+1,D$38,1,1,"Confirmed Day Zero")))</f>
        <v>#N/A</v>
      </c>
      <c r="E64" t="e" cm="1">
        <f t="array" aca="1" ref="E64" ca="1">IF(INDIRECT(ADDRESS($B64+1,E$38,1,1,"Confirmed Day Zero"))=0,#N/A,INDIRECT(ADDRESS($B64+1,E$38,1,1,"Confirmed Day Zero")))</f>
        <v>#N/A</v>
      </c>
      <c r="F64" t="e" cm="1">
        <f t="array" aca="1" ref="F64" ca="1">IF(INDIRECT(ADDRESS($B64+1,F$38,1,1,"Confirmed Day Zero"))=0,#N/A,INDIRECT(ADDRESS($B64+1,F$38,1,1,"Confirmed Day Zero")))</f>
        <v>#N/A</v>
      </c>
      <c r="G64" t="e" cm="1">
        <f t="array" aca="1" ref="G64" ca="1">IF(INDIRECT(ADDRESS($B64+1,G$38,1,1,"Confirmed Day Zero"))=0,#N/A,INDIRECT(ADDRESS($B64+1,G$38,1,1,"Confirmed Day Zero")))</f>
        <v>#N/A</v>
      </c>
      <c r="H64" t="e" cm="1">
        <f t="array" aca="1" ref="H64" ca="1">IF(INDIRECT(ADDRESS($B64+1,H$38,1,1,"Confirmed Day Zero"))=0,#N/A,INDIRECT(ADDRESS($B64+1,H$38,1,1,"Confirmed Day Zero")))</f>
        <v>#N/A</v>
      </c>
      <c r="I64" t="e" cm="1">
        <f t="array" aca="1" ref="I64" ca="1">IF(INDIRECT(ADDRESS($B64+1,I$38,1,1,"Confirmed Day Zero"))=0,#N/A,INDIRECT(ADDRESS($B64+1,I$38,1,1,"Confirmed Day Zero")))</f>
        <v>#N/A</v>
      </c>
      <c r="J64" t="e" cm="1">
        <f t="array" aca="1" ref="J64" ca="1">IF(INDIRECT(ADDRESS($B64+1,J$38,1,1,"Confirmed Day Zero"))=0,#N/A,INDIRECT(ADDRESS($B64+1,J$38,1,1,"Confirmed Day Zero")))</f>
        <v>#N/A</v>
      </c>
      <c r="K64" t="e" cm="1">
        <f t="array" aca="1" ref="K64" ca="1">IF(INDIRECT(ADDRESS($B64+1,K$38,1,1,"Confirmed Day Zero"))=0,#N/A,INDIRECT(ADDRESS($B64+1,K$38,1,1,"Confirmed Day Zero")))</f>
        <v>#N/A</v>
      </c>
      <c r="L64" t="e" cm="1">
        <f t="array" aca="1" ref="L64" ca="1">IF(INDIRECT(ADDRESS($B64+1,L$38,1,1,"Confirmed Day Zero"))=0,#N/A,INDIRECT(ADDRESS($B64+1,L$38,1,1,"Confirmed Day Zero")))</f>
        <v>#N/A</v>
      </c>
      <c r="M64" t="e" cm="1">
        <f t="array" aca="1" ref="M64" ca="1">IF(INDIRECT(ADDRESS($B64+1,M$38,1,1,"Confirmed Day Zero"))=0,#N/A,INDIRECT(ADDRESS($B64+1,M$38,1,1,"Confirmed Day Zero")))</f>
        <v>#N/A</v>
      </c>
      <c r="N64" t="e" cm="1">
        <f t="array" aca="1" ref="N64" ca="1">IF(INDIRECT(ADDRESS($B64+1,N$38,1,1,"Confirmed Day Zero"))=0,#N/A,INDIRECT(ADDRESS($B64+1,N$38,1,1,"Confirmed Day Zero")))</f>
        <v>#N/A</v>
      </c>
      <c r="O64" t="e" cm="1">
        <f t="array" aca="1" ref="O64" ca="1">IF(INDIRECT(ADDRESS($B64+1,O$38,1,1,"Confirmed Day Zero"))=0,#N/A,INDIRECT(ADDRESS($B64+1,O$38,1,1,"Confirmed Day Zero")))</f>
        <v>#N/A</v>
      </c>
      <c r="P64" t="e" cm="1">
        <f t="array" aca="1" ref="P64" ca="1">IF(INDIRECT(ADDRESS($B64+1,P$38,1,1,"Confirmed Day Zero"))=0,#N/A,INDIRECT(ADDRESS($B64+1,P$38,1,1,"Confirmed Day Zero")))</f>
        <v>#N/A</v>
      </c>
      <c r="Q64" t="e" cm="1">
        <f t="array" aca="1" ref="Q64" ca="1">IF(INDIRECT(ADDRESS($B64+1,Q$38,1,1,"Confirmed Day Zero"))=0,#N/A,INDIRECT(ADDRESS($B64+1,Q$38,1,1,"Confirmed Day Zero")))</f>
        <v>#N/A</v>
      </c>
      <c r="R64" t="e" cm="1">
        <f t="array" aca="1" ref="R64" ca="1">IF(INDIRECT(ADDRESS($B64+1,R$38,1,1,"Confirmed Day Zero"))=0,#N/A,INDIRECT(ADDRESS($B64+1,R$38,1,1,"Confirmed Day Zero")))</f>
        <v>#N/A</v>
      </c>
      <c r="S64" t="e" cm="1">
        <f t="array" aca="1" ref="S64" ca="1">IF(INDIRECT(ADDRESS($B64+1,S$38,1,1,"Confirmed Day Zero"))=0,#N/A,INDIRECT(ADDRESS($B64+1,S$38,1,1,"Confirmed Day Zero")))</f>
        <v>#N/A</v>
      </c>
      <c r="T64" t="e" cm="1">
        <f t="array" aca="1" ref="T64" ca="1">IF(INDIRECT(ADDRESS($B64+1,T$38,1,1,"Confirmed Day Zero"))=0,#N/A,INDIRECT(ADDRESS($B64+1,T$38,1,1,"Confirmed Day Zero")))</f>
        <v>#N/A</v>
      </c>
      <c r="U64" t="e" cm="1">
        <f t="array" aca="1" ref="U64" ca="1">IF(INDIRECT(ADDRESS($B64+1,U$38,1,1,"Confirmed Day Zero"))=0,#N/A,INDIRECT(ADDRESS($B64+1,U$38,1,1,"Confirmed Day Zero")))</f>
        <v>#N/A</v>
      </c>
      <c r="V64" t="e" cm="1">
        <f t="array" aca="1" ref="V64" ca="1">IF(INDIRECT(ADDRESS($B64+1,V$38,1,1,"Confirmed Day Zero"))=0,#N/A,INDIRECT(ADDRESS($B64+1,V$38,1,1,"Confirmed Day Zero")))</f>
        <v>#N/A</v>
      </c>
      <c r="W64" t="e" cm="1">
        <f t="array" aca="1" ref="W64" ca="1">IF(INDIRECT(ADDRESS($B64+1,W$38,1,1,"Confirmed Day Zero"))=0,#N/A,INDIRECT(ADDRESS($B64+1,W$38,1,1,"Confirmed Day Zero")))</f>
        <v>#N/A</v>
      </c>
      <c r="X64" t="e" cm="1">
        <f t="array" aca="1" ref="X64" ca="1">IF(INDIRECT(ADDRESS($B64+1,X$38,1,1,"Confirmed Day Zero"))=0,#N/A,INDIRECT(ADDRESS($B64+1,X$38,1,1,"Confirmed Day Zero")))</f>
        <v>#N/A</v>
      </c>
      <c r="Y64" t="e" cm="1">
        <f t="array" aca="1" ref="Y64" ca="1">IF(INDIRECT(ADDRESS($B64+1,Y$38,1,1,"Confirmed Day Zero"))=0,#N/A,INDIRECT(ADDRESS($B64+1,Y$38,1,1,"Confirmed Day Zero")))</f>
        <v>#N/A</v>
      </c>
      <c r="Z64" t="e" cm="1">
        <f t="array" aca="1" ref="Z64" ca="1">IF(INDIRECT(ADDRESS($B64+1,Z$38,1,1,"Confirmed Day Zero"))=0,#N/A,INDIRECT(ADDRESS($B64+1,Z$38,1,1,"Confirmed Day Zero")))</f>
        <v>#N/A</v>
      </c>
      <c r="AA64" t="e" cm="1">
        <f t="array" aca="1" ref="AA64" ca="1">IF(INDIRECT(ADDRESS($B64+1,AA$38,1,1,"Confirmed Day Zero"))=0,#N/A,INDIRECT(ADDRESS($B64+1,AA$38,1,1,"Confirmed Day Zero")))</f>
        <v>#N/A</v>
      </c>
      <c r="AB64" t="e" cm="1">
        <f t="array" aca="1" ref="AB64" ca="1">IF(INDIRECT(ADDRESS($B64+1,AB$38,1,1,"Confirmed Day Zero"))=0,#N/A,INDIRECT(ADDRESS($B64+1,AB$38,1,1,"Confirmed Day Zero")))</f>
        <v>#N/A</v>
      </c>
      <c r="AC64" t="e" cm="1">
        <f t="array" aca="1" ref="AC64" ca="1">IF(INDIRECT(ADDRESS($B64+1,AC$38,1,1,"Confirmed Day Zero"))=0,#N/A,INDIRECT(ADDRESS($B64+1,AC$38,1,1,"Confirmed Day Zero")))</f>
        <v>#N/A</v>
      </c>
      <c r="AD64" t="e" cm="1">
        <f t="array" aca="1" ref="AD64" ca="1">IF(INDIRECT(ADDRESS($B64+1,AD$38,1,1,"Confirmed Day Zero"))=0,#N/A,INDIRECT(ADDRESS($B64+1,AD$38,1,1,"Confirmed Day Zero")))</f>
        <v>#N/A</v>
      </c>
      <c r="AE64" t="e" cm="1">
        <f t="array" aca="1" ref="AE64" ca="1">IF(INDIRECT(ADDRESS($B64+1,AE$38,1,1,"Confirmed Day Zero"))=0,#N/A,INDIRECT(ADDRESS($B64+1,AE$38,1,1,"Confirmed Day Zero")))</f>
        <v>#N/A</v>
      </c>
      <c r="AF64" t="e" cm="1">
        <f t="array" aca="1" ref="AF64" ca="1">IF(INDIRECT(ADDRESS($B64+1,AF$38,1,1,"Confirmed Day Zero"))=0,#N/A,INDIRECT(ADDRESS($B64+1,AF$38,1,1,"Confirmed Day Zero")))</f>
        <v>#N/A</v>
      </c>
      <c r="AG64" t="e" cm="1">
        <f t="array" aca="1" ref="AG64" ca="1">IF(INDIRECT(ADDRESS($B64+1,AG$38,1,1,"Confirmed Day Zero"))=0,#N/A,INDIRECT(ADDRESS($B64+1,AG$38,1,1,"Confirmed Day Zero")))</f>
        <v>#N/A</v>
      </c>
      <c r="AH64" t="e" cm="1">
        <f t="array" aca="1" ref="AH64" ca="1">IF(INDIRECT(ADDRESS($B64+1,AH$38,1,1,"Confirmed Day Zero"))=0,#N/A,INDIRECT(ADDRESS($B64+1,AH$38,1,1,"Confirmed Day Zero")))</f>
        <v>#N/A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</row>
    <row r="65" spans="2:74" x14ac:dyDescent="0.25">
      <c r="B65" s="16">
        <f t="shared" si="8"/>
        <v>23</v>
      </c>
      <c r="C65" cm="1">
        <f t="array" aca="1" ref="C65" ca="1">INDIRECT(ADDRESS($B65+1,1,1,1,"Confirmed Day Zero"))</f>
        <v>0</v>
      </c>
      <c r="D65" s="1" t="e" cm="1">
        <f t="array" aca="1" ref="D65" ca="1">IF(INDIRECT(ADDRESS($B65+1,D$38,1,1,"Confirmed Day Zero"))=0,#N/A,INDIRECT(ADDRESS($B65+1,D$38,1,1,"Confirmed Day Zero")))</f>
        <v>#N/A</v>
      </c>
      <c r="E65" t="e" cm="1">
        <f t="array" aca="1" ref="E65" ca="1">IF(INDIRECT(ADDRESS($B65+1,E$38,1,1,"Confirmed Day Zero"))=0,#N/A,INDIRECT(ADDRESS($B65+1,E$38,1,1,"Confirmed Day Zero")))</f>
        <v>#N/A</v>
      </c>
      <c r="F65" t="e" cm="1">
        <f t="array" aca="1" ref="F65" ca="1">IF(INDIRECT(ADDRESS($B65+1,F$38,1,1,"Confirmed Day Zero"))=0,#N/A,INDIRECT(ADDRESS($B65+1,F$38,1,1,"Confirmed Day Zero")))</f>
        <v>#N/A</v>
      </c>
      <c r="G65" t="e" cm="1">
        <f t="array" aca="1" ref="G65" ca="1">IF(INDIRECT(ADDRESS($B65+1,G$38,1,1,"Confirmed Day Zero"))=0,#N/A,INDIRECT(ADDRESS($B65+1,G$38,1,1,"Confirmed Day Zero")))</f>
        <v>#N/A</v>
      </c>
      <c r="H65" t="e" cm="1">
        <f t="array" aca="1" ref="H65" ca="1">IF(INDIRECT(ADDRESS($B65+1,H$38,1,1,"Confirmed Day Zero"))=0,#N/A,INDIRECT(ADDRESS($B65+1,H$38,1,1,"Confirmed Day Zero")))</f>
        <v>#N/A</v>
      </c>
      <c r="I65" t="e" cm="1">
        <f t="array" aca="1" ref="I65" ca="1">IF(INDIRECT(ADDRESS($B65+1,I$38,1,1,"Confirmed Day Zero"))=0,#N/A,INDIRECT(ADDRESS($B65+1,I$38,1,1,"Confirmed Day Zero")))</f>
        <v>#N/A</v>
      </c>
      <c r="J65" t="e" cm="1">
        <f t="array" aca="1" ref="J65" ca="1">IF(INDIRECT(ADDRESS($B65+1,J$38,1,1,"Confirmed Day Zero"))=0,#N/A,INDIRECT(ADDRESS($B65+1,J$38,1,1,"Confirmed Day Zero")))</f>
        <v>#N/A</v>
      </c>
      <c r="K65" t="e" cm="1">
        <f t="array" aca="1" ref="K65" ca="1">IF(INDIRECT(ADDRESS($B65+1,K$38,1,1,"Confirmed Day Zero"))=0,#N/A,INDIRECT(ADDRESS($B65+1,K$38,1,1,"Confirmed Day Zero")))</f>
        <v>#N/A</v>
      </c>
      <c r="L65" t="e" cm="1">
        <f t="array" aca="1" ref="L65" ca="1">IF(INDIRECT(ADDRESS($B65+1,L$38,1,1,"Confirmed Day Zero"))=0,#N/A,INDIRECT(ADDRESS($B65+1,L$38,1,1,"Confirmed Day Zero")))</f>
        <v>#N/A</v>
      </c>
      <c r="M65" t="e" cm="1">
        <f t="array" aca="1" ref="M65" ca="1">IF(INDIRECT(ADDRESS($B65+1,M$38,1,1,"Confirmed Day Zero"))=0,#N/A,INDIRECT(ADDRESS($B65+1,M$38,1,1,"Confirmed Day Zero")))</f>
        <v>#N/A</v>
      </c>
      <c r="N65" t="e" cm="1">
        <f t="array" aca="1" ref="N65" ca="1">IF(INDIRECT(ADDRESS($B65+1,N$38,1,1,"Confirmed Day Zero"))=0,#N/A,INDIRECT(ADDRESS($B65+1,N$38,1,1,"Confirmed Day Zero")))</f>
        <v>#N/A</v>
      </c>
      <c r="O65" t="e" cm="1">
        <f t="array" aca="1" ref="O65" ca="1">IF(INDIRECT(ADDRESS($B65+1,O$38,1,1,"Confirmed Day Zero"))=0,#N/A,INDIRECT(ADDRESS($B65+1,O$38,1,1,"Confirmed Day Zero")))</f>
        <v>#N/A</v>
      </c>
      <c r="P65" t="e" cm="1">
        <f t="array" aca="1" ref="P65" ca="1">IF(INDIRECT(ADDRESS($B65+1,P$38,1,1,"Confirmed Day Zero"))=0,#N/A,INDIRECT(ADDRESS($B65+1,P$38,1,1,"Confirmed Day Zero")))</f>
        <v>#N/A</v>
      </c>
      <c r="Q65" t="e" cm="1">
        <f t="array" aca="1" ref="Q65" ca="1">IF(INDIRECT(ADDRESS($B65+1,Q$38,1,1,"Confirmed Day Zero"))=0,#N/A,INDIRECT(ADDRESS($B65+1,Q$38,1,1,"Confirmed Day Zero")))</f>
        <v>#N/A</v>
      </c>
      <c r="R65" t="e" cm="1">
        <f t="array" aca="1" ref="R65" ca="1">IF(INDIRECT(ADDRESS($B65+1,R$38,1,1,"Confirmed Day Zero"))=0,#N/A,INDIRECT(ADDRESS($B65+1,R$38,1,1,"Confirmed Day Zero")))</f>
        <v>#N/A</v>
      </c>
      <c r="S65" t="e" cm="1">
        <f t="array" aca="1" ref="S65" ca="1">IF(INDIRECT(ADDRESS($B65+1,S$38,1,1,"Confirmed Day Zero"))=0,#N/A,INDIRECT(ADDRESS($B65+1,S$38,1,1,"Confirmed Day Zero")))</f>
        <v>#N/A</v>
      </c>
      <c r="T65" t="e" cm="1">
        <f t="array" aca="1" ref="T65" ca="1">IF(INDIRECT(ADDRESS($B65+1,T$38,1,1,"Confirmed Day Zero"))=0,#N/A,INDIRECT(ADDRESS($B65+1,T$38,1,1,"Confirmed Day Zero")))</f>
        <v>#N/A</v>
      </c>
      <c r="U65" t="e" cm="1">
        <f t="array" aca="1" ref="U65" ca="1">IF(INDIRECT(ADDRESS($B65+1,U$38,1,1,"Confirmed Day Zero"))=0,#N/A,INDIRECT(ADDRESS($B65+1,U$38,1,1,"Confirmed Day Zero")))</f>
        <v>#N/A</v>
      </c>
      <c r="V65" t="e" cm="1">
        <f t="array" aca="1" ref="V65" ca="1">IF(INDIRECT(ADDRESS($B65+1,V$38,1,1,"Confirmed Day Zero"))=0,#N/A,INDIRECT(ADDRESS($B65+1,V$38,1,1,"Confirmed Day Zero")))</f>
        <v>#N/A</v>
      </c>
      <c r="W65" t="e" cm="1">
        <f t="array" aca="1" ref="W65" ca="1">IF(INDIRECT(ADDRESS($B65+1,W$38,1,1,"Confirmed Day Zero"))=0,#N/A,INDIRECT(ADDRESS($B65+1,W$38,1,1,"Confirmed Day Zero")))</f>
        <v>#N/A</v>
      </c>
      <c r="X65" t="e" cm="1">
        <f t="array" aca="1" ref="X65" ca="1">IF(INDIRECT(ADDRESS($B65+1,X$38,1,1,"Confirmed Day Zero"))=0,#N/A,INDIRECT(ADDRESS($B65+1,X$38,1,1,"Confirmed Day Zero")))</f>
        <v>#N/A</v>
      </c>
      <c r="Y65" t="e" cm="1">
        <f t="array" aca="1" ref="Y65" ca="1">IF(INDIRECT(ADDRESS($B65+1,Y$38,1,1,"Confirmed Day Zero"))=0,#N/A,INDIRECT(ADDRESS($B65+1,Y$38,1,1,"Confirmed Day Zero")))</f>
        <v>#N/A</v>
      </c>
      <c r="Z65" t="e" cm="1">
        <f t="array" aca="1" ref="Z65" ca="1">IF(INDIRECT(ADDRESS($B65+1,Z$38,1,1,"Confirmed Day Zero"))=0,#N/A,INDIRECT(ADDRESS($B65+1,Z$38,1,1,"Confirmed Day Zero")))</f>
        <v>#N/A</v>
      </c>
      <c r="AA65" t="e" cm="1">
        <f t="array" aca="1" ref="AA65" ca="1">IF(INDIRECT(ADDRESS($B65+1,AA$38,1,1,"Confirmed Day Zero"))=0,#N/A,INDIRECT(ADDRESS($B65+1,AA$38,1,1,"Confirmed Day Zero")))</f>
        <v>#N/A</v>
      </c>
      <c r="AB65" t="e" cm="1">
        <f t="array" aca="1" ref="AB65" ca="1">IF(INDIRECT(ADDRESS($B65+1,AB$38,1,1,"Confirmed Day Zero"))=0,#N/A,INDIRECT(ADDRESS($B65+1,AB$38,1,1,"Confirmed Day Zero")))</f>
        <v>#N/A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</row>
    <row r="66" spans="2:74" x14ac:dyDescent="0.25">
      <c r="B66" s="16">
        <f t="shared" si="8"/>
        <v>24</v>
      </c>
      <c r="C66" cm="1">
        <f t="array" aca="1" ref="C66" ca="1">INDIRECT(ADDRESS($B66+1,1,1,1,"Confirmed Day Zero"))</f>
        <v>0</v>
      </c>
      <c r="D66" s="1" t="e" cm="1">
        <f t="array" aca="1" ref="D66" ca="1">IF(INDIRECT(ADDRESS($B66+1,D$38,1,1,"Confirmed Day Zero"))=0,#N/A,INDIRECT(ADDRESS($B66+1,D$38,1,1,"Confirmed Day Zero")))</f>
        <v>#N/A</v>
      </c>
      <c r="E66" t="e" cm="1">
        <f t="array" aca="1" ref="E66" ca="1">IF(INDIRECT(ADDRESS($B66+1,E$38,1,1,"Confirmed Day Zero"))=0,#N/A,INDIRECT(ADDRESS($B66+1,E$38,1,1,"Confirmed Day Zero")))</f>
        <v>#N/A</v>
      </c>
      <c r="F66" t="e" cm="1">
        <f t="array" aca="1" ref="F66" ca="1">IF(INDIRECT(ADDRESS($B66+1,F$38,1,1,"Confirmed Day Zero"))=0,#N/A,INDIRECT(ADDRESS($B66+1,F$38,1,1,"Confirmed Day Zero")))</f>
        <v>#N/A</v>
      </c>
      <c r="G66" t="e" cm="1">
        <f t="array" aca="1" ref="G66" ca="1">IF(INDIRECT(ADDRESS($B66+1,G$38,1,1,"Confirmed Day Zero"))=0,#N/A,INDIRECT(ADDRESS($B66+1,G$38,1,1,"Confirmed Day Zero")))</f>
        <v>#N/A</v>
      </c>
      <c r="H66" t="e" cm="1">
        <f t="array" aca="1" ref="H66" ca="1">IF(INDIRECT(ADDRESS($B66+1,H$38,1,1,"Confirmed Day Zero"))=0,#N/A,INDIRECT(ADDRESS($B66+1,H$38,1,1,"Confirmed Day Zero")))</f>
        <v>#N/A</v>
      </c>
      <c r="I66" t="e" cm="1">
        <f t="array" aca="1" ref="I66" ca="1">IF(INDIRECT(ADDRESS($B66+1,I$38,1,1,"Confirmed Day Zero"))=0,#N/A,INDIRECT(ADDRESS($B66+1,I$38,1,1,"Confirmed Day Zero")))</f>
        <v>#N/A</v>
      </c>
      <c r="J66" t="e" cm="1">
        <f t="array" aca="1" ref="J66" ca="1">IF(INDIRECT(ADDRESS($B66+1,J$38,1,1,"Confirmed Day Zero"))=0,#N/A,INDIRECT(ADDRESS($B66+1,J$38,1,1,"Confirmed Day Zero")))</f>
        <v>#N/A</v>
      </c>
      <c r="K66" t="e" cm="1">
        <f t="array" aca="1" ref="K66" ca="1">IF(INDIRECT(ADDRESS($B66+1,K$38,1,1,"Confirmed Day Zero"))=0,#N/A,INDIRECT(ADDRESS($B66+1,K$38,1,1,"Confirmed Day Zero")))</f>
        <v>#N/A</v>
      </c>
      <c r="L66" t="e" cm="1">
        <f t="array" aca="1" ref="L66" ca="1">IF(INDIRECT(ADDRESS($B66+1,L$38,1,1,"Confirmed Day Zero"))=0,#N/A,INDIRECT(ADDRESS($B66+1,L$38,1,1,"Confirmed Day Zero")))</f>
        <v>#N/A</v>
      </c>
      <c r="M66" t="e" cm="1">
        <f t="array" aca="1" ref="M66" ca="1">IF(INDIRECT(ADDRESS($B66+1,M$38,1,1,"Confirmed Day Zero"))=0,#N/A,INDIRECT(ADDRESS($B66+1,M$38,1,1,"Confirmed Day Zero")))</f>
        <v>#N/A</v>
      </c>
      <c r="N66" t="e" cm="1">
        <f t="array" aca="1" ref="N66" ca="1">IF(INDIRECT(ADDRESS($B66+1,N$38,1,1,"Confirmed Day Zero"))=0,#N/A,INDIRECT(ADDRESS($B66+1,N$38,1,1,"Confirmed Day Zero")))</f>
        <v>#N/A</v>
      </c>
      <c r="O66" t="e" cm="1">
        <f t="array" aca="1" ref="O66" ca="1">IF(INDIRECT(ADDRESS($B66+1,O$38,1,1,"Confirmed Day Zero"))=0,#N/A,INDIRECT(ADDRESS($B66+1,O$38,1,1,"Confirmed Day Zero")))</f>
        <v>#N/A</v>
      </c>
      <c r="P66" t="e" cm="1">
        <f t="array" aca="1" ref="P66" ca="1">IF(INDIRECT(ADDRESS($B66+1,P$38,1,1,"Confirmed Day Zero"))=0,#N/A,INDIRECT(ADDRESS($B66+1,P$38,1,1,"Confirmed Day Zero")))</f>
        <v>#N/A</v>
      </c>
      <c r="Q66" t="e" cm="1">
        <f t="array" aca="1" ref="Q66" ca="1">IF(INDIRECT(ADDRESS($B66+1,Q$38,1,1,"Confirmed Day Zero"))=0,#N/A,INDIRECT(ADDRESS($B66+1,Q$38,1,1,"Confirmed Day Zero")))</f>
        <v>#N/A</v>
      </c>
      <c r="R66" t="e" cm="1">
        <f t="array" aca="1" ref="R66" ca="1">IF(INDIRECT(ADDRESS($B66+1,R$38,1,1,"Confirmed Day Zero"))=0,#N/A,INDIRECT(ADDRESS($B66+1,R$38,1,1,"Confirmed Day Zero")))</f>
        <v>#N/A</v>
      </c>
      <c r="S66" t="e" cm="1">
        <f t="array" aca="1" ref="S66" ca="1">IF(INDIRECT(ADDRESS($B66+1,S$38,1,1,"Confirmed Day Zero"))=0,#N/A,INDIRECT(ADDRESS($B66+1,S$38,1,1,"Confirmed Day Zero")))</f>
        <v>#N/A</v>
      </c>
      <c r="T66" t="e" cm="1">
        <f t="array" aca="1" ref="T66" ca="1">IF(INDIRECT(ADDRESS($B66+1,T$38,1,1,"Confirmed Day Zero"))=0,#N/A,INDIRECT(ADDRESS($B66+1,T$38,1,1,"Confirmed Day Zero")))</f>
        <v>#N/A</v>
      </c>
      <c r="U66" t="e" cm="1">
        <f t="array" aca="1" ref="U66" ca="1">IF(INDIRECT(ADDRESS($B66+1,U$38,1,1,"Confirmed Day Zero"))=0,#N/A,INDIRECT(ADDRESS($B66+1,U$38,1,1,"Confirmed Day Zero")))</f>
        <v>#N/A</v>
      </c>
      <c r="V66" t="e" cm="1">
        <f t="array" aca="1" ref="V66" ca="1">IF(INDIRECT(ADDRESS($B66+1,V$38,1,1,"Confirmed Day Zero"))=0,#N/A,INDIRECT(ADDRESS($B66+1,V$38,1,1,"Confirmed Day Zero")))</f>
        <v>#N/A</v>
      </c>
      <c r="W66" t="e" cm="1">
        <f t="array" aca="1" ref="W66" ca="1">IF(INDIRECT(ADDRESS($B66+1,W$38,1,1,"Confirmed Day Zero"))=0,#N/A,INDIRECT(ADDRESS($B66+1,W$38,1,1,"Confirmed Day Zero")))</f>
        <v>#N/A</v>
      </c>
      <c r="X66" t="e" cm="1">
        <f t="array" aca="1" ref="X66" ca="1">IF(INDIRECT(ADDRESS($B66+1,X$38,1,1,"Confirmed Day Zero"))=0,#N/A,INDIRECT(ADDRESS($B66+1,X$38,1,1,"Confirmed Day Zero")))</f>
        <v>#N/A</v>
      </c>
      <c r="Y66" t="e" cm="1">
        <f t="array" aca="1" ref="Y66" ca="1">IF(INDIRECT(ADDRESS($B66+1,Y$38,1,1,"Confirmed Day Zero"))=0,#N/A,INDIRECT(ADDRESS($B66+1,Y$38,1,1,"Confirmed Day Zero")))</f>
        <v>#N/A</v>
      </c>
      <c r="Z66" t="e" cm="1">
        <f t="array" aca="1" ref="Z66" ca="1">IF(INDIRECT(ADDRESS($B66+1,Z$38,1,1,"Confirmed Day Zero"))=0,#N/A,INDIRECT(ADDRESS($B66+1,Z$38,1,1,"Confirmed Day Zero")))</f>
        <v>#N/A</v>
      </c>
      <c r="AA66" t="e" cm="1">
        <f t="array" aca="1" ref="AA66" ca="1">IF(INDIRECT(ADDRESS($B66+1,AA$38,1,1,"Confirmed Day Zero"))=0,#N/A,INDIRECT(ADDRESS($B66+1,AA$38,1,1,"Confirmed Day Zero")))</f>
        <v>#N/A</v>
      </c>
      <c r="AB66" t="e" cm="1">
        <f t="array" aca="1" ref="AB66" ca="1">IF(INDIRECT(ADDRESS($B66+1,AB$38,1,1,"Confirmed Day Zero"))=0,#N/A,INDIRECT(ADDRESS($B66+1,AB$38,1,1,"Confirmed Day Zero")))</f>
        <v>#N/A</v>
      </c>
      <c r="AC66" t="e" cm="1">
        <f t="array" aca="1" ref="AC66" ca="1">IF(INDIRECT(ADDRESS($B66+1,AC$38,1,1,"Confirmed Day Zero"))=0,#N/A,INDIRECT(ADDRESS($B66+1,AC$38,1,1,"Confirmed Day Zero")))</f>
        <v>#N/A</v>
      </c>
      <c r="AD66" t="e" cm="1">
        <f t="array" aca="1" ref="AD66" ca="1">IF(INDIRECT(ADDRESS($B66+1,AD$38,1,1,"Confirmed Day Zero"))=0,#N/A,INDIRECT(ADDRESS($B66+1,AD$38,1,1,"Confirmed Day Zero")))</f>
        <v>#N/A</v>
      </c>
      <c r="AE66" t="e" cm="1">
        <f t="array" aca="1" ref="AE66" ca="1">IF(INDIRECT(ADDRESS($B66+1,AE$38,1,1,"Confirmed Day Zero"))=0,#N/A,INDIRECT(ADDRESS($B66+1,AE$38,1,1,"Confirmed Day Zero")))</f>
        <v>#N/A</v>
      </c>
      <c r="AF66" t="e" cm="1">
        <f t="array" aca="1" ref="AF66" ca="1">IF(INDIRECT(ADDRESS($B66+1,AF$38,1,1,"Confirmed Day Zero"))=0,#N/A,INDIRECT(ADDRESS($B66+1,AF$38,1,1,"Confirmed Day Zero")))</f>
        <v>#N/A</v>
      </c>
      <c r="AG66" t="e" cm="1">
        <f t="array" aca="1" ref="AG66" ca="1">IF(INDIRECT(ADDRESS($B66+1,AG$38,1,1,"Confirmed Day Zero"))=0,#N/A,INDIRECT(ADDRESS($B66+1,AG$38,1,1,"Confirmed Day Zero")))</f>
        <v>#N/A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</row>
    <row r="67" spans="2:74" x14ac:dyDescent="0.25">
      <c r="B67" s="16">
        <f t="shared" si="8"/>
        <v>25</v>
      </c>
      <c r="C67" cm="1">
        <f t="array" aca="1" ref="C67" ca="1">INDIRECT(ADDRESS($B67+1,1,1,1,"Confirmed Day Zero"))</f>
        <v>0</v>
      </c>
      <c r="D67" s="1" t="e" cm="1">
        <f t="array" aca="1" ref="D67" ca="1">IF(INDIRECT(ADDRESS($B67+1,D$38,1,1,"Confirmed Day Zero"))=0,#N/A,INDIRECT(ADDRESS($B67+1,D$38,1,1,"Confirmed Day Zero")))</f>
        <v>#N/A</v>
      </c>
      <c r="E67" t="e" cm="1">
        <f t="array" aca="1" ref="E67" ca="1">IF(INDIRECT(ADDRESS($B67+1,E$38,1,1,"Confirmed Day Zero"))=0,#N/A,INDIRECT(ADDRESS($B67+1,E$38,1,1,"Confirmed Day Zero")))</f>
        <v>#N/A</v>
      </c>
      <c r="F67" t="e" cm="1">
        <f t="array" aca="1" ref="F67" ca="1">IF(INDIRECT(ADDRESS($B67+1,F$38,1,1,"Confirmed Day Zero"))=0,#N/A,INDIRECT(ADDRESS($B67+1,F$38,1,1,"Confirmed Day Zero")))</f>
        <v>#N/A</v>
      </c>
      <c r="G67" t="e" cm="1">
        <f t="array" aca="1" ref="G67" ca="1">IF(INDIRECT(ADDRESS($B67+1,G$38,1,1,"Confirmed Day Zero"))=0,#N/A,INDIRECT(ADDRESS($B67+1,G$38,1,1,"Confirmed Day Zero")))</f>
        <v>#N/A</v>
      </c>
      <c r="H67" t="e" cm="1">
        <f t="array" aca="1" ref="H67" ca="1">IF(INDIRECT(ADDRESS($B67+1,H$38,1,1,"Confirmed Day Zero"))=0,#N/A,INDIRECT(ADDRESS($B67+1,H$38,1,1,"Confirmed Day Zero")))</f>
        <v>#N/A</v>
      </c>
      <c r="I67" t="e" cm="1">
        <f t="array" aca="1" ref="I67" ca="1">IF(INDIRECT(ADDRESS($B67+1,I$38,1,1,"Confirmed Day Zero"))=0,#N/A,INDIRECT(ADDRESS($B67+1,I$38,1,1,"Confirmed Day Zero")))</f>
        <v>#N/A</v>
      </c>
      <c r="J67" t="e" cm="1">
        <f t="array" aca="1" ref="J67" ca="1">IF(INDIRECT(ADDRESS($B67+1,J$38,1,1,"Confirmed Day Zero"))=0,#N/A,INDIRECT(ADDRESS($B67+1,J$38,1,1,"Confirmed Day Zero")))</f>
        <v>#N/A</v>
      </c>
      <c r="K67" t="e" cm="1">
        <f t="array" aca="1" ref="K67" ca="1">IF(INDIRECT(ADDRESS($B67+1,K$38,1,1,"Confirmed Day Zero"))=0,#N/A,INDIRECT(ADDRESS($B67+1,K$38,1,1,"Confirmed Day Zero")))</f>
        <v>#N/A</v>
      </c>
      <c r="L67" t="e" cm="1">
        <f t="array" aca="1" ref="L67" ca="1">IF(INDIRECT(ADDRESS($B67+1,L$38,1,1,"Confirmed Day Zero"))=0,#N/A,INDIRECT(ADDRESS($B67+1,L$38,1,1,"Confirmed Day Zero")))</f>
        <v>#N/A</v>
      </c>
      <c r="M67" t="e" cm="1">
        <f t="array" aca="1" ref="M67" ca="1">IF(INDIRECT(ADDRESS($B67+1,M$38,1,1,"Confirmed Day Zero"))=0,#N/A,INDIRECT(ADDRESS($B67+1,M$38,1,1,"Confirmed Day Zero")))</f>
        <v>#N/A</v>
      </c>
      <c r="N67" t="e" cm="1">
        <f t="array" aca="1" ref="N67" ca="1">IF(INDIRECT(ADDRESS($B67+1,N$38,1,1,"Confirmed Day Zero"))=0,#N/A,INDIRECT(ADDRESS($B67+1,N$38,1,1,"Confirmed Day Zero")))</f>
        <v>#N/A</v>
      </c>
      <c r="O67" t="e" cm="1">
        <f t="array" aca="1" ref="O67" ca="1">IF(INDIRECT(ADDRESS($B67+1,O$38,1,1,"Confirmed Day Zero"))=0,#N/A,INDIRECT(ADDRESS($B67+1,O$38,1,1,"Confirmed Day Zero")))</f>
        <v>#N/A</v>
      </c>
      <c r="P67" t="e" cm="1">
        <f t="array" aca="1" ref="P67" ca="1">IF(INDIRECT(ADDRESS($B67+1,P$38,1,1,"Confirmed Day Zero"))=0,#N/A,INDIRECT(ADDRESS($B67+1,P$38,1,1,"Confirmed Day Zero")))</f>
        <v>#N/A</v>
      </c>
      <c r="Q67" t="e" cm="1">
        <f t="array" aca="1" ref="Q67" ca="1">IF(INDIRECT(ADDRESS($B67+1,Q$38,1,1,"Confirmed Day Zero"))=0,#N/A,INDIRECT(ADDRESS($B67+1,Q$38,1,1,"Confirmed Day Zero")))</f>
        <v>#N/A</v>
      </c>
      <c r="R67" t="e" cm="1">
        <f t="array" aca="1" ref="R67" ca="1">IF(INDIRECT(ADDRESS($B67+1,R$38,1,1,"Confirmed Day Zero"))=0,#N/A,INDIRECT(ADDRESS($B67+1,R$38,1,1,"Confirmed Day Zero")))</f>
        <v>#N/A</v>
      </c>
      <c r="S67" t="e" cm="1">
        <f t="array" aca="1" ref="S67" ca="1">IF(INDIRECT(ADDRESS($B67+1,S$38,1,1,"Confirmed Day Zero"))=0,#N/A,INDIRECT(ADDRESS($B67+1,S$38,1,1,"Confirmed Day Zero")))</f>
        <v>#N/A</v>
      </c>
      <c r="T67" t="e" cm="1">
        <f t="array" aca="1" ref="T67" ca="1">IF(INDIRECT(ADDRESS($B67+1,T$38,1,1,"Confirmed Day Zero"))=0,#N/A,INDIRECT(ADDRESS($B67+1,T$38,1,1,"Confirmed Day Zero")))</f>
        <v>#N/A</v>
      </c>
      <c r="U67" t="e" cm="1">
        <f t="array" aca="1" ref="U67" ca="1">IF(INDIRECT(ADDRESS($B67+1,U$38,1,1,"Confirmed Day Zero"))=0,#N/A,INDIRECT(ADDRESS($B67+1,U$38,1,1,"Confirmed Day Zero")))</f>
        <v>#N/A</v>
      </c>
      <c r="V67" t="e" cm="1">
        <f t="array" aca="1" ref="V67" ca="1">IF(INDIRECT(ADDRESS($B67+1,V$38,1,1,"Confirmed Day Zero"))=0,#N/A,INDIRECT(ADDRESS($B67+1,V$38,1,1,"Confirmed Day Zero")))</f>
        <v>#N/A</v>
      </c>
      <c r="W67" t="e" cm="1">
        <f t="array" aca="1" ref="W67" ca="1">IF(INDIRECT(ADDRESS($B67+1,W$38,1,1,"Confirmed Day Zero"))=0,#N/A,INDIRECT(ADDRESS($B67+1,W$38,1,1,"Confirmed Day Zero")))</f>
        <v>#N/A</v>
      </c>
      <c r="X67" t="e" cm="1">
        <f t="array" aca="1" ref="X67" ca="1">IF(INDIRECT(ADDRESS($B67+1,X$38,1,1,"Confirmed Day Zero"))=0,#N/A,INDIRECT(ADDRESS($B67+1,X$38,1,1,"Confirmed Day Zero")))</f>
        <v>#N/A</v>
      </c>
      <c r="Y67" t="e" cm="1">
        <f t="array" aca="1" ref="Y67" ca="1">IF(INDIRECT(ADDRESS($B67+1,Y$38,1,1,"Confirmed Day Zero"))=0,#N/A,INDIRECT(ADDRESS($B67+1,Y$38,1,1,"Confirmed Day Zero")))</f>
        <v>#N/A</v>
      </c>
      <c r="Z67" t="e" cm="1">
        <f t="array" aca="1" ref="Z67" ca="1">IF(INDIRECT(ADDRESS($B67+1,Z$38,1,1,"Confirmed Day Zero"))=0,#N/A,INDIRECT(ADDRESS($B67+1,Z$38,1,1,"Confirmed Day Zero")))</f>
        <v>#N/A</v>
      </c>
      <c r="AA67" t="e" cm="1">
        <f t="array" aca="1" ref="AA67" ca="1">IF(INDIRECT(ADDRESS($B67+1,AA$38,1,1,"Confirmed Day Zero"))=0,#N/A,INDIRECT(ADDRESS($B67+1,AA$38,1,1,"Confirmed Day Zero")))</f>
        <v>#N/A</v>
      </c>
      <c r="AB67" t="e" cm="1">
        <f t="array" aca="1" ref="AB67" ca="1">IF(INDIRECT(ADDRESS($B67+1,AB$38,1,1,"Confirmed Day Zero"))=0,#N/A,INDIRECT(ADDRESS($B67+1,AB$38,1,1,"Confirmed Day Zero")))</f>
        <v>#N/A</v>
      </c>
      <c r="AC67" t="e" cm="1">
        <f t="array" aca="1" ref="AC67" ca="1">IF(INDIRECT(ADDRESS($B67+1,AC$38,1,1,"Confirmed Day Zero"))=0,#N/A,INDIRECT(ADDRESS($B67+1,AC$38,1,1,"Confirmed Day Zero")))</f>
        <v>#N/A</v>
      </c>
      <c r="AD67" t="e" cm="1">
        <f t="array" aca="1" ref="AD67" ca="1">IF(INDIRECT(ADDRESS($B67+1,AD$38,1,1,"Confirmed Day Zero"))=0,#N/A,INDIRECT(ADDRESS($B67+1,AD$38,1,1,"Confirmed Day Zero")))</f>
        <v>#N/A</v>
      </c>
      <c r="AE67" t="e" cm="1">
        <f t="array" aca="1" ref="AE67" ca="1">IF(INDIRECT(ADDRESS($B67+1,AE$38,1,1,"Confirmed Day Zero"))=0,#N/A,INDIRECT(ADDRESS($B67+1,AE$38,1,1,"Confirmed Day Zero")))</f>
        <v>#N/A</v>
      </c>
      <c r="AF67" t="e" cm="1">
        <f t="array" aca="1" ref="AF67" ca="1">IF(INDIRECT(ADDRESS($B67+1,AF$38,1,1,"Confirmed Day Zero"))=0,#N/A,INDIRECT(ADDRESS($B67+1,AF$38,1,1,"Confirmed Day Zero")))</f>
        <v>#N/A</v>
      </c>
      <c r="AG67" t="e" cm="1">
        <f t="array" aca="1" ref="AG67" ca="1">IF(INDIRECT(ADDRESS($B67+1,AG$38,1,1,"Confirmed Day Zero"))=0,#N/A,INDIRECT(ADDRESS($B67+1,AG$38,1,1,"Confirmed Day Zero")))</f>
        <v>#N/A</v>
      </c>
      <c r="AH67" t="e" cm="1">
        <f t="array" aca="1" ref="AH67" ca="1">IF(INDIRECT(ADDRESS($B67+1,AH$38,1,1,"Confirmed Day Zero"))=0,#N/A,INDIRECT(ADDRESS($B67+1,AH$38,1,1,"Confirmed Day Zero")))</f>
        <v>#N/A</v>
      </c>
      <c r="AI67" t="e" cm="1">
        <f t="array" aca="1" ref="AI67" ca="1">IF(INDIRECT(ADDRESS($B67+1,AI$38,1,1,"Confirmed Day Zero"))=0,#N/A,INDIRECT(ADDRESS($B67+1,AI$38,1,1,"Confirmed Day Zero")))</f>
        <v>#N/A</v>
      </c>
      <c r="AJ67" t="e" cm="1">
        <f t="array" aca="1" ref="AJ67" ca="1">IF(INDIRECT(ADDRESS($B67+1,AJ$38,1,1,"Confirmed Day Zero"))=0,#N/A,INDIRECT(ADDRESS($B67+1,AJ$38,1,1,"Confirmed Day Zero")))</f>
        <v>#N/A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</row>
    <row r="68" spans="2:74" x14ac:dyDescent="0.25">
      <c r="B68" s="16">
        <f t="shared" si="8"/>
        <v>26</v>
      </c>
      <c r="C68" cm="1">
        <f t="array" aca="1" ref="C68" ca="1">INDIRECT(ADDRESS($B68+1,1,1,1,"Confirmed Day Zero"))</f>
        <v>0</v>
      </c>
      <c r="D68" s="1" t="e" cm="1">
        <f t="array" aca="1" ref="D68" ca="1">IF(INDIRECT(ADDRESS($B68+1,D$38,1,1,"Confirmed Day Zero"))=0,#N/A,INDIRECT(ADDRESS($B68+1,D$38,1,1,"Confirmed Day Zero")))</f>
        <v>#N/A</v>
      </c>
      <c r="E68" t="e" cm="1">
        <f t="array" aca="1" ref="E68" ca="1">IF(INDIRECT(ADDRESS($B68+1,E$38,1,1,"Confirmed Day Zero"))=0,#N/A,INDIRECT(ADDRESS($B68+1,E$38,1,1,"Confirmed Day Zero")))</f>
        <v>#N/A</v>
      </c>
      <c r="F68" t="e" cm="1">
        <f t="array" aca="1" ref="F68" ca="1">IF(INDIRECT(ADDRESS($B68+1,F$38,1,1,"Confirmed Day Zero"))=0,#N/A,INDIRECT(ADDRESS($B68+1,F$38,1,1,"Confirmed Day Zero")))</f>
        <v>#N/A</v>
      </c>
      <c r="G68" t="e" cm="1">
        <f t="array" aca="1" ref="G68" ca="1">IF(INDIRECT(ADDRESS($B68+1,G$38,1,1,"Confirmed Day Zero"))=0,#N/A,INDIRECT(ADDRESS($B68+1,G$38,1,1,"Confirmed Day Zero")))</f>
        <v>#N/A</v>
      </c>
      <c r="H68" t="e" cm="1">
        <f t="array" aca="1" ref="H68" ca="1">IF(INDIRECT(ADDRESS($B68+1,H$38,1,1,"Confirmed Day Zero"))=0,#N/A,INDIRECT(ADDRESS($B68+1,H$38,1,1,"Confirmed Day Zero")))</f>
        <v>#N/A</v>
      </c>
      <c r="I68" t="e" cm="1">
        <f t="array" aca="1" ref="I68" ca="1">IF(INDIRECT(ADDRESS($B68+1,I$38,1,1,"Confirmed Day Zero"))=0,#N/A,INDIRECT(ADDRESS($B68+1,I$38,1,1,"Confirmed Day Zero")))</f>
        <v>#N/A</v>
      </c>
      <c r="J68" t="e" cm="1">
        <f t="array" aca="1" ref="J68" ca="1">IF(INDIRECT(ADDRESS($B68+1,J$38,1,1,"Confirmed Day Zero"))=0,#N/A,INDIRECT(ADDRESS($B68+1,J$38,1,1,"Confirmed Day Zero")))</f>
        <v>#N/A</v>
      </c>
      <c r="K68" t="e" cm="1">
        <f t="array" aca="1" ref="K68" ca="1">IF(INDIRECT(ADDRESS($B68+1,K$38,1,1,"Confirmed Day Zero"))=0,#N/A,INDIRECT(ADDRESS($B68+1,K$38,1,1,"Confirmed Day Zero")))</f>
        <v>#N/A</v>
      </c>
      <c r="L68" t="e" cm="1">
        <f t="array" aca="1" ref="L68" ca="1">IF(INDIRECT(ADDRESS($B68+1,L$38,1,1,"Confirmed Day Zero"))=0,#N/A,INDIRECT(ADDRESS($B68+1,L$38,1,1,"Confirmed Day Zero")))</f>
        <v>#N/A</v>
      </c>
      <c r="M68" t="e" cm="1">
        <f t="array" aca="1" ref="M68" ca="1">IF(INDIRECT(ADDRESS($B68+1,M$38,1,1,"Confirmed Day Zero"))=0,#N/A,INDIRECT(ADDRESS($B68+1,M$38,1,1,"Confirmed Day Zero")))</f>
        <v>#N/A</v>
      </c>
      <c r="N68" t="e" cm="1">
        <f t="array" aca="1" ref="N68" ca="1">IF(INDIRECT(ADDRESS($B68+1,N$38,1,1,"Confirmed Day Zero"))=0,#N/A,INDIRECT(ADDRESS($B68+1,N$38,1,1,"Confirmed Day Zero")))</f>
        <v>#N/A</v>
      </c>
      <c r="O68" t="e" cm="1">
        <f t="array" aca="1" ref="O68" ca="1">IF(INDIRECT(ADDRESS($B68+1,O$38,1,1,"Confirmed Day Zero"))=0,#N/A,INDIRECT(ADDRESS($B68+1,O$38,1,1,"Confirmed Day Zero")))</f>
        <v>#N/A</v>
      </c>
      <c r="P68" t="e" cm="1">
        <f t="array" aca="1" ref="P68" ca="1">IF(INDIRECT(ADDRESS($B68+1,P$38,1,1,"Confirmed Day Zero"))=0,#N/A,INDIRECT(ADDRESS($B68+1,P$38,1,1,"Confirmed Day Zero")))</f>
        <v>#N/A</v>
      </c>
      <c r="Q68" t="e" cm="1">
        <f t="array" aca="1" ref="Q68" ca="1">IF(INDIRECT(ADDRESS($B68+1,Q$38,1,1,"Confirmed Day Zero"))=0,#N/A,INDIRECT(ADDRESS($B68+1,Q$38,1,1,"Confirmed Day Zero")))</f>
        <v>#N/A</v>
      </c>
      <c r="R68" t="e" cm="1">
        <f t="array" aca="1" ref="R68" ca="1">IF(INDIRECT(ADDRESS($B68+1,R$38,1,1,"Confirmed Day Zero"))=0,#N/A,INDIRECT(ADDRESS($B68+1,R$38,1,1,"Confirmed Day Zero")))</f>
        <v>#N/A</v>
      </c>
      <c r="S68" t="e" cm="1">
        <f t="array" aca="1" ref="S68" ca="1">IF(INDIRECT(ADDRESS($B68+1,S$38,1,1,"Confirmed Day Zero"))=0,#N/A,INDIRECT(ADDRESS($B68+1,S$38,1,1,"Confirmed Day Zero")))</f>
        <v>#N/A</v>
      </c>
      <c r="T68" t="e" cm="1">
        <f t="array" aca="1" ref="T68" ca="1">IF(INDIRECT(ADDRESS($B68+1,T$38,1,1,"Confirmed Day Zero"))=0,#N/A,INDIRECT(ADDRESS($B68+1,T$38,1,1,"Confirmed Day Zero")))</f>
        <v>#N/A</v>
      </c>
      <c r="U68" t="e" cm="1">
        <f t="array" aca="1" ref="U68" ca="1">IF(INDIRECT(ADDRESS($B68+1,U$38,1,1,"Confirmed Day Zero"))=0,#N/A,INDIRECT(ADDRESS($B68+1,U$38,1,1,"Confirmed Day Zero")))</f>
        <v>#N/A</v>
      </c>
      <c r="V68" t="e" cm="1">
        <f t="array" aca="1" ref="V68" ca="1">IF(INDIRECT(ADDRESS($B68+1,V$38,1,1,"Confirmed Day Zero"))=0,#N/A,INDIRECT(ADDRESS($B68+1,V$38,1,1,"Confirmed Day Zero")))</f>
        <v>#N/A</v>
      </c>
      <c r="W68" t="e" cm="1">
        <f t="array" aca="1" ref="W68" ca="1">IF(INDIRECT(ADDRESS($B68+1,W$38,1,1,"Confirmed Day Zero"))=0,#N/A,INDIRECT(ADDRESS($B68+1,W$38,1,1,"Confirmed Day Zero")))</f>
        <v>#N/A</v>
      </c>
      <c r="X68" t="e" cm="1">
        <f t="array" aca="1" ref="X68" ca="1">IF(INDIRECT(ADDRESS($B68+1,X$38,1,1,"Confirmed Day Zero"))=0,#N/A,INDIRECT(ADDRESS($B68+1,X$38,1,1,"Confirmed Day Zero")))</f>
        <v>#N/A</v>
      </c>
      <c r="Y68" t="e" cm="1">
        <f t="array" aca="1" ref="Y68" ca="1">IF(INDIRECT(ADDRESS($B68+1,Y$38,1,1,"Confirmed Day Zero"))=0,#N/A,INDIRECT(ADDRESS($B68+1,Y$38,1,1,"Confirmed Day Zero")))</f>
        <v>#N/A</v>
      </c>
      <c r="Z68" t="e" cm="1">
        <f t="array" aca="1" ref="Z68" ca="1">IF(INDIRECT(ADDRESS($B68+1,Z$38,1,1,"Confirmed Day Zero"))=0,#N/A,INDIRECT(ADDRESS($B68+1,Z$38,1,1,"Confirmed Day Zero")))</f>
        <v>#N/A</v>
      </c>
      <c r="AA68" t="e" cm="1">
        <f t="array" aca="1" ref="AA68" ca="1">IF(INDIRECT(ADDRESS($B68+1,AA$38,1,1,"Confirmed Day Zero"))=0,#N/A,INDIRECT(ADDRESS($B68+1,AA$38,1,1,"Confirmed Day Zero")))</f>
        <v>#N/A</v>
      </c>
      <c r="AB68" t="e" cm="1">
        <f t="array" aca="1" ref="AB68" ca="1">IF(INDIRECT(ADDRESS($B68+1,AB$38,1,1,"Confirmed Day Zero"))=0,#N/A,INDIRECT(ADDRESS($B68+1,AB$38,1,1,"Confirmed Day Zero")))</f>
        <v>#N/A</v>
      </c>
      <c r="AC68" t="e" cm="1">
        <f t="array" aca="1" ref="AC68" ca="1">IF(INDIRECT(ADDRESS($B68+1,AC$38,1,1,"Confirmed Day Zero"))=0,#N/A,INDIRECT(ADDRESS($B68+1,AC$38,1,1,"Confirmed Day Zero")))</f>
        <v>#N/A</v>
      </c>
      <c r="AD68" t="e" cm="1">
        <f t="array" aca="1" ref="AD68" ca="1">IF(INDIRECT(ADDRESS($B68+1,AD$38,1,1,"Confirmed Day Zero"))=0,#N/A,INDIRECT(ADDRESS($B68+1,AD$38,1,1,"Confirmed Day Zero")))</f>
        <v>#N/A</v>
      </c>
      <c r="AE68" t="e" cm="1">
        <f t="array" aca="1" ref="AE68" ca="1">IF(INDIRECT(ADDRESS($B68+1,AE$38,1,1,"Confirmed Day Zero"))=0,#N/A,INDIRECT(ADDRESS($B68+1,AE$38,1,1,"Confirmed Day Zero")))</f>
        <v>#N/A</v>
      </c>
      <c r="AF68" t="e" cm="1">
        <f t="array" aca="1" ref="AF68" ca="1">IF(INDIRECT(ADDRESS($B68+1,AF$38,1,1,"Confirmed Day Zero"))=0,#N/A,INDIRECT(ADDRESS($B68+1,AF$38,1,1,"Confirmed Day Zero")))</f>
        <v>#N/A</v>
      </c>
      <c r="AG68" t="e" cm="1">
        <f t="array" aca="1" ref="AG68" ca="1">IF(INDIRECT(ADDRESS($B68+1,AG$38,1,1,"Confirmed Day Zero"))=0,#N/A,INDIRECT(ADDRESS($B68+1,AG$38,1,1,"Confirmed Day Zero")))</f>
        <v>#N/A</v>
      </c>
      <c r="AH68" t="e" cm="1">
        <f t="array" aca="1" ref="AH68" ca="1">IF(INDIRECT(ADDRESS($B68+1,AH$38,1,1,"Confirmed Day Zero"))=0,#N/A,INDIRECT(ADDRESS($B68+1,AH$38,1,1,"Confirmed Day Zero")))</f>
        <v>#N/A</v>
      </c>
      <c r="AI68" t="e" cm="1">
        <f t="array" aca="1" ref="AI68" ca="1">IF(INDIRECT(ADDRESS($B68+1,AI$38,1,1,"Confirmed Day Zero"))=0,#N/A,INDIRECT(ADDRESS($B68+1,AI$38,1,1,"Confirmed Day Zero")))</f>
        <v>#N/A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</row>
    <row r="69" spans="2:74" x14ac:dyDescent="0.25">
      <c r="B69" s="16">
        <f t="shared" si="8"/>
        <v>27</v>
      </c>
      <c r="C69" cm="1">
        <f t="array" aca="1" ref="C69" ca="1">INDIRECT(ADDRESS($B69+1,1,1,1,"Confirmed Day Zero"))</f>
        <v>0</v>
      </c>
      <c r="D69" s="1" t="e" cm="1">
        <f t="array" aca="1" ref="D69" ca="1">IF(INDIRECT(ADDRESS($B69+1,D$38,1,1,"Confirmed Day Zero"))=0,#N/A,INDIRECT(ADDRESS($B69+1,D$38,1,1,"Confirmed Day Zero")))</f>
        <v>#N/A</v>
      </c>
      <c r="E69" t="e" cm="1">
        <f t="array" aca="1" ref="E69" ca="1">IF(INDIRECT(ADDRESS($B69+1,E$38,1,1,"Confirmed Day Zero"))=0,#N/A,INDIRECT(ADDRESS($B69+1,E$38,1,1,"Confirmed Day Zero")))</f>
        <v>#N/A</v>
      </c>
      <c r="F69" t="e" cm="1">
        <f t="array" aca="1" ref="F69" ca="1">IF(INDIRECT(ADDRESS($B69+1,F$38,1,1,"Confirmed Day Zero"))=0,#N/A,INDIRECT(ADDRESS($B69+1,F$38,1,1,"Confirmed Day Zero")))</f>
        <v>#N/A</v>
      </c>
      <c r="G69" t="e" cm="1">
        <f t="array" aca="1" ref="G69" ca="1">IF(INDIRECT(ADDRESS($B69+1,G$38,1,1,"Confirmed Day Zero"))=0,#N/A,INDIRECT(ADDRESS($B69+1,G$38,1,1,"Confirmed Day Zero")))</f>
        <v>#N/A</v>
      </c>
      <c r="H69" t="e" cm="1">
        <f t="array" aca="1" ref="H69" ca="1">IF(INDIRECT(ADDRESS($B69+1,H$38,1,1,"Confirmed Day Zero"))=0,#N/A,INDIRECT(ADDRESS($B69+1,H$38,1,1,"Confirmed Day Zero")))</f>
        <v>#N/A</v>
      </c>
      <c r="I69" t="e" cm="1">
        <f t="array" aca="1" ref="I69" ca="1">IF(INDIRECT(ADDRESS($B69+1,I$38,1,1,"Confirmed Day Zero"))=0,#N/A,INDIRECT(ADDRESS($B69+1,I$38,1,1,"Confirmed Day Zero")))</f>
        <v>#N/A</v>
      </c>
      <c r="J69" t="e" cm="1">
        <f t="array" aca="1" ref="J69" ca="1">IF(INDIRECT(ADDRESS($B69+1,J$38,1,1,"Confirmed Day Zero"))=0,#N/A,INDIRECT(ADDRESS($B69+1,J$38,1,1,"Confirmed Day Zero")))</f>
        <v>#N/A</v>
      </c>
      <c r="K69" t="e" cm="1">
        <f t="array" aca="1" ref="K69" ca="1">IF(INDIRECT(ADDRESS($B69+1,K$38,1,1,"Confirmed Day Zero"))=0,#N/A,INDIRECT(ADDRESS($B69+1,K$38,1,1,"Confirmed Day Zero")))</f>
        <v>#N/A</v>
      </c>
      <c r="L69" t="e" cm="1">
        <f t="array" aca="1" ref="L69" ca="1">IF(INDIRECT(ADDRESS($B69+1,L$38,1,1,"Confirmed Day Zero"))=0,#N/A,INDIRECT(ADDRESS($B69+1,L$38,1,1,"Confirmed Day Zero")))</f>
        <v>#N/A</v>
      </c>
      <c r="M69" t="e" cm="1">
        <f t="array" aca="1" ref="M69" ca="1">IF(INDIRECT(ADDRESS($B69+1,M$38,1,1,"Confirmed Day Zero"))=0,#N/A,INDIRECT(ADDRESS($B69+1,M$38,1,1,"Confirmed Day Zero")))</f>
        <v>#N/A</v>
      </c>
      <c r="N69" t="e" cm="1">
        <f t="array" aca="1" ref="N69" ca="1">IF(INDIRECT(ADDRESS($B69+1,N$38,1,1,"Confirmed Day Zero"))=0,#N/A,INDIRECT(ADDRESS($B69+1,N$38,1,1,"Confirmed Day Zero")))</f>
        <v>#N/A</v>
      </c>
      <c r="O69" t="e" cm="1">
        <f t="array" aca="1" ref="O69" ca="1">IF(INDIRECT(ADDRESS($B69+1,O$38,1,1,"Confirmed Day Zero"))=0,#N/A,INDIRECT(ADDRESS($B69+1,O$38,1,1,"Confirmed Day Zero")))</f>
        <v>#N/A</v>
      </c>
      <c r="P69" t="e" cm="1">
        <f t="array" aca="1" ref="P69" ca="1">IF(INDIRECT(ADDRESS($B69+1,P$38,1,1,"Confirmed Day Zero"))=0,#N/A,INDIRECT(ADDRESS($B69+1,P$38,1,1,"Confirmed Day Zero")))</f>
        <v>#N/A</v>
      </c>
      <c r="Q69" t="e" cm="1">
        <f t="array" aca="1" ref="Q69" ca="1">IF(INDIRECT(ADDRESS($B69+1,Q$38,1,1,"Confirmed Day Zero"))=0,#N/A,INDIRECT(ADDRESS($B69+1,Q$38,1,1,"Confirmed Day Zero")))</f>
        <v>#N/A</v>
      </c>
      <c r="R69" t="e" cm="1">
        <f t="array" aca="1" ref="R69" ca="1">IF(INDIRECT(ADDRESS($B69+1,R$38,1,1,"Confirmed Day Zero"))=0,#N/A,INDIRECT(ADDRESS($B69+1,R$38,1,1,"Confirmed Day Zero")))</f>
        <v>#N/A</v>
      </c>
      <c r="S69" t="e" cm="1">
        <f t="array" aca="1" ref="S69" ca="1">IF(INDIRECT(ADDRESS($B69+1,S$38,1,1,"Confirmed Day Zero"))=0,#N/A,INDIRECT(ADDRESS($B69+1,S$38,1,1,"Confirmed Day Zero")))</f>
        <v>#N/A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</row>
    <row r="70" spans="2:74" x14ac:dyDescent="0.25">
      <c r="B70" s="16">
        <f t="shared" si="8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</row>
    <row r="71" spans="2:74" x14ac:dyDescent="0.25">
      <c r="B71" s="16">
        <f t="shared" si="8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</row>
    <row r="72" spans="2:74" x14ac:dyDescent="0.25">
      <c r="B72" s="16">
        <f t="shared" si="8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</row>
    <row r="73" spans="2:74" x14ac:dyDescent="0.25">
      <c r="B73" s="16">
        <f t="shared" si="8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</row>
    <row r="74" spans="2:74" x14ac:dyDescent="0.25">
      <c r="B74" s="16">
        <f t="shared" si="8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</row>
    <row r="75" spans="2:74" x14ac:dyDescent="0.25">
      <c r="B75" s="16">
        <f t="shared" si="8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</row>
    <row r="76" spans="2:74" x14ac:dyDescent="0.25">
      <c r="B76" s="16">
        <f t="shared" si="8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</row>
    <row r="77" spans="2:74" x14ac:dyDescent="0.25">
      <c r="B77" s="16">
        <f t="shared" si="8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</row>
    <row r="78" spans="2:74" x14ac:dyDescent="0.25">
      <c r="B78" s="16">
        <f t="shared" si="8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</row>
    <row r="79" spans="2:74" x14ac:dyDescent="0.25">
      <c r="B79" s="16">
        <f t="shared" si="8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</row>
    <row r="80" spans="2:74" x14ac:dyDescent="0.25">
      <c r="B80" s="16">
        <f t="shared" si="8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</row>
    <row r="81" spans="2:74" x14ac:dyDescent="0.25">
      <c r="B81" s="16">
        <f t="shared" si="8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</row>
    <row r="82" spans="2:74" x14ac:dyDescent="0.25">
      <c r="B82" s="16">
        <f t="shared" si="8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</row>
    <row r="83" spans="2:74" x14ac:dyDescent="0.25">
      <c r="B83" s="16">
        <f t="shared" si="8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</row>
    <row r="84" spans="2:74" x14ac:dyDescent="0.25">
      <c r="B84" s="16">
        <f t="shared" si="8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</row>
    <row r="85" spans="2:74" x14ac:dyDescent="0.25">
      <c r="B85" s="16">
        <f t="shared" si="8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</row>
    <row r="86" spans="2:74" x14ac:dyDescent="0.25">
      <c r="B86" s="16">
        <f t="shared" si="8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</row>
    <row r="87" spans="2:74" x14ac:dyDescent="0.25">
      <c r="B87" s="16">
        <f t="shared" si="8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</row>
    <row r="88" spans="2:74" x14ac:dyDescent="0.25">
      <c r="B88" s="16">
        <f t="shared" si="8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</row>
    <row r="89" spans="2:74" x14ac:dyDescent="0.25">
      <c r="B89" s="16">
        <f t="shared" si="8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</row>
    <row r="90" spans="2:74" x14ac:dyDescent="0.25">
      <c r="B90" s="16">
        <f t="shared" si="8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</row>
    <row r="91" spans="2:74" x14ac:dyDescent="0.25">
      <c r="B91" s="16">
        <f t="shared" si="8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</row>
    <row r="92" spans="2:74" x14ac:dyDescent="0.25">
      <c r="B92" s="16">
        <f t="shared" si="8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</row>
    <row r="93" spans="2:74" x14ac:dyDescent="0.25">
      <c r="B93" s="16">
        <f t="shared" si="8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</row>
    <row r="94" spans="2:74" x14ac:dyDescent="0.25">
      <c r="B94" s="16">
        <f t="shared" si="8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</row>
    <row r="95" spans="2:74" x14ac:dyDescent="0.25">
      <c r="B95" s="16">
        <f t="shared" si="8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</row>
    <row r="96" spans="2:74" x14ac:dyDescent="0.25">
      <c r="B96" s="16">
        <f t="shared" si="8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</row>
    <row r="97" spans="2:74" x14ac:dyDescent="0.25">
      <c r="B97" s="16">
        <f t="shared" si="8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</row>
    <row r="98" spans="2:74" x14ac:dyDescent="0.25">
      <c r="B98" s="16">
        <f t="shared" si="8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</row>
    <row r="99" spans="2:74" x14ac:dyDescent="0.25">
      <c r="B99" s="16">
        <f t="shared" si="8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</row>
    <row r="100" spans="2:74" x14ac:dyDescent="0.25">
      <c r="B100" s="16">
        <f t="shared" si="8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</row>
    <row r="101" spans="2:74" x14ac:dyDescent="0.25">
      <c r="B101" s="16">
        <f t="shared" si="8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</row>
    <row r="102" spans="2:74" x14ac:dyDescent="0.25">
      <c r="B102" s="16">
        <f t="shared" si="8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</row>
    <row r="105" spans="2:74" x14ac:dyDescent="0.25">
      <c r="C105" s="1" t="str">
        <f>C39</f>
        <v>Confirmed Day Zero</v>
      </c>
      <c r="D105" s="1" t="str">
        <f t="shared" ref="D105:BO105" ca="1" si="9">D39</f>
        <v>Population</v>
      </c>
      <c r="E105" s="1" t="str">
        <f t="shared" ca="1" si="9"/>
        <v>Day 1</v>
      </c>
      <c r="F105" s="1" t="str">
        <f t="shared" ca="1" si="9"/>
        <v>Day 2</v>
      </c>
      <c r="G105" s="1" t="str">
        <f t="shared" ca="1" si="9"/>
        <v>Day 3</v>
      </c>
      <c r="H105" s="1" t="str">
        <f t="shared" ca="1" si="9"/>
        <v>Day 4</v>
      </c>
      <c r="I105" s="1" t="str">
        <f t="shared" ca="1" si="9"/>
        <v>Day 5</v>
      </c>
      <c r="J105" s="1" t="str">
        <f t="shared" ca="1" si="9"/>
        <v>Day 6</v>
      </c>
      <c r="K105" s="1" t="str">
        <f t="shared" ca="1" si="9"/>
        <v>Day 7</v>
      </c>
      <c r="L105" s="1" t="str">
        <f t="shared" ca="1" si="9"/>
        <v>Day 8</v>
      </c>
      <c r="M105" s="1" t="str">
        <f t="shared" ca="1" si="9"/>
        <v>Day 9</v>
      </c>
      <c r="N105" s="1" t="str">
        <f t="shared" ca="1" si="9"/>
        <v>Day 10</v>
      </c>
      <c r="O105" s="1" t="str">
        <f t="shared" ca="1" si="9"/>
        <v>Day 11</v>
      </c>
      <c r="P105" s="1" t="str">
        <f t="shared" ca="1" si="9"/>
        <v>Day 12</v>
      </c>
      <c r="Q105" s="1" t="str">
        <f t="shared" ca="1" si="9"/>
        <v>Day 13</v>
      </c>
      <c r="R105" s="1" t="str">
        <f t="shared" ca="1" si="9"/>
        <v>Day 14</v>
      </c>
      <c r="S105" s="1" t="str">
        <f t="shared" ca="1" si="9"/>
        <v>Day 15</v>
      </c>
      <c r="T105" s="1" t="str">
        <f t="shared" ca="1" si="9"/>
        <v>Day 16</v>
      </c>
      <c r="U105" s="1" t="str">
        <f t="shared" ca="1" si="9"/>
        <v>Day 17</v>
      </c>
      <c r="V105" s="1" t="str">
        <f t="shared" ca="1" si="9"/>
        <v>Day 18</v>
      </c>
      <c r="W105" s="1" t="str">
        <f t="shared" ca="1" si="9"/>
        <v>Day 19</v>
      </c>
      <c r="X105" s="1" t="str">
        <f t="shared" ca="1" si="9"/>
        <v>Day 20</v>
      </c>
      <c r="Y105" s="1" t="str">
        <f t="shared" ca="1" si="9"/>
        <v>Day 21</v>
      </c>
      <c r="Z105" s="1" t="str">
        <f t="shared" ca="1" si="9"/>
        <v>Day 22</v>
      </c>
      <c r="AA105" s="1" t="str">
        <f t="shared" ca="1" si="9"/>
        <v>Day 23</v>
      </c>
      <c r="AB105" s="1" t="str">
        <f t="shared" ca="1" si="9"/>
        <v>Day 24</v>
      </c>
      <c r="AC105" s="1" t="str">
        <f t="shared" ca="1" si="9"/>
        <v>Day 25</v>
      </c>
      <c r="AD105" s="1" t="str">
        <f t="shared" ca="1" si="9"/>
        <v>Day 26</v>
      </c>
      <c r="AE105" s="1" t="str">
        <f t="shared" ca="1" si="9"/>
        <v>Day 27</v>
      </c>
      <c r="AF105" s="1" t="str">
        <f t="shared" ca="1" si="9"/>
        <v>Day 28</v>
      </c>
      <c r="AG105" s="1" t="str">
        <f t="shared" ca="1" si="9"/>
        <v>Day 29</v>
      </c>
      <c r="AH105" s="1" t="str">
        <f t="shared" ca="1" si="9"/>
        <v>Day 30</v>
      </c>
      <c r="AI105" s="1" t="str">
        <f t="shared" ca="1" si="9"/>
        <v>Day 31</v>
      </c>
      <c r="AJ105" s="1" t="str">
        <f t="shared" ca="1" si="9"/>
        <v>Day 32</v>
      </c>
      <c r="AK105" s="1" t="str">
        <f t="shared" ca="1" si="9"/>
        <v>Day 33</v>
      </c>
      <c r="AL105" s="1" t="str">
        <f t="shared" ca="1" si="9"/>
        <v>Day 34</v>
      </c>
      <c r="AM105" s="1" t="str">
        <f t="shared" ca="1" si="9"/>
        <v>Day 35</v>
      </c>
      <c r="AN105" s="1" t="str">
        <f t="shared" ca="1" si="9"/>
        <v>Day 36</v>
      </c>
      <c r="AO105" s="1" t="str">
        <f t="shared" ca="1" si="9"/>
        <v>Day 37</v>
      </c>
      <c r="AP105" s="1" t="str">
        <f t="shared" ca="1" si="9"/>
        <v>Day 38</v>
      </c>
      <c r="AQ105" s="1" t="str">
        <f t="shared" ca="1" si="9"/>
        <v>Day 39</v>
      </c>
      <c r="AR105" s="1" t="str">
        <f t="shared" ca="1" si="9"/>
        <v>Day 40</v>
      </c>
      <c r="AS105" s="1" t="str">
        <f t="shared" ca="1" si="9"/>
        <v>Day 41</v>
      </c>
      <c r="AT105" s="1" t="str">
        <f t="shared" ca="1" si="9"/>
        <v>Day 42</v>
      </c>
      <c r="AU105" s="1" t="str">
        <f t="shared" ca="1" si="9"/>
        <v>Day 43</v>
      </c>
      <c r="AV105" s="1" t="str">
        <f t="shared" ca="1" si="9"/>
        <v>Day 44</v>
      </c>
      <c r="AW105" s="1" t="str">
        <f t="shared" ca="1" si="9"/>
        <v>Day 45</v>
      </c>
      <c r="AX105" s="1" t="str">
        <f t="shared" ca="1" si="9"/>
        <v>Day 46</v>
      </c>
      <c r="AY105" s="1" t="str">
        <f t="shared" ca="1" si="9"/>
        <v>Day 47</v>
      </c>
      <c r="AZ105" s="1" t="str">
        <f t="shared" ca="1" si="9"/>
        <v>Day 48</v>
      </c>
      <c r="BA105" s="1" t="str">
        <f t="shared" ca="1" si="9"/>
        <v>Day 49</v>
      </c>
      <c r="BB105" s="1" t="str">
        <f t="shared" ca="1" si="9"/>
        <v>Day 50</v>
      </c>
      <c r="BC105" s="1" t="str">
        <f t="shared" ca="1" si="9"/>
        <v>Day 51</v>
      </c>
      <c r="BD105" s="1" t="str">
        <f t="shared" ca="1" si="9"/>
        <v>Day 52</v>
      </c>
      <c r="BE105" s="1" t="str">
        <f t="shared" ca="1" si="9"/>
        <v>Day 53</v>
      </c>
      <c r="BF105" s="1" t="str">
        <f t="shared" ca="1" si="9"/>
        <v>Day 54</v>
      </c>
      <c r="BG105" s="1" t="str">
        <f t="shared" ca="1" si="9"/>
        <v>Day 55</v>
      </c>
      <c r="BH105" s="1" t="str">
        <f t="shared" ca="1" si="9"/>
        <v>Day 56</v>
      </c>
      <c r="BI105" s="1" t="str">
        <f t="shared" ca="1" si="9"/>
        <v>Day 57</v>
      </c>
      <c r="BJ105" s="1" t="str">
        <f t="shared" ca="1" si="9"/>
        <v>Day 58</v>
      </c>
      <c r="BK105" s="1" t="str">
        <f t="shared" ca="1" si="9"/>
        <v>Day 59</v>
      </c>
      <c r="BL105" s="1" t="str">
        <f t="shared" ca="1" si="9"/>
        <v>Day 60</v>
      </c>
      <c r="BM105" s="1" t="str">
        <f t="shared" ca="1" si="9"/>
        <v>Day 61</v>
      </c>
      <c r="BN105" s="1" t="str">
        <f t="shared" ca="1" si="9"/>
        <v>Day 62</v>
      </c>
      <c r="BO105" s="1" t="str">
        <f t="shared" ca="1" si="9"/>
        <v>Day 63</v>
      </c>
      <c r="BP105" s="1" t="str">
        <f t="shared" ref="BP105:BV105" ca="1" si="10">BP39</f>
        <v>Day 64</v>
      </c>
      <c r="BQ105" s="1" t="str">
        <f t="shared" ca="1" si="10"/>
        <v>Day 65</v>
      </c>
      <c r="BR105" s="1" t="str">
        <f t="shared" ca="1" si="10"/>
        <v>Day 66</v>
      </c>
      <c r="BS105" s="1" t="str">
        <f t="shared" ca="1" si="10"/>
        <v>Day 67</v>
      </c>
      <c r="BT105" s="1" t="str">
        <f t="shared" ca="1" si="10"/>
        <v>Day 68</v>
      </c>
      <c r="BU105" s="1" t="str">
        <f t="shared" ca="1" si="10"/>
        <v>Day 69</v>
      </c>
      <c r="BV105" s="1">
        <f t="shared" ca="1" si="10"/>
        <v>0</v>
      </c>
    </row>
    <row r="106" spans="2:74" x14ac:dyDescent="0.25">
      <c r="B106">
        <f t="shared" ref="B106:D125" si="11">B43</f>
        <v>1</v>
      </c>
      <c r="C106" t="str">
        <f t="shared" ca="1" si="11"/>
        <v>Austria</v>
      </c>
      <c r="D106" s="1">
        <f t="shared" ca="1" si="11"/>
        <v>9006398</v>
      </c>
      <c r="E106" s="17">
        <f ca="1">E43/$D106*100000</f>
        <v>0.61067698762590772</v>
      </c>
      <c r="F106" s="17">
        <f t="shared" ref="F106:BQ106" ca="1" si="12">F43/$D106*100000</f>
        <v>0.87715421858994025</v>
      </c>
      <c r="G106" s="17">
        <f t="shared" ca="1" si="12"/>
        <v>1.1547346675108072</v>
      </c>
      <c r="H106" s="17">
        <f t="shared" ca="1" si="12"/>
        <v>1.4545215523453439</v>
      </c>
      <c r="I106" s="17">
        <f t="shared" ca="1" si="12"/>
        <v>2.0207856681439127</v>
      </c>
      <c r="J106" s="17">
        <f t="shared" ca="1" si="12"/>
        <v>2.7313916173813326</v>
      </c>
      <c r="K106" s="17">
        <f t="shared" ca="1" si="12"/>
        <v>3.3531718229640748</v>
      </c>
      <c r="L106" s="17">
        <f t="shared" ca="1" si="12"/>
        <v>5.5960218502446812</v>
      </c>
      <c r="M106" s="17">
        <f t="shared" ca="1" si="12"/>
        <v>7.2726077617267197</v>
      </c>
      <c r="N106" s="17">
        <f t="shared" ca="1" si="12"/>
        <v>9.5487674428778302</v>
      </c>
      <c r="O106" s="17">
        <f t="shared" ca="1" si="12"/>
        <v>11.30307588005771</v>
      </c>
      <c r="P106" s="17">
        <f t="shared" ca="1" si="12"/>
        <v>14.789486318503801</v>
      </c>
      <c r="Q106" s="17">
        <f t="shared" ca="1" si="12"/>
        <v>18.275896756949894</v>
      </c>
      <c r="R106" s="17">
        <f t="shared" ca="1" si="12"/>
        <v>22.350777747108221</v>
      </c>
      <c r="S106" s="17">
        <f t="shared" ca="1" si="12"/>
        <v>26.514484480921233</v>
      </c>
      <c r="T106" s="17">
        <f t="shared" ca="1" si="12"/>
        <v>31.244455330532805</v>
      </c>
      <c r="U106" s="17">
        <f t="shared" ca="1" si="12"/>
        <v>39.771726721381846</v>
      </c>
      <c r="V106" s="17">
        <f t="shared" ca="1" si="12"/>
        <v>49.675797138878387</v>
      </c>
      <c r="W106" s="17">
        <f t="shared" ca="1" si="12"/>
        <v>58.658300465957645</v>
      </c>
      <c r="X106" s="17">
        <f t="shared" ca="1" si="12"/>
        <v>62.04478194279222</v>
      </c>
      <c r="Y106" s="17">
        <f t="shared" ca="1" si="12"/>
        <v>76.712132863770847</v>
      </c>
      <c r="Z106" s="17">
        <f t="shared" ca="1" si="12"/>
        <v>85.01733989548319</v>
      </c>
      <c r="AA106" s="17">
        <f t="shared" ca="1" si="12"/>
        <v>91.834715720979688</v>
      </c>
      <c r="AB106" s="17">
        <f t="shared" ca="1" si="12"/>
        <v>97.575079404663228</v>
      </c>
      <c r="AC106" s="17">
        <f t="shared" ca="1" si="12"/>
        <v>106.79075030883601</v>
      </c>
      <c r="AD106" s="17" t="e">
        <f t="shared" ca="1" si="12"/>
        <v>#N/A</v>
      </c>
      <c r="AE106" s="17" t="e">
        <f t="shared" ca="1" si="12"/>
        <v>#N/A</v>
      </c>
      <c r="AF106" s="17" t="e">
        <f t="shared" ca="1" si="12"/>
        <v>#N/A</v>
      </c>
      <c r="AG106" s="17" t="e">
        <f t="shared" ca="1" si="12"/>
        <v>#N/A</v>
      </c>
      <c r="AH106" s="17" t="e">
        <f t="shared" ca="1" si="12"/>
        <v>#N/A</v>
      </c>
      <c r="AI106" s="17" t="e">
        <f t="shared" ca="1" si="12"/>
        <v>#N/A</v>
      </c>
      <c r="AJ106" s="17" t="e">
        <f t="shared" ca="1" si="12"/>
        <v>#N/A</v>
      </c>
      <c r="AK106" s="17" t="e">
        <f t="shared" ca="1" si="12"/>
        <v>#N/A</v>
      </c>
      <c r="AL106" s="17" t="e">
        <f t="shared" ca="1" si="12"/>
        <v>#N/A</v>
      </c>
      <c r="AM106" s="17" t="e">
        <f t="shared" ca="1" si="12"/>
        <v>#N/A</v>
      </c>
      <c r="AN106" s="17" t="e">
        <f t="shared" ca="1" si="12"/>
        <v>#N/A</v>
      </c>
      <c r="AO106" s="17" t="e">
        <f t="shared" ca="1" si="12"/>
        <v>#N/A</v>
      </c>
      <c r="AP106" s="17" t="e">
        <f t="shared" ca="1" si="12"/>
        <v>#N/A</v>
      </c>
      <c r="AQ106" s="17" t="e">
        <f t="shared" ca="1" si="12"/>
        <v>#N/A</v>
      </c>
      <c r="AR106" s="17" t="e">
        <f t="shared" ca="1" si="12"/>
        <v>#N/A</v>
      </c>
      <c r="AS106" s="17" t="e">
        <f t="shared" ca="1" si="12"/>
        <v>#N/A</v>
      </c>
      <c r="AT106" s="17" t="e">
        <f t="shared" ca="1" si="12"/>
        <v>#N/A</v>
      </c>
      <c r="AU106" s="17" t="e">
        <f t="shared" ca="1" si="12"/>
        <v>#N/A</v>
      </c>
      <c r="AV106" s="17" t="e">
        <f t="shared" ca="1" si="12"/>
        <v>#N/A</v>
      </c>
      <c r="AW106" s="17" t="e">
        <f t="shared" ca="1" si="12"/>
        <v>#N/A</v>
      </c>
      <c r="AX106" s="17" t="e">
        <f t="shared" ca="1" si="12"/>
        <v>#N/A</v>
      </c>
      <c r="AY106" s="17" t="e">
        <f t="shared" ca="1" si="12"/>
        <v>#N/A</v>
      </c>
      <c r="AZ106" s="17" t="e">
        <f t="shared" ca="1" si="12"/>
        <v>#N/A</v>
      </c>
      <c r="BA106" s="17" t="e">
        <f t="shared" ca="1" si="12"/>
        <v>#N/A</v>
      </c>
      <c r="BB106" s="17" t="e">
        <f t="shared" ca="1" si="12"/>
        <v>#N/A</v>
      </c>
      <c r="BC106" s="17" t="e">
        <f t="shared" ca="1" si="12"/>
        <v>#N/A</v>
      </c>
      <c r="BD106" s="17" t="e">
        <f t="shared" ca="1" si="12"/>
        <v>#N/A</v>
      </c>
      <c r="BE106" s="17" t="e">
        <f t="shared" ca="1" si="12"/>
        <v>#N/A</v>
      </c>
      <c r="BF106" s="17" t="e">
        <f t="shared" ca="1" si="12"/>
        <v>#N/A</v>
      </c>
      <c r="BG106" s="17" t="e">
        <f t="shared" ca="1" si="12"/>
        <v>#N/A</v>
      </c>
      <c r="BH106" s="17" t="e">
        <f t="shared" ca="1" si="12"/>
        <v>#N/A</v>
      </c>
      <c r="BI106" s="17" t="e">
        <f t="shared" ca="1" si="12"/>
        <v>#N/A</v>
      </c>
      <c r="BJ106" s="17" t="e">
        <f t="shared" ca="1" si="12"/>
        <v>#N/A</v>
      </c>
      <c r="BK106" s="17" t="e">
        <f t="shared" ca="1" si="12"/>
        <v>#N/A</v>
      </c>
      <c r="BL106" s="17" t="e">
        <f t="shared" ca="1" si="12"/>
        <v>#N/A</v>
      </c>
      <c r="BM106" s="17" t="e">
        <f t="shared" ca="1" si="12"/>
        <v>#N/A</v>
      </c>
      <c r="BN106" s="17" t="e">
        <f t="shared" ca="1" si="12"/>
        <v>#N/A</v>
      </c>
      <c r="BO106" s="17" t="e">
        <f t="shared" ca="1" si="12"/>
        <v>#N/A</v>
      </c>
      <c r="BP106" s="17" t="e">
        <f t="shared" ca="1" si="12"/>
        <v>#N/A</v>
      </c>
      <c r="BQ106" s="17" t="e">
        <f t="shared" ca="1" si="12"/>
        <v>#N/A</v>
      </c>
      <c r="BR106" s="17" t="e">
        <f t="shared" ref="BR106:BV106" ca="1" si="13">BR43/$D106*100000</f>
        <v>#N/A</v>
      </c>
      <c r="BS106" s="17" t="e">
        <f t="shared" ca="1" si="13"/>
        <v>#N/A</v>
      </c>
      <c r="BT106" s="17" t="e">
        <f t="shared" ca="1" si="13"/>
        <v>#N/A</v>
      </c>
      <c r="BU106" s="17" t="e">
        <f t="shared" ca="1" si="13"/>
        <v>#N/A</v>
      </c>
      <c r="BV106" s="17" t="e">
        <f t="shared" ca="1" si="13"/>
        <v>#N/A</v>
      </c>
    </row>
    <row r="107" spans="2:74" x14ac:dyDescent="0.25">
      <c r="B107">
        <f t="shared" si="11"/>
        <v>2</v>
      </c>
      <c r="C107" t="str">
        <f t="shared" ca="1" si="11"/>
        <v>Belgium</v>
      </c>
      <c r="D107" s="1">
        <f t="shared" ca="1" si="11"/>
        <v>11589623</v>
      </c>
      <c r="E107" s="17">
        <f t="shared" ref="E107:BP107" ca="1" si="14">E44/$D107*100000</f>
        <v>0.43142041807572173</v>
      </c>
      <c r="F107" s="17">
        <f t="shared" ca="1" si="14"/>
        <v>0.94049651140507329</v>
      </c>
      <c r="G107" s="17">
        <f t="shared" ca="1" si="14"/>
        <v>1.4582010130959393</v>
      </c>
      <c r="H107" s="17">
        <f t="shared" ca="1" si="14"/>
        <v>1.7256816723028869</v>
      </c>
      <c r="I107" s="17">
        <f t="shared" ca="1" si="14"/>
        <v>2.0621895984019494</v>
      </c>
      <c r="J107" s="17">
        <f t="shared" ca="1" si="14"/>
        <v>2.3037850325243538</v>
      </c>
      <c r="K107" s="17">
        <f t="shared" ca="1" si="14"/>
        <v>2.709320225515532</v>
      </c>
      <c r="L107" s="17">
        <f t="shared" ca="1" si="14"/>
        <v>2.709320225515532</v>
      </c>
      <c r="M107" s="17">
        <f t="shared" ca="1" si="14"/>
        <v>4.8232802740865681</v>
      </c>
      <c r="N107" s="17">
        <f t="shared" ca="1" si="14"/>
        <v>5.944973361083445</v>
      </c>
      <c r="O107" s="17">
        <f t="shared" ca="1" si="14"/>
        <v>7.6447698083017883</v>
      </c>
      <c r="P107" s="17">
        <f t="shared" ca="1" si="14"/>
        <v>9.1288560464822712</v>
      </c>
      <c r="Q107" s="17">
        <f t="shared" ca="1" si="14"/>
        <v>10.725111593362442</v>
      </c>
      <c r="R107" s="17">
        <f t="shared" ca="1" si="14"/>
        <v>12.821814825210447</v>
      </c>
      <c r="S107" s="17">
        <f t="shared" ca="1" si="14"/>
        <v>15.48799300891841</v>
      </c>
      <c r="T107" s="17">
        <f t="shared" ca="1" si="14"/>
        <v>19.474317671938078</v>
      </c>
      <c r="U107" s="17">
        <f t="shared" ca="1" si="14"/>
        <v>24.288969537663132</v>
      </c>
      <c r="V107" s="17">
        <f t="shared" ca="1" si="14"/>
        <v>29.345216837510588</v>
      </c>
      <c r="W107" s="17">
        <f t="shared" ca="1" si="14"/>
        <v>32.296132497148527</v>
      </c>
      <c r="X107" s="17">
        <f t="shared" ca="1" si="14"/>
        <v>36.834675295305118</v>
      </c>
      <c r="Y107" s="17">
        <f t="shared" ca="1" si="14"/>
        <v>42.598452080796761</v>
      </c>
      <c r="Z107" s="17">
        <f t="shared" ca="1" si="14"/>
        <v>53.798126134042498</v>
      </c>
      <c r="AA107" s="17">
        <f t="shared" ca="1" si="14"/>
        <v>62.849326505271137</v>
      </c>
      <c r="AB107" s="17">
        <f t="shared" ca="1" si="14"/>
        <v>78.811881974072847</v>
      </c>
      <c r="AC107" s="17">
        <f t="shared" ca="1" si="14"/>
        <v>93.497433005370411</v>
      </c>
      <c r="AD107" s="17">
        <f t="shared" ca="1" si="14"/>
        <v>102.66943109366025</v>
      </c>
      <c r="AE107" s="17" t="e">
        <f t="shared" ca="1" si="14"/>
        <v>#N/A</v>
      </c>
      <c r="AF107" s="17" t="e">
        <f t="shared" ca="1" si="14"/>
        <v>#N/A</v>
      </c>
      <c r="AG107" s="17" t="e">
        <f t="shared" ca="1" si="14"/>
        <v>#N/A</v>
      </c>
      <c r="AH107" s="17" t="e">
        <f t="shared" ca="1" si="14"/>
        <v>#N/A</v>
      </c>
      <c r="AI107" s="17" t="e">
        <f t="shared" ca="1" si="14"/>
        <v>#N/A</v>
      </c>
      <c r="AJ107" s="17" t="e">
        <f t="shared" ca="1" si="14"/>
        <v>#N/A</v>
      </c>
      <c r="AK107" s="17" t="e">
        <f t="shared" ca="1" si="14"/>
        <v>#N/A</v>
      </c>
      <c r="AL107" s="17" t="e">
        <f t="shared" ca="1" si="14"/>
        <v>#N/A</v>
      </c>
      <c r="AM107" s="17" t="e">
        <f t="shared" ca="1" si="14"/>
        <v>#N/A</v>
      </c>
      <c r="AN107" s="17" t="e">
        <f t="shared" ca="1" si="14"/>
        <v>#N/A</v>
      </c>
      <c r="AO107" s="17" t="e">
        <f t="shared" ca="1" si="14"/>
        <v>#N/A</v>
      </c>
      <c r="AP107" s="17" t="e">
        <f t="shared" ca="1" si="14"/>
        <v>#N/A</v>
      </c>
      <c r="AQ107" s="17" t="e">
        <f t="shared" ca="1" si="14"/>
        <v>#N/A</v>
      </c>
      <c r="AR107" s="17" t="e">
        <f t="shared" ca="1" si="14"/>
        <v>#N/A</v>
      </c>
      <c r="AS107" s="17" t="e">
        <f t="shared" ca="1" si="14"/>
        <v>#N/A</v>
      </c>
      <c r="AT107" s="17" t="e">
        <f t="shared" ca="1" si="14"/>
        <v>#N/A</v>
      </c>
      <c r="AU107" s="17" t="e">
        <f t="shared" ca="1" si="14"/>
        <v>#N/A</v>
      </c>
      <c r="AV107" s="17" t="e">
        <f t="shared" ca="1" si="14"/>
        <v>#N/A</v>
      </c>
      <c r="AW107" s="17" t="e">
        <f t="shared" ca="1" si="14"/>
        <v>#N/A</v>
      </c>
      <c r="AX107" s="17" t="e">
        <f t="shared" ca="1" si="14"/>
        <v>#N/A</v>
      </c>
      <c r="AY107" s="17" t="e">
        <f t="shared" ca="1" si="14"/>
        <v>#N/A</v>
      </c>
      <c r="AZ107" s="17" t="e">
        <f t="shared" ca="1" si="14"/>
        <v>#N/A</v>
      </c>
      <c r="BA107" s="17" t="e">
        <f t="shared" ca="1" si="14"/>
        <v>#N/A</v>
      </c>
      <c r="BB107" s="17" t="e">
        <f t="shared" ca="1" si="14"/>
        <v>#N/A</v>
      </c>
      <c r="BC107" s="17" t="e">
        <f t="shared" ca="1" si="14"/>
        <v>#N/A</v>
      </c>
      <c r="BD107" s="17" t="e">
        <f t="shared" ca="1" si="14"/>
        <v>#N/A</v>
      </c>
      <c r="BE107" s="17" t="e">
        <f t="shared" ca="1" si="14"/>
        <v>#N/A</v>
      </c>
      <c r="BF107" s="17" t="e">
        <f t="shared" ca="1" si="14"/>
        <v>#N/A</v>
      </c>
      <c r="BG107" s="17" t="e">
        <f t="shared" ca="1" si="14"/>
        <v>#N/A</v>
      </c>
      <c r="BH107" s="17" t="e">
        <f t="shared" ca="1" si="14"/>
        <v>#N/A</v>
      </c>
      <c r="BI107" s="17" t="e">
        <f t="shared" ca="1" si="14"/>
        <v>#N/A</v>
      </c>
      <c r="BJ107" s="17" t="e">
        <f t="shared" ca="1" si="14"/>
        <v>#N/A</v>
      </c>
      <c r="BK107" s="17" t="e">
        <f t="shared" ca="1" si="14"/>
        <v>#N/A</v>
      </c>
      <c r="BL107" s="17" t="e">
        <f t="shared" ca="1" si="14"/>
        <v>#N/A</v>
      </c>
      <c r="BM107" s="17" t="e">
        <f t="shared" ca="1" si="14"/>
        <v>#N/A</v>
      </c>
      <c r="BN107" s="17" t="e">
        <f t="shared" ca="1" si="14"/>
        <v>#N/A</v>
      </c>
      <c r="BO107" s="17" t="e">
        <f t="shared" ca="1" si="14"/>
        <v>#N/A</v>
      </c>
      <c r="BP107" s="17" t="e">
        <f t="shared" ca="1" si="14"/>
        <v>#N/A</v>
      </c>
      <c r="BQ107" s="17" t="e">
        <f t="shared" ref="BQ107:BV107" ca="1" si="15">BQ44/$D107*100000</f>
        <v>#N/A</v>
      </c>
      <c r="BR107" s="17" t="e">
        <f t="shared" ca="1" si="15"/>
        <v>#N/A</v>
      </c>
      <c r="BS107" s="17" t="e">
        <f t="shared" ca="1" si="15"/>
        <v>#N/A</v>
      </c>
      <c r="BT107" s="17" t="e">
        <f t="shared" ca="1" si="15"/>
        <v>#N/A</v>
      </c>
      <c r="BU107" s="17" t="e">
        <f t="shared" ca="1" si="15"/>
        <v>#N/A</v>
      </c>
      <c r="BV107" s="17" t="e">
        <f t="shared" ca="1" si="15"/>
        <v>#N/A</v>
      </c>
    </row>
    <row r="108" spans="2:74" x14ac:dyDescent="0.25">
      <c r="B108">
        <f t="shared" si="11"/>
        <v>3</v>
      </c>
      <c r="C108" t="str">
        <f t="shared" ca="1" si="11"/>
        <v>Canada</v>
      </c>
      <c r="D108" s="1">
        <f t="shared" ca="1" si="11"/>
        <v>37742154</v>
      </c>
      <c r="E108" s="17">
        <f t="shared" ref="E108:BP108" ca="1" si="16">E45/$D108*100000</f>
        <v>0.14307609470302093</v>
      </c>
      <c r="F108" s="17">
        <f t="shared" ca="1" si="16"/>
        <v>0.16957166779617294</v>
      </c>
      <c r="G108" s="17">
        <f t="shared" ca="1" si="16"/>
        <v>0.20401591281727058</v>
      </c>
      <c r="H108" s="17">
        <f t="shared" ca="1" si="16"/>
        <v>0.20931502743590097</v>
      </c>
      <c r="I108" s="17">
        <f t="shared" ca="1" si="16"/>
        <v>0.28615218940604187</v>
      </c>
      <c r="J108" s="17">
        <f t="shared" ca="1" si="16"/>
        <v>0.30999820518987869</v>
      </c>
      <c r="K108" s="17">
        <f t="shared" ca="1" si="16"/>
        <v>0.50606544607920356</v>
      </c>
      <c r="L108" s="17">
        <f t="shared" ca="1" si="16"/>
        <v>0.51931323262577966</v>
      </c>
      <c r="M108" s="17">
        <f t="shared" ca="1" si="16"/>
        <v>0.66238932732880051</v>
      </c>
      <c r="N108" s="17">
        <f t="shared" ca="1" si="16"/>
        <v>1.0942671687471786</v>
      </c>
      <c r="O108" s="17">
        <f t="shared" ca="1" si="16"/>
        <v>1.2452919353781451</v>
      </c>
      <c r="P108" s="17">
        <f t="shared" ca="1" si="16"/>
        <v>1.7169131364362511</v>
      </c>
      <c r="Q108" s="17">
        <f t="shared" ca="1" si="16"/>
        <v>2.0957998316683248</v>
      </c>
      <c r="R108" s="17">
        <f t="shared" ca="1" si="16"/>
        <v>2.472036969591084</v>
      </c>
      <c r="S108" s="17">
        <f t="shared" ca="1" si="16"/>
        <v>3.3569891109023611</v>
      </c>
      <c r="T108" s="17">
        <f t="shared" ca="1" si="16"/>
        <v>3.8577554423629348</v>
      </c>
      <c r="U108" s="17">
        <f t="shared" ca="1" si="16"/>
        <v>5.4978314168290447</v>
      </c>
      <c r="V108" s="17">
        <f t="shared" ca="1" si="16"/>
        <v>7.3578206479683166</v>
      </c>
      <c r="W108" s="17">
        <f t="shared" ca="1" si="16"/>
        <v>8.579266567562625</v>
      </c>
      <c r="X108" s="17">
        <f t="shared" ca="1" si="16"/>
        <v>10.67506639923095</v>
      </c>
      <c r="Y108" s="17">
        <f t="shared" ca="1" si="16"/>
        <v>12.370783077192678</v>
      </c>
      <c r="Z108" s="17">
        <f t="shared" ca="1" si="16"/>
        <v>14.739487311720469</v>
      </c>
      <c r="AA108" s="17">
        <f t="shared" ca="1" si="16"/>
        <v>16.604775657478374</v>
      </c>
      <c r="AB108" s="17">
        <f t="shared" ca="1" si="16"/>
        <v>19.566980729292769</v>
      </c>
      <c r="AC108" s="17" t="e">
        <f t="shared" ca="1" si="16"/>
        <v>#N/A</v>
      </c>
      <c r="AD108" s="17" t="e">
        <f t="shared" ca="1" si="16"/>
        <v>#N/A</v>
      </c>
      <c r="AE108" s="17" t="e">
        <f t="shared" ca="1" si="16"/>
        <v>#N/A</v>
      </c>
      <c r="AF108" s="17" t="e">
        <f t="shared" ca="1" si="16"/>
        <v>#N/A</v>
      </c>
      <c r="AG108" s="17" t="e">
        <f t="shared" ca="1" si="16"/>
        <v>#N/A</v>
      </c>
      <c r="AH108" s="17" t="e">
        <f t="shared" ca="1" si="16"/>
        <v>#N/A</v>
      </c>
      <c r="AI108" s="17" t="e">
        <f t="shared" ca="1" si="16"/>
        <v>#N/A</v>
      </c>
      <c r="AJ108" s="17" t="e">
        <f t="shared" ca="1" si="16"/>
        <v>#N/A</v>
      </c>
      <c r="AK108" s="17" t="e">
        <f t="shared" ca="1" si="16"/>
        <v>#N/A</v>
      </c>
      <c r="AL108" s="17" t="e">
        <f t="shared" ca="1" si="16"/>
        <v>#N/A</v>
      </c>
      <c r="AM108" s="17" t="e">
        <f t="shared" ca="1" si="16"/>
        <v>#N/A</v>
      </c>
      <c r="AN108" s="17" t="e">
        <f t="shared" ca="1" si="16"/>
        <v>#N/A</v>
      </c>
      <c r="AO108" s="17" t="e">
        <f t="shared" ca="1" si="16"/>
        <v>#N/A</v>
      </c>
      <c r="AP108" s="17" t="e">
        <f t="shared" ca="1" si="16"/>
        <v>#N/A</v>
      </c>
      <c r="AQ108" s="17" t="e">
        <f t="shared" ca="1" si="16"/>
        <v>#N/A</v>
      </c>
      <c r="AR108" s="17" t="e">
        <f t="shared" ca="1" si="16"/>
        <v>#N/A</v>
      </c>
      <c r="AS108" s="17" t="e">
        <f t="shared" ca="1" si="16"/>
        <v>#N/A</v>
      </c>
      <c r="AT108" s="17" t="e">
        <f t="shared" ca="1" si="16"/>
        <v>#N/A</v>
      </c>
      <c r="AU108" s="17" t="e">
        <f t="shared" ca="1" si="16"/>
        <v>#N/A</v>
      </c>
      <c r="AV108" s="17" t="e">
        <f t="shared" ca="1" si="16"/>
        <v>#N/A</v>
      </c>
      <c r="AW108" s="17" t="e">
        <f t="shared" ca="1" si="16"/>
        <v>#N/A</v>
      </c>
      <c r="AX108" s="17" t="e">
        <f t="shared" ca="1" si="16"/>
        <v>#N/A</v>
      </c>
      <c r="AY108" s="17" t="e">
        <f t="shared" ca="1" si="16"/>
        <v>#N/A</v>
      </c>
      <c r="AZ108" s="17" t="e">
        <f t="shared" ca="1" si="16"/>
        <v>#N/A</v>
      </c>
      <c r="BA108" s="17" t="e">
        <f t="shared" ca="1" si="16"/>
        <v>#N/A</v>
      </c>
      <c r="BB108" s="17" t="e">
        <f t="shared" ca="1" si="16"/>
        <v>#N/A</v>
      </c>
      <c r="BC108" s="17" t="e">
        <f t="shared" ca="1" si="16"/>
        <v>#N/A</v>
      </c>
      <c r="BD108" s="17" t="e">
        <f t="shared" ca="1" si="16"/>
        <v>#N/A</v>
      </c>
      <c r="BE108" s="17" t="e">
        <f t="shared" ca="1" si="16"/>
        <v>#N/A</v>
      </c>
      <c r="BF108" s="17" t="e">
        <f t="shared" ca="1" si="16"/>
        <v>#N/A</v>
      </c>
      <c r="BG108" s="17" t="e">
        <f t="shared" ca="1" si="16"/>
        <v>#N/A</v>
      </c>
      <c r="BH108" s="17" t="e">
        <f t="shared" ca="1" si="16"/>
        <v>#N/A</v>
      </c>
      <c r="BI108" s="17" t="e">
        <f t="shared" ca="1" si="16"/>
        <v>#N/A</v>
      </c>
      <c r="BJ108" s="17" t="e">
        <f t="shared" ca="1" si="16"/>
        <v>#N/A</v>
      </c>
      <c r="BK108" s="17" t="e">
        <f t="shared" ca="1" si="16"/>
        <v>#N/A</v>
      </c>
      <c r="BL108" s="17" t="e">
        <f t="shared" ca="1" si="16"/>
        <v>#N/A</v>
      </c>
      <c r="BM108" s="17" t="e">
        <f t="shared" ca="1" si="16"/>
        <v>#N/A</v>
      </c>
      <c r="BN108" s="17" t="e">
        <f t="shared" ca="1" si="16"/>
        <v>#N/A</v>
      </c>
      <c r="BO108" s="17" t="e">
        <f t="shared" ca="1" si="16"/>
        <v>#N/A</v>
      </c>
      <c r="BP108" s="17" t="e">
        <f t="shared" ca="1" si="16"/>
        <v>#N/A</v>
      </c>
      <c r="BQ108" s="17" t="e">
        <f t="shared" ref="BQ108:BV108" ca="1" si="17">BQ45/$D108*100000</f>
        <v>#N/A</v>
      </c>
      <c r="BR108" s="17" t="e">
        <f t="shared" ca="1" si="17"/>
        <v>#N/A</v>
      </c>
      <c r="BS108" s="17" t="e">
        <f t="shared" ca="1" si="17"/>
        <v>#N/A</v>
      </c>
      <c r="BT108" s="17" t="e">
        <f t="shared" ca="1" si="17"/>
        <v>#N/A</v>
      </c>
      <c r="BU108" s="17" t="e">
        <f t="shared" ca="1" si="17"/>
        <v>#N/A</v>
      </c>
      <c r="BV108" s="17" t="e">
        <f t="shared" ca="1" si="17"/>
        <v>#N/A</v>
      </c>
    </row>
    <row r="109" spans="2:74" x14ac:dyDescent="0.25">
      <c r="B109">
        <f t="shared" si="11"/>
        <v>4</v>
      </c>
      <c r="C109" t="str">
        <f t="shared" ca="1" si="11"/>
        <v>China</v>
      </c>
      <c r="D109" s="1">
        <f t="shared" ca="1" si="11"/>
        <v>1439323776</v>
      </c>
      <c r="E109" s="17">
        <f t="shared" ref="E109:BP109" ca="1" si="18">E46/$D109*100000</f>
        <v>3.8073434840556683E-2</v>
      </c>
      <c r="F109" s="17">
        <f t="shared" ca="1" si="18"/>
        <v>4.4673756573864867E-2</v>
      </c>
      <c r="G109" s="17">
        <f t="shared" ca="1" si="18"/>
        <v>6.3918905206773999E-2</v>
      </c>
      <c r="H109" s="17">
        <f t="shared" ca="1" si="18"/>
        <v>9.7684761652961125E-2</v>
      </c>
      <c r="I109" s="17">
        <f t="shared" ca="1" si="18"/>
        <v>0.14416492206962611</v>
      </c>
      <c r="J109" s="17">
        <f t="shared" ca="1" si="18"/>
        <v>0.19988553291292255</v>
      </c>
      <c r="K109" s="17">
        <f t="shared" ca="1" si="18"/>
        <v>0.38274918346099773</v>
      </c>
      <c r="L109" s="17">
        <f t="shared" ca="1" si="18"/>
        <v>0.42290693042786226</v>
      </c>
      <c r="M109" s="17">
        <f t="shared" ca="1" si="18"/>
        <v>0.56561283400907292</v>
      </c>
      <c r="N109" s="17">
        <f t="shared" ca="1" si="18"/>
        <v>0.68101424873565064</v>
      </c>
      <c r="O109" s="17">
        <f t="shared" ca="1" si="18"/>
        <v>0.82615184979755385</v>
      </c>
      <c r="P109" s="17">
        <f t="shared" ca="1" si="18"/>
        <v>1.1554036886833168</v>
      </c>
      <c r="Q109" s="17">
        <f t="shared" ca="1" si="18"/>
        <v>1.3698099294095174</v>
      </c>
      <c r="R109" s="17">
        <f t="shared" ca="1" si="18"/>
        <v>1.647092919279338</v>
      </c>
      <c r="S109" s="17">
        <f t="shared" ca="1" si="18"/>
        <v>1.9064508248629113</v>
      </c>
      <c r="T109" s="17">
        <f t="shared" ca="1" si="18"/>
        <v>2.1250951669126041</v>
      </c>
      <c r="U109" s="17">
        <f t="shared" ca="1" si="18"/>
        <v>2.3698628876120225</v>
      </c>
      <c r="V109" s="17">
        <f t="shared" ca="1" si="18"/>
        <v>2.5577288872632367</v>
      </c>
      <c r="W109" s="17">
        <f t="shared" ca="1" si="18"/>
        <v>2.7672022559571752</v>
      </c>
      <c r="X109" s="17">
        <f t="shared" ca="1" si="18"/>
        <v>2.9426318599214194</v>
      </c>
      <c r="Y109" s="17">
        <f t="shared" ca="1" si="18"/>
        <v>3.0838092679433373</v>
      </c>
      <c r="Z109" s="17">
        <f t="shared" ca="1" si="18"/>
        <v>3.1097242153804316</v>
      </c>
      <c r="AA109" s="17">
        <f t="shared" ca="1" si="18"/>
        <v>4.1613291601736178</v>
      </c>
      <c r="AB109" s="17">
        <f t="shared" ca="1" si="18"/>
        <v>4.6103594692512049</v>
      </c>
      <c r="AC109" s="17">
        <f t="shared" ca="1" si="18"/>
        <v>4.7531348499032928</v>
      </c>
      <c r="AD109" s="17">
        <f t="shared" ca="1" si="18"/>
        <v>4.8990366987448413</v>
      </c>
      <c r="AE109" s="17">
        <f t="shared" ca="1" si="18"/>
        <v>5.0325021518994211</v>
      </c>
      <c r="AF109" s="17">
        <f t="shared" ca="1" si="18"/>
        <v>5.1559629068477228</v>
      </c>
      <c r="AG109" s="17">
        <f t="shared" ca="1" si="18"/>
        <v>5.1843095517655087</v>
      </c>
      <c r="AH109" s="17">
        <f t="shared" ca="1" si="18"/>
        <v>5.2161300502271422</v>
      </c>
      <c r="AI109" s="17">
        <f t="shared" ca="1" si="18"/>
        <v>5.2489927047519291</v>
      </c>
      <c r="AJ109" s="17">
        <f t="shared" ca="1" si="18"/>
        <v>5.3498039345943527</v>
      </c>
      <c r="AK109" s="17">
        <f t="shared" ca="1" si="18"/>
        <v>5.3512629530827676</v>
      </c>
      <c r="AL109" s="17">
        <f t="shared" ca="1" si="18"/>
        <v>5.3664784316048149</v>
      </c>
      <c r="AM109" s="17">
        <f t="shared" ca="1" si="18"/>
        <v>5.4021201689646796</v>
      </c>
      <c r="AN109" s="17">
        <f t="shared" ca="1" si="18"/>
        <v>5.4307447221659739</v>
      </c>
      <c r="AO109" s="17">
        <f t="shared" ca="1" si="18"/>
        <v>5.46089777092656</v>
      </c>
      <c r="AP109" s="17">
        <f t="shared" ca="1" si="18"/>
        <v>5.483686250174193</v>
      </c>
      <c r="AQ109" s="17">
        <f t="shared" ca="1" si="18"/>
        <v>5.5134224365095186</v>
      </c>
      <c r="AR109" s="17">
        <f t="shared" ca="1" si="18"/>
        <v>5.5534412293346289</v>
      </c>
      <c r="AS109" s="17">
        <f t="shared" ca="1" si="18"/>
        <v>5.5676145517935218</v>
      </c>
      <c r="AT109" s="17">
        <f t="shared" ca="1" si="18"/>
        <v>5.5762991856531379</v>
      </c>
      <c r="AU109" s="17">
        <f t="shared" ca="1" si="18"/>
        <v>5.5849838195127548</v>
      </c>
      <c r="AV109" s="17">
        <f t="shared" ca="1" si="18"/>
        <v>5.5954748572151711</v>
      </c>
      <c r="AW109" s="17">
        <f t="shared" ca="1" si="18"/>
        <v>5.6061048490593404</v>
      </c>
      <c r="AX109" s="17">
        <f t="shared" ca="1" si="18"/>
        <v>5.611663014729495</v>
      </c>
      <c r="AY109" s="17">
        <f t="shared" ca="1" si="18"/>
        <v>5.6153452994859716</v>
      </c>
      <c r="AZ109" s="17">
        <f t="shared" ca="1" si="18"/>
        <v>5.6179159511084187</v>
      </c>
      <c r="BA109" s="17">
        <f t="shared" ca="1" si="18"/>
        <v>5.6197918320220959</v>
      </c>
      <c r="BB109" s="17">
        <f t="shared" ca="1" si="18"/>
        <v>5.6221540524319105</v>
      </c>
      <c r="BC109" s="17">
        <f t="shared" ca="1" si="18"/>
        <v>5.6229183002115573</v>
      </c>
      <c r="BD109" s="17">
        <f t="shared" ca="1" si="18"/>
        <v>5.623821502132957</v>
      </c>
      <c r="BE109" s="17">
        <f t="shared" ca="1" si="18"/>
        <v>5.6260447684010186</v>
      </c>
      <c r="BF109" s="17">
        <f t="shared" ca="1" si="18"/>
        <v>5.6278511722438189</v>
      </c>
      <c r="BG109" s="17">
        <f t="shared" ca="1" si="18"/>
        <v>5.6299354843701268</v>
      </c>
      <c r="BH109" s="17">
        <f t="shared" ca="1" si="18"/>
        <v>5.6316724111420502</v>
      </c>
      <c r="BI109" s="17">
        <f t="shared" ca="1" si="18"/>
        <v>5.6347294022606356</v>
      </c>
      <c r="BJ109" s="17">
        <f t="shared" ca="1" si="18"/>
        <v>5.6384811640879891</v>
      </c>
      <c r="BK109" s="17">
        <f t="shared" ca="1" si="18"/>
        <v>5.6450120087504203</v>
      </c>
      <c r="BL109" s="17">
        <f t="shared" ca="1" si="18"/>
        <v>5.6488332476486516</v>
      </c>
      <c r="BM109" s="17">
        <f t="shared" ca="1" si="18"/>
        <v>5.6578652668626521</v>
      </c>
      <c r="BN109" s="17">
        <f t="shared" ca="1" si="18"/>
        <v>5.6622423223278986</v>
      </c>
      <c r="BO109" s="17">
        <f t="shared" ca="1" si="18"/>
        <v>5.6687036899194529</v>
      </c>
      <c r="BP109" s="17">
        <f t="shared" ca="1" si="18"/>
        <v>5.6735670848808377</v>
      </c>
      <c r="BQ109" s="17">
        <f t="shared" ref="BQ109:BV109" ca="1" si="19">BQ46/$D109*100000</f>
        <v>5.6819738104569462</v>
      </c>
      <c r="BR109" s="17">
        <f t="shared" ca="1" si="19"/>
        <v>5.6899636736077932</v>
      </c>
      <c r="BS109" s="17">
        <f t="shared" ca="1" si="19"/>
        <v>5.6970503348372397</v>
      </c>
      <c r="BT109" s="17">
        <f t="shared" ca="1" si="19"/>
        <v>5.7055960145551019</v>
      </c>
      <c r="BU109" s="17">
        <f t="shared" ca="1" si="19"/>
        <v>5.7108762719417481</v>
      </c>
      <c r="BV109" s="17" t="e">
        <f t="shared" ca="1" si="19"/>
        <v>#N/A</v>
      </c>
    </row>
    <row r="110" spans="2:74" x14ac:dyDescent="0.25">
      <c r="B110">
        <f t="shared" si="11"/>
        <v>5</v>
      </c>
      <c r="C110" t="str">
        <f t="shared" ca="1" si="11"/>
        <v>France</v>
      </c>
      <c r="D110" s="1">
        <f t="shared" ca="1" si="11"/>
        <v>65273511</v>
      </c>
      <c r="E110" s="17">
        <f t="shared" ref="E110:BP110" ca="1" si="20">E47/$D110*100000</f>
        <v>8.7324856786085855E-2</v>
      </c>
      <c r="F110" s="17">
        <f t="shared" ca="1" si="20"/>
        <v>0.15320150313348396</v>
      </c>
      <c r="G110" s="17">
        <f t="shared" ca="1" si="20"/>
        <v>0.19916195407352913</v>
      </c>
      <c r="H110" s="17">
        <f t="shared" ca="1" si="20"/>
        <v>0.29261487098495437</v>
      </c>
      <c r="I110" s="17">
        <f t="shared" ca="1" si="20"/>
        <v>0.31253106639230732</v>
      </c>
      <c r="J110" s="17">
        <f t="shared" ca="1" si="20"/>
        <v>0.43662428393042929</v>
      </c>
      <c r="K110" s="17">
        <f t="shared" ca="1" si="20"/>
        <v>0.57756966681323452</v>
      </c>
      <c r="L110" s="17">
        <f t="shared" ca="1" si="20"/>
        <v>1.0004058154616502</v>
      </c>
      <c r="M110" s="17">
        <f t="shared" ca="1" si="20"/>
        <v>1.4538822647367629</v>
      </c>
      <c r="N110" s="17">
        <f t="shared" ca="1" si="20"/>
        <v>1.7250489252830294</v>
      </c>
      <c r="O110" s="17">
        <f t="shared" ca="1" si="20"/>
        <v>1.8522061728838211</v>
      </c>
      <c r="P110" s="17">
        <f t="shared" ca="1" si="20"/>
        <v>2.7331148159013541</v>
      </c>
      <c r="Q110" s="17">
        <f t="shared" ca="1" si="20"/>
        <v>3.4945262864747693</v>
      </c>
      <c r="R110" s="17">
        <f t="shared" ca="1" si="20"/>
        <v>3.4945262864747693</v>
      </c>
      <c r="S110" s="17">
        <f t="shared" ca="1" si="20"/>
        <v>5.6087070297168475</v>
      </c>
      <c r="T110" s="17">
        <f t="shared" ca="1" si="20"/>
        <v>6.8465751750353983</v>
      </c>
      <c r="U110" s="17">
        <f t="shared" ca="1" si="20"/>
        <v>6.8925356259754436</v>
      </c>
      <c r="V110" s="17">
        <f t="shared" ca="1" si="20"/>
        <v>10.16185570284399</v>
      </c>
      <c r="W110" s="17">
        <f t="shared" ca="1" si="20"/>
        <v>11.722979019774193</v>
      </c>
      <c r="X110" s="17">
        <f t="shared" ca="1" si="20"/>
        <v>13.854011928360956</v>
      </c>
      <c r="Y110" s="17">
        <f t="shared" ca="1" si="20"/>
        <v>16.654535405641042</v>
      </c>
      <c r="Z110" s="17">
        <f t="shared" ca="1" si="20"/>
        <v>19.321773575194999</v>
      </c>
      <c r="AA110" s="17">
        <f t="shared" ca="1" si="20"/>
        <v>21.880238677524179</v>
      </c>
      <c r="AB110" s="17">
        <f t="shared" ca="1" si="20"/>
        <v>24.539816771921462</v>
      </c>
      <c r="AC110" s="17">
        <f t="shared" ca="1" si="20"/>
        <v>30.419690462184576</v>
      </c>
      <c r="AD110" s="17">
        <f t="shared" ca="1" si="20"/>
        <v>34.170063258892263</v>
      </c>
      <c r="AE110" s="17">
        <f t="shared" ca="1" si="20"/>
        <v>38.657335285672012</v>
      </c>
      <c r="AF110" s="17">
        <f t="shared" ca="1" si="20"/>
        <v>44.665898238567252</v>
      </c>
      <c r="AG110" s="17">
        <f t="shared" ca="1" si="20"/>
        <v>50.501343492921656</v>
      </c>
      <c r="AH110" s="17">
        <f t="shared" ca="1" si="20"/>
        <v>57.565464802406602</v>
      </c>
      <c r="AI110" s="17">
        <f t="shared" ca="1" si="20"/>
        <v>61.547171868845851</v>
      </c>
      <c r="AJ110" s="17">
        <f t="shared" ca="1" si="20"/>
        <v>68.251269645967113</v>
      </c>
      <c r="AK110" s="17" t="e">
        <f t="shared" ca="1" si="20"/>
        <v>#N/A</v>
      </c>
      <c r="AL110" s="17" t="e">
        <f t="shared" ca="1" si="20"/>
        <v>#N/A</v>
      </c>
      <c r="AM110" s="17" t="e">
        <f t="shared" ca="1" si="20"/>
        <v>#N/A</v>
      </c>
      <c r="AN110" s="17" t="e">
        <f t="shared" ca="1" si="20"/>
        <v>#N/A</v>
      </c>
      <c r="AO110" s="17" t="e">
        <f t="shared" ca="1" si="20"/>
        <v>#N/A</v>
      </c>
      <c r="AP110" s="17" t="e">
        <f t="shared" ca="1" si="20"/>
        <v>#N/A</v>
      </c>
      <c r="AQ110" s="17" t="e">
        <f t="shared" ca="1" si="20"/>
        <v>#N/A</v>
      </c>
      <c r="AR110" s="17" t="e">
        <f t="shared" ca="1" si="20"/>
        <v>#N/A</v>
      </c>
      <c r="AS110" s="17" t="e">
        <f t="shared" ca="1" si="20"/>
        <v>#N/A</v>
      </c>
      <c r="AT110" s="17" t="e">
        <f t="shared" ca="1" si="20"/>
        <v>#N/A</v>
      </c>
      <c r="AU110" s="17" t="e">
        <f t="shared" ca="1" si="20"/>
        <v>#N/A</v>
      </c>
      <c r="AV110" s="17" t="e">
        <f t="shared" ca="1" si="20"/>
        <v>#N/A</v>
      </c>
      <c r="AW110" s="17" t="e">
        <f t="shared" ca="1" si="20"/>
        <v>#N/A</v>
      </c>
      <c r="AX110" s="17" t="e">
        <f t="shared" ca="1" si="20"/>
        <v>#N/A</v>
      </c>
      <c r="AY110" s="17" t="e">
        <f t="shared" ca="1" si="20"/>
        <v>#N/A</v>
      </c>
      <c r="AZ110" s="17" t="e">
        <f t="shared" ca="1" si="20"/>
        <v>#N/A</v>
      </c>
      <c r="BA110" s="17" t="e">
        <f t="shared" ca="1" si="20"/>
        <v>#N/A</v>
      </c>
      <c r="BB110" s="17" t="e">
        <f t="shared" ca="1" si="20"/>
        <v>#N/A</v>
      </c>
      <c r="BC110" s="17" t="e">
        <f t="shared" ca="1" si="20"/>
        <v>#N/A</v>
      </c>
      <c r="BD110" s="17" t="e">
        <f t="shared" ca="1" si="20"/>
        <v>#N/A</v>
      </c>
      <c r="BE110" s="17" t="e">
        <f t="shared" ca="1" si="20"/>
        <v>#N/A</v>
      </c>
      <c r="BF110" s="17" t="e">
        <f t="shared" ca="1" si="20"/>
        <v>#N/A</v>
      </c>
      <c r="BG110" s="17" t="e">
        <f t="shared" ca="1" si="20"/>
        <v>#N/A</v>
      </c>
      <c r="BH110" s="17" t="e">
        <f t="shared" ca="1" si="20"/>
        <v>#N/A</v>
      </c>
      <c r="BI110" s="17" t="e">
        <f t="shared" ca="1" si="20"/>
        <v>#N/A</v>
      </c>
      <c r="BJ110" s="17" t="e">
        <f t="shared" ca="1" si="20"/>
        <v>#N/A</v>
      </c>
      <c r="BK110" s="17" t="e">
        <f t="shared" ca="1" si="20"/>
        <v>#N/A</v>
      </c>
      <c r="BL110" s="17" t="e">
        <f t="shared" ca="1" si="20"/>
        <v>#N/A</v>
      </c>
      <c r="BM110" s="17" t="e">
        <f t="shared" ca="1" si="20"/>
        <v>#N/A</v>
      </c>
      <c r="BN110" s="17" t="e">
        <f t="shared" ca="1" si="20"/>
        <v>#N/A</v>
      </c>
      <c r="BO110" s="17" t="e">
        <f t="shared" ca="1" si="20"/>
        <v>#N/A</v>
      </c>
      <c r="BP110" s="17" t="e">
        <f t="shared" ca="1" si="20"/>
        <v>#N/A</v>
      </c>
      <c r="BQ110" s="17" t="e">
        <f t="shared" ref="BQ110:BV110" ca="1" si="21">BQ47/$D110*100000</f>
        <v>#N/A</v>
      </c>
      <c r="BR110" s="17" t="e">
        <f t="shared" ca="1" si="21"/>
        <v>#N/A</v>
      </c>
      <c r="BS110" s="17" t="e">
        <f t="shared" ca="1" si="21"/>
        <v>#N/A</v>
      </c>
      <c r="BT110" s="17" t="e">
        <f t="shared" ca="1" si="21"/>
        <v>#N/A</v>
      </c>
      <c r="BU110" s="17" t="e">
        <f t="shared" ca="1" si="21"/>
        <v>#N/A</v>
      </c>
      <c r="BV110" s="17" t="e">
        <f t="shared" ca="1" si="21"/>
        <v>#N/A</v>
      </c>
    </row>
    <row r="111" spans="2:74" x14ac:dyDescent="0.25">
      <c r="B111">
        <f t="shared" si="11"/>
        <v>6</v>
      </c>
      <c r="C111" t="str">
        <f t="shared" ca="1" si="11"/>
        <v>Germany</v>
      </c>
      <c r="D111" s="1">
        <f t="shared" ca="1" si="11"/>
        <v>83783942</v>
      </c>
      <c r="E111" s="17">
        <f t="shared" ref="E111:BP111" ca="1" si="22">E48/$D111*100000</f>
        <v>9.4290144524352887E-2</v>
      </c>
      <c r="F111" s="17">
        <f t="shared" ca="1" si="22"/>
        <v>0.1551609973185554</v>
      </c>
      <c r="G111" s="17">
        <f t="shared" ca="1" si="22"/>
        <v>0.18977383518192542</v>
      </c>
      <c r="H111" s="17">
        <f t="shared" ca="1" si="22"/>
        <v>0.23393504211105273</v>
      </c>
      <c r="I111" s="17">
        <f t="shared" ca="1" si="22"/>
        <v>0.31270908690355009</v>
      </c>
      <c r="J111" s="17">
        <f t="shared" ca="1" si="22"/>
        <v>0.57528923621187456</v>
      </c>
      <c r="K111" s="17">
        <f t="shared" ca="1" si="22"/>
        <v>0.79967590925717014</v>
      </c>
      <c r="L111" s="17">
        <f t="shared" ca="1" si="22"/>
        <v>0.95364336044250586</v>
      </c>
      <c r="M111" s="17">
        <f t="shared" ca="1" si="22"/>
        <v>1.2412879785484432</v>
      </c>
      <c r="N111" s="17">
        <f t="shared" ca="1" si="22"/>
        <v>1.4036102526663163</v>
      </c>
      <c r="O111" s="17">
        <f t="shared" ca="1" si="22"/>
        <v>1.73899671610104</v>
      </c>
      <c r="P111" s="17">
        <f t="shared" ca="1" si="22"/>
        <v>2.2772860221831053</v>
      </c>
      <c r="Q111" s="17">
        <f t="shared" ca="1" si="22"/>
        <v>2.4801888648304469</v>
      </c>
      <c r="R111" s="17">
        <f t="shared" ca="1" si="22"/>
        <v>4.3862820395822393</v>
      </c>
      <c r="S111" s="17">
        <f t="shared" ca="1" si="22"/>
        <v>5.472409020812127</v>
      </c>
      <c r="T111" s="17">
        <f t="shared" ca="1" si="22"/>
        <v>6.9165998420079111</v>
      </c>
      <c r="U111" s="17">
        <f t="shared" ca="1" si="22"/>
        <v>8.6794674807733436</v>
      </c>
      <c r="V111" s="17">
        <f t="shared" ca="1" si="22"/>
        <v>11.048656555214363</v>
      </c>
      <c r="W111" s="17">
        <f t="shared" ca="1" si="22"/>
        <v>14.712843184198709</v>
      </c>
      <c r="X111" s="17">
        <f t="shared" ca="1" si="22"/>
        <v>18.285126760925142</v>
      </c>
      <c r="Y111" s="17">
        <f t="shared" ca="1" si="22"/>
        <v>23.689503652143749</v>
      </c>
      <c r="Z111" s="17">
        <f t="shared" ca="1" si="22"/>
        <v>26.512240257208234</v>
      </c>
      <c r="AA111" s="17">
        <f t="shared" ca="1" si="22"/>
        <v>29.687072971572526</v>
      </c>
      <c r="AB111" s="17">
        <f t="shared" ca="1" si="22"/>
        <v>34.679676446830349</v>
      </c>
      <c r="AC111" s="17">
        <f t="shared" ca="1" si="22"/>
        <v>39.370312750383604</v>
      </c>
      <c r="AD111" s="17">
        <f t="shared" ca="1" si="22"/>
        <v>44.546722330157252</v>
      </c>
      <c r="AE111" s="17">
        <f t="shared" ca="1" si="22"/>
        <v>52.442030001405286</v>
      </c>
      <c r="AF111" s="17">
        <f t="shared" ca="1" si="22"/>
        <v>60.716885343017161</v>
      </c>
      <c r="AG111" s="17">
        <f t="shared" ca="1" si="22"/>
        <v>68.861644156108099</v>
      </c>
      <c r="AH111" s="17">
        <f t="shared" ca="1" si="22"/>
        <v>74.113247142274588</v>
      </c>
      <c r="AI111" s="17">
        <f t="shared" ca="1" si="22"/>
        <v>79.830333120396745</v>
      </c>
      <c r="AJ111" s="17" t="e">
        <f t="shared" ca="1" si="22"/>
        <v>#N/A</v>
      </c>
      <c r="AK111" s="17" t="e">
        <f t="shared" ca="1" si="22"/>
        <v>#N/A</v>
      </c>
      <c r="AL111" s="17" t="e">
        <f t="shared" ca="1" si="22"/>
        <v>#N/A</v>
      </c>
      <c r="AM111" s="17" t="e">
        <f t="shared" ca="1" si="22"/>
        <v>#N/A</v>
      </c>
      <c r="AN111" s="17" t="e">
        <f t="shared" ca="1" si="22"/>
        <v>#N/A</v>
      </c>
      <c r="AO111" s="17" t="e">
        <f t="shared" ca="1" si="22"/>
        <v>#N/A</v>
      </c>
      <c r="AP111" s="17" t="e">
        <f t="shared" ca="1" si="22"/>
        <v>#N/A</v>
      </c>
      <c r="AQ111" s="17" t="e">
        <f t="shared" ca="1" si="22"/>
        <v>#N/A</v>
      </c>
      <c r="AR111" s="17" t="e">
        <f t="shared" ca="1" si="22"/>
        <v>#N/A</v>
      </c>
      <c r="AS111" s="17" t="e">
        <f t="shared" ca="1" si="22"/>
        <v>#N/A</v>
      </c>
      <c r="AT111" s="17" t="e">
        <f t="shared" ca="1" si="22"/>
        <v>#N/A</v>
      </c>
      <c r="AU111" s="17" t="e">
        <f t="shared" ca="1" si="22"/>
        <v>#N/A</v>
      </c>
      <c r="AV111" s="17" t="e">
        <f t="shared" ca="1" si="22"/>
        <v>#N/A</v>
      </c>
      <c r="AW111" s="17" t="e">
        <f t="shared" ca="1" si="22"/>
        <v>#N/A</v>
      </c>
      <c r="AX111" s="17" t="e">
        <f t="shared" ca="1" si="22"/>
        <v>#N/A</v>
      </c>
      <c r="AY111" s="17" t="e">
        <f t="shared" ca="1" si="22"/>
        <v>#N/A</v>
      </c>
      <c r="AZ111" s="17" t="e">
        <f t="shared" ca="1" si="22"/>
        <v>#N/A</v>
      </c>
      <c r="BA111" s="17" t="e">
        <f t="shared" ca="1" si="22"/>
        <v>#N/A</v>
      </c>
      <c r="BB111" s="17" t="e">
        <f t="shared" ca="1" si="22"/>
        <v>#N/A</v>
      </c>
      <c r="BC111" s="17" t="e">
        <f t="shared" ca="1" si="22"/>
        <v>#N/A</v>
      </c>
      <c r="BD111" s="17" t="e">
        <f t="shared" ca="1" si="22"/>
        <v>#N/A</v>
      </c>
      <c r="BE111" s="17" t="e">
        <f t="shared" ca="1" si="22"/>
        <v>#N/A</v>
      </c>
      <c r="BF111" s="17" t="e">
        <f t="shared" ca="1" si="22"/>
        <v>#N/A</v>
      </c>
      <c r="BG111" s="17" t="e">
        <f t="shared" ca="1" si="22"/>
        <v>#N/A</v>
      </c>
      <c r="BH111" s="17" t="e">
        <f t="shared" ca="1" si="22"/>
        <v>#N/A</v>
      </c>
      <c r="BI111" s="17" t="e">
        <f t="shared" ca="1" si="22"/>
        <v>#N/A</v>
      </c>
      <c r="BJ111" s="17" t="e">
        <f t="shared" ca="1" si="22"/>
        <v>#N/A</v>
      </c>
      <c r="BK111" s="17" t="e">
        <f t="shared" ca="1" si="22"/>
        <v>#N/A</v>
      </c>
      <c r="BL111" s="17" t="e">
        <f t="shared" ca="1" si="22"/>
        <v>#N/A</v>
      </c>
      <c r="BM111" s="17" t="e">
        <f t="shared" ca="1" si="22"/>
        <v>#N/A</v>
      </c>
      <c r="BN111" s="17" t="e">
        <f t="shared" ca="1" si="22"/>
        <v>#N/A</v>
      </c>
      <c r="BO111" s="17" t="e">
        <f t="shared" ca="1" si="22"/>
        <v>#N/A</v>
      </c>
      <c r="BP111" s="17" t="e">
        <f t="shared" ca="1" si="22"/>
        <v>#N/A</v>
      </c>
      <c r="BQ111" s="17" t="e">
        <f t="shared" ref="BQ111:BV111" ca="1" si="23">BQ48/$D111*100000</f>
        <v>#N/A</v>
      </c>
      <c r="BR111" s="17" t="e">
        <f t="shared" ca="1" si="23"/>
        <v>#N/A</v>
      </c>
      <c r="BS111" s="17" t="e">
        <f t="shared" ca="1" si="23"/>
        <v>#N/A</v>
      </c>
      <c r="BT111" s="17" t="e">
        <f t="shared" ca="1" si="23"/>
        <v>#N/A</v>
      </c>
      <c r="BU111" s="17" t="e">
        <f t="shared" ca="1" si="23"/>
        <v>#N/A</v>
      </c>
      <c r="BV111" s="17" t="e">
        <f t="shared" ca="1" si="23"/>
        <v>#N/A</v>
      </c>
    </row>
    <row r="112" spans="2:74" x14ac:dyDescent="0.25">
      <c r="B112">
        <f t="shared" si="11"/>
        <v>7</v>
      </c>
      <c r="C112" t="str">
        <f t="shared" ca="1" si="11"/>
        <v>India</v>
      </c>
      <c r="D112" s="1">
        <f t="shared" ca="1" si="11"/>
        <v>1380004385</v>
      </c>
      <c r="E112" s="17">
        <f t="shared" ref="E112:BP112" ca="1" si="24">E49/$D112*100000</f>
        <v>4.0579581201837991E-3</v>
      </c>
      <c r="F112" s="17">
        <f t="shared" ca="1" si="24"/>
        <v>4.4927393473463487E-3</v>
      </c>
      <c r="G112" s="17">
        <f t="shared" ca="1" si="24"/>
        <v>5.2898382638110241E-3</v>
      </c>
      <c r="H112" s="17">
        <f t="shared" ca="1" si="24"/>
        <v>5.9420101045548493E-3</v>
      </c>
      <c r="I112" s="17">
        <f t="shared" ca="1" si="24"/>
        <v>7.3912808617633491E-3</v>
      </c>
      <c r="J112" s="17">
        <f t="shared" ca="1" si="24"/>
        <v>8.1883797782280245E-3</v>
      </c>
      <c r="K112" s="17">
        <f t="shared" ca="1" si="24"/>
        <v>8.6231610053905741E-3</v>
      </c>
      <c r="L112" s="17">
        <f t="shared" ca="1" si="24"/>
        <v>1.028982237618035E-2</v>
      </c>
      <c r="M112" s="17">
        <f t="shared" ca="1" si="24"/>
        <v>1.1304311906226298E-2</v>
      </c>
      <c r="N112" s="17">
        <f t="shared" ca="1" si="24"/>
        <v>1.4057926344922448E-2</v>
      </c>
      <c r="O112" s="17">
        <f t="shared" ca="1" si="24"/>
        <v>1.7681103237943696E-2</v>
      </c>
      <c r="P112" s="17">
        <f t="shared" ca="1" si="24"/>
        <v>2.3912967493940247E-2</v>
      </c>
      <c r="Q112" s="17">
        <f t="shared" ca="1" si="24"/>
        <v>2.8695560992728294E-2</v>
      </c>
      <c r="R112" s="17">
        <f t="shared" ca="1" si="24"/>
        <v>3.6159305392352063E-2</v>
      </c>
      <c r="S112" s="17">
        <f t="shared" ca="1" si="24"/>
        <v>3.8840456293187796E-2</v>
      </c>
      <c r="T112" s="17">
        <f t="shared" ca="1" si="24"/>
        <v>4.7608544374299219E-2</v>
      </c>
      <c r="U112" s="17">
        <f t="shared" ca="1" si="24"/>
        <v>5.2680992024528972E-2</v>
      </c>
      <c r="V112" s="17">
        <f t="shared" ca="1" si="24"/>
        <v>6.4275158082196956E-2</v>
      </c>
      <c r="W112" s="17">
        <f t="shared" ca="1" si="24"/>
        <v>7.1521511868239462E-2</v>
      </c>
      <c r="X112" s="17">
        <f t="shared" ca="1" si="24"/>
        <v>7.4202662769075181E-2</v>
      </c>
      <c r="Y112" s="17">
        <f t="shared" ca="1" si="24"/>
        <v>9.0651885863391665E-2</v>
      </c>
      <c r="Z112" s="17" t="e">
        <f t="shared" ca="1" si="24"/>
        <v>#N/A</v>
      </c>
      <c r="AA112" s="17" t="e">
        <f t="shared" ca="1" si="24"/>
        <v>#N/A</v>
      </c>
      <c r="AB112" s="17" t="e">
        <f t="shared" ca="1" si="24"/>
        <v>#N/A</v>
      </c>
      <c r="AC112" s="17" t="e">
        <f t="shared" ca="1" si="24"/>
        <v>#N/A</v>
      </c>
      <c r="AD112" s="17" t="e">
        <f t="shared" ca="1" si="24"/>
        <v>#N/A</v>
      </c>
      <c r="AE112" s="17" t="e">
        <f t="shared" ca="1" si="24"/>
        <v>#N/A</v>
      </c>
      <c r="AF112" s="17" t="e">
        <f t="shared" ca="1" si="24"/>
        <v>#N/A</v>
      </c>
      <c r="AG112" s="17" t="e">
        <f t="shared" ca="1" si="24"/>
        <v>#N/A</v>
      </c>
      <c r="AH112" s="17" t="e">
        <f t="shared" ca="1" si="24"/>
        <v>#N/A</v>
      </c>
      <c r="AI112" s="17" t="e">
        <f t="shared" ca="1" si="24"/>
        <v>#N/A</v>
      </c>
      <c r="AJ112" s="17" t="e">
        <f t="shared" ca="1" si="24"/>
        <v>#N/A</v>
      </c>
      <c r="AK112" s="17" t="e">
        <f t="shared" ca="1" si="24"/>
        <v>#N/A</v>
      </c>
      <c r="AL112" s="17" t="e">
        <f t="shared" ca="1" si="24"/>
        <v>#N/A</v>
      </c>
      <c r="AM112" s="17" t="e">
        <f t="shared" ca="1" si="24"/>
        <v>#N/A</v>
      </c>
      <c r="AN112" s="17" t="e">
        <f t="shared" ca="1" si="24"/>
        <v>#N/A</v>
      </c>
      <c r="AO112" s="17" t="e">
        <f t="shared" ca="1" si="24"/>
        <v>#N/A</v>
      </c>
      <c r="AP112" s="17" t="e">
        <f t="shared" ca="1" si="24"/>
        <v>#N/A</v>
      </c>
      <c r="AQ112" s="17" t="e">
        <f t="shared" ca="1" si="24"/>
        <v>#N/A</v>
      </c>
      <c r="AR112" s="17" t="e">
        <f t="shared" ca="1" si="24"/>
        <v>#N/A</v>
      </c>
      <c r="AS112" s="17" t="e">
        <f t="shared" ca="1" si="24"/>
        <v>#N/A</v>
      </c>
      <c r="AT112" s="17" t="e">
        <f t="shared" ca="1" si="24"/>
        <v>#N/A</v>
      </c>
      <c r="AU112" s="17" t="e">
        <f t="shared" ca="1" si="24"/>
        <v>#N/A</v>
      </c>
      <c r="AV112" s="17" t="e">
        <f t="shared" ca="1" si="24"/>
        <v>#N/A</v>
      </c>
      <c r="AW112" s="17" t="e">
        <f t="shared" ca="1" si="24"/>
        <v>#N/A</v>
      </c>
      <c r="AX112" s="17" t="e">
        <f t="shared" ca="1" si="24"/>
        <v>#N/A</v>
      </c>
      <c r="AY112" s="17" t="e">
        <f t="shared" ca="1" si="24"/>
        <v>#N/A</v>
      </c>
      <c r="AZ112" s="17" t="e">
        <f t="shared" ca="1" si="24"/>
        <v>#N/A</v>
      </c>
      <c r="BA112" s="17" t="e">
        <f t="shared" ca="1" si="24"/>
        <v>#N/A</v>
      </c>
      <c r="BB112" s="17" t="e">
        <f t="shared" ca="1" si="24"/>
        <v>#N/A</v>
      </c>
      <c r="BC112" s="17" t="e">
        <f t="shared" ca="1" si="24"/>
        <v>#N/A</v>
      </c>
      <c r="BD112" s="17" t="e">
        <f t="shared" ca="1" si="24"/>
        <v>#N/A</v>
      </c>
      <c r="BE112" s="17" t="e">
        <f t="shared" ca="1" si="24"/>
        <v>#N/A</v>
      </c>
      <c r="BF112" s="17" t="e">
        <f t="shared" ca="1" si="24"/>
        <v>#N/A</v>
      </c>
      <c r="BG112" s="17" t="e">
        <f t="shared" ca="1" si="24"/>
        <v>#N/A</v>
      </c>
      <c r="BH112" s="17" t="e">
        <f t="shared" ca="1" si="24"/>
        <v>#N/A</v>
      </c>
      <c r="BI112" s="17" t="e">
        <f t="shared" ca="1" si="24"/>
        <v>#N/A</v>
      </c>
      <c r="BJ112" s="17" t="e">
        <f t="shared" ca="1" si="24"/>
        <v>#N/A</v>
      </c>
      <c r="BK112" s="17" t="e">
        <f t="shared" ca="1" si="24"/>
        <v>#N/A</v>
      </c>
      <c r="BL112" s="17" t="e">
        <f t="shared" ca="1" si="24"/>
        <v>#N/A</v>
      </c>
      <c r="BM112" s="17" t="e">
        <f t="shared" ca="1" si="24"/>
        <v>#N/A</v>
      </c>
      <c r="BN112" s="17" t="e">
        <f t="shared" ca="1" si="24"/>
        <v>#N/A</v>
      </c>
      <c r="BO112" s="17" t="e">
        <f t="shared" ca="1" si="24"/>
        <v>#N/A</v>
      </c>
      <c r="BP112" s="17" t="e">
        <f t="shared" ca="1" si="24"/>
        <v>#N/A</v>
      </c>
      <c r="BQ112" s="17" t="e">
        <f t="shared" ref="BQ112:BV112" ca="1" si="25">BQ49/$D112*100000</f>
        <v>#N/A</v>
      </c>
      <c r="BR112" s="17" t="e">
        <f t="shared" ca="1" si="25"/>
        <v>#N/A</v>
      </c>
      <c r="BS112" s="17" t="e">
        <f t="shared" ca="1" si="25"/>
        <v>#N/A</v>
      </c>
      <c r="BT112" s="17" t="e">
        <f t="shared" ca="1" si="25"/>
        <v>#N/A</v>
      </c>
      <c r="BU112" s="17" t="e">
        <f t="shared" ca="1" si="25"/>
        <v>#N/A</v>
      </c>
      <c r="BV112" s="17" t="e">
        <f t="shared" ca="1" si="25"/>
        <v>#N/A</v>
      </c>
    </row>
    <row r="113" spans="2:74" x14ac:dyDescent="0.25">
      <c r="B113">
        <f t="shared" si="11"/>
        <v>8</v>
      </c>
      <c r="C113" t="str">
        <f t="shared" ca="1" si="11"/>
        <v>Italy</v>
      </c>
      <c r="D113" s="1">
        <f t="shared" ca="1" si="11"/>
        <v>60461826</v>
      </c>
      <c r="E113" s="17">
        <f t="shared" ref="E113:BP113" ca="1" si="26">E50/$D113*100000</f>
        <v>0.10254404159080474</v>
      </c>
      <c r="F113" s="17">
        <f t="shared" ca="1" si="26"/>
        <v>0.25636010397701187</v>
      </c>
      <c r="G113" s="17">
        <f t="shared" ca="1" si="26"/>
        <v>0.37875137942410142</v>
      </c>
      <c r="H113" s="17">
        <f t="shared" ca="1" si="26"/>
        <v>0.53256744181030857</v>
      </c>
      <c r="I113" s="17">
        <f t="shared" ca="1" si="26"/>
        <v>0.74923307807475081</v>
      </c>
      <c r="J113" s="17">
        <f t="shared" ca="1" si="26"/>
        <v>1.0833281813222113</v>
      </c>
      <c r="K113" s="17">
        <f t="shared" ca="1" si="26"/>
        <v>1.4686953053650744</v>
      </c>
      <c r="L113" s="17">
        <f t="shared" ca="1" si="26"/>
        <v>1.8656399824907701</v>
      </c>
      <c r="M113" s="17">
        <f t="shared" ca="1" si="26"/>
        <v>2.8017678460455362</v>
      </c>
      <c r="N113" s="17">
        <f t="shared" ca="1" si="26"/>
        <v>3.3674140109496524</v>
      </c>
      <c r="O113" s="17">
        <f t="shared" ca="1" si="26"/>
        <v>4.1381482590353791</v>
      </c>
      <c r="P113" s="17">
        <f t="shared" ca="1" si="26"/>
        <v>5.1090087818386429</v>
      </c>
      <c r="Q113" s="17">
        <f t="shared" ca="1" si="26"/>
        <v>6.3808856847955591</v>
      </c>
      <c r="R113" s="17">
        <f t="shared" ca="1" si="26"/>
        <v>7.6676480131446914</v>
      </c>
      <c r="S113" s="17">
        <f t="shared" ca="1" si="26"/>
        <v>9.7301063980436187</v>
      </c>
      <c r="T113" s="17">
        <f t="shared" ca="1" si="26"/>
        <v>12.197779140841694</v>
      </c>
      <c r="U113" s="17">
        <f t="shared" ca="1" si="26"/>
        <v>15.16990241082034</v>
      </c>
      <c r="V113" s="17">
        <f t="shared" ca="1" si="26"/>
        <v>16.785798033952862</v>
      </c>
      <c r="W113" s="17">
        <f t="shared" ca="1" si="26"/>
        <v>20.611352359751756</v>
      </c>
      <c r="X113" s="17">
        <f t="shared" ca="1" si="26"/>
        <v>20.611352359751756</v>
      </c>
      <c r="Y113" s="17">
        <f t="shared" ca="1" si="26"/>
        <v>29.208512491832451</v>
      </c>
      <c r="Z113" s="17">
        <f t="shared" ca="1" si="26"/>
        <v>34.992327224784781</v>
      </c>
      <c r="AA113" s="17">
        <f t="shared" ca="1" si="26"/>
        <v>40.929958020123308</v>
      </c>
      <c r="AB113" s="17">
        <f t="shared" ca="1" si="26"/>
        <v>46.277133608237371</v>
      </c>
      <c r="AC113" s="17">
        <f t="shared" ca="1" si="26"/>
        <v>52.108912489675717</v>
      </c>
      <c r="AD113" s="17">
        <f t="shared" ca="1" si="26"/>
        <v>59.067021892458229</v>
      </c>
      <c r="AE113" s="17">
        <f t="shared" ca="1" si="26"/>
        <v>67.869270107720538</v>
      </c>
      <c r="AF113" s="17">
        <f t="shared" ca="1" si="26"/>
        <v>77.769731929697258</v>
      </c>
      <c r="AG113" s="17">
        <f t="shared" ca="1" si="26"/>
        <v>88.614591296002217</v>
      </c>
      <c r="AH113" s="17">
        <f t="shared" ca="1" si="26"/>
        <v>97.810476316080823</v>
      </c>
      <c r="AI113" s="17">
        <f t="shared" ca="1" si="26"/>
        <v>105.73117656089315</v>
      </c>
      <c r="AJ113" s="17">
        <f t="shared" ca="1" si="26"/>
        <v>114.41268743686305</v>
      </c>
      <c r="AK113" s="17">
        <f t="shared" ca="1" si="26"/>
        <v>123.02969480280004</v>
      </c>
      <c r="AL113" s="17">
        <f t="shared" ca="1" si="26"/>
        <v>133.28906077034458</v>
      </c>
      <c r="AM113" s="17">
        <f t="shared" ca="1" si="26"/>
        <v>143.06216950841016</v>
      </c>
      <c r="AN113" s="17">
        <f t="shared" ca="1" si="26"/>
        <v>152.9427840965306</v>
      </c>
      <c r="AO113" s="17">
        <f t="shared" ca="1" si="26"/>
        <v>161.5713690155504</v>
      </c>
      <c r="AP113" s="17">
        <f t="shared" ca="1" si="26"/>
        <v>168.26981044204652</v>
      </c>
      <c r="AQ113" s="17" t="e">
        <f t="shared" ca="1" si="26"/>
        <v>#N/A</v>
      </c>
      <c r="AR113" s="17" t="e">
        <f t="shared" ca="1" si="26"/>
        <v>#N/A</v>
      </c>
      <c r="AS113" s="17" t="e">
        <f t="shared" ca="1" si="26"/>
        <v>#N/A</v>
      </c>
      <c r="AT113" s="17" t="e">
        <f t="shared" ca="1" si="26"/>
        <v>#N/A</v>
      </c>
      <c r="AU113" s="17" t="e">
        <f t="shared" ca="1" si="26"/>
        <v>#N/A</v>
      </c>
      <c r="AV113" s="17" t="e">
        <f t="shared" ca="1" si="26"/>
        <v>#N/A</v>
      </c>
      <c r="AW113" s="17" t="e">
        <f t="shared" ca="1" si="26"/>
        <v>#N/A</v>
      </c>
      <c r="AX113" s="17" t="e">
        <f t="shared" ca="1" si="26"/>
        <v>#N/A</v>
      </c>
      <c r="AY113" s="17" t="e">
        <f t="shared" ca="1" si="26"/>
        <v>#N/A</v>
      </c>
      <c r="AZ113" s="17" t="e">
        <f t="shared" ca="1" si="26"/>
        <v>#N/A</v>
      </c>
      <c r="BA113" s="17" t="e">
        <f t="shared" ca="1" si="26"/>
        <v>#N/A</v>
      </c>
      <c r="BB113" s="17" t="e">
        <f t="shared" ca="1" si="26"/>
        <v>#N/A</v>
      </c>
      <c r="BC113" s="17" t="e">
        <f t="shared" ca="1" si="26"/>
        <v>#N/A</v>
      </c>
      <c r="BD113" s="17" t="e">
        <f t="shared" ca="1" si="26"/>
        <v>#N/A</v>
      </c>
      <c r="BE113" s="17" t="e">
        <f t="shared" ca="1" si="26"/>
        <v>#N/A</v>
      </c>
      <c r="BF113" s="17" t="e">
        <f t="shared" ca="1" si="26"/>
        <v>#N/A</v>
      </c>
      <c r="BG113" s="17" t="e">
        <f t="shared" ca="1" si="26"/>
        <v>#N/A</v>
      </c>
      <c r="BH113" s="17" t="e">
        <f t="shared" ca="1" si="26"/>
        <v>#N/A</v>
      </c>
      <c r="BI113" s="17" t="e">
        <f t="shared" ca="1" si="26"/>
        <v>#N/A</v>
      </c>
      <c r="BJ113" s="17" t="e">
        <f t="shared" ca="1" si="26"/>
        <v>#N/A</v>
      </c>
      <c r="BK113" s="17" t="e">
        <f t="shared" ca="1" si="26"/>
        <v>#N/A</v>
      </c>
      <c r="BL113" s="17" t="e">
        <f t="shared" ca="1" si="26"/>
        <v>#N/A</v>
      </c>
      <c r="BM113" s="17" t="e">
        <f t="shared" ca="1" si="26"/>
        <v>#N/A</v>
      </c>
      <c r="BN113" s="17" t="e">
        <f t="shared" ca="1" si="26"/>
        <v>#N/A</v>
      </c>
      <c r="BO113" s="17" t="e">
        <f t="shared" ca="1" si="26"/>
        <v>#N/A</v>
      </c>
      <c r="BP113" s="17" t="e">
        <f t="shared" ca="1" si="26"/>
        <v>#N/A</v>
      </c>
      <c r="BQ113" s="17" t="e">
        <f t="shared" ref="BQ113:BV113" ca="1" si="27">BQ50/$D113*100000</f>
        <v>#N/A</v>
      </c>
      <c r="BR113" s="17" t="e">
        <f t="shared" ca="1" si="27"/>
        <v>#N/A</v>
      </c>
      <c r="BS113" s="17" t="e">
        <f t="shared" ca="1" si="27"/>
        <v>#N/A</v>
      </c>
      <c r="BT113" s="17" t="e">
        <f t="shared" ca="1" si="27"/>
        <v>#N/A</v>
      </c>
      <c r="BU113" s="17" t="e">
        <f t="shared" ca="1" si="27"/>
        <v>#N/A</v>
      </c>
      <c r="BV113" s="17" t="e">
        <f t="shared" ca="1" si="27"/>
        <v>#N/A</v>
      </c>
    </row>
    <row r="114" spans="2:74" x14ac:dyDescent="0.25">
      <c r="B114">
        <f t="shared" si="11"/>
        <v>9</v>
      </c>
      <c r="C114" t="str">
        <f t="shared" ca="1" si="11"/>
        <v>Korea, South</v>
      </c>
      <c r="D114" s="1">
        <f t="shared" ca="1" si="11"/>
        <v>51269185</v>
      </c>
      <c r="E114" s="17">
        <f t="shared" ref="E114:BP114" ca="1" si="28">E51/$D114*100000</f>
        <v>0.20285089376786464</v>
      </c>
      <c r="F114" s="17">
        <f t="shared" ca="1" si="28"/>
        <v>0.39789983008311913</v>
      </c>
      <c r="G114" s="17">
        <f t="shared" ca="1" si="28"/>
        <v>0.8445618942450519</v>
      </c>
      <c r="H114" s="17">
        <f t="shared" ca="1" si="28"/>
        <v>1.174194596617832</v>
      </c>
      <c r="I114" s="17">
        <f t="shared" ca="1" si="28"/>
        <v>1.6247576395060697</v>
      </c>
      <c r="J114" s="17">
        <f t="shared" ca="1" si="28"/>
        <v>1.9056281078000361</v>
      </c>
      <c r="K114" s="17">
        <f t="shared" ca="1" si="28"/>
        <v>2.4595670869353592</v>
      </c>
      <c r="L114" s="17">
        <f t="shared" ca="1" si="28"/>
        <v>3.4445642153273943</v>
      </c>
      <c r="M114" s="17">
        <f t="shared" ca="1" si="28"/>
        <v>4.5582936416874968</v>
      </c>
      <c r="N114" s="17">
        <f t="shared" ca="1" si="28"/>
        <v>6.1440414939305157</v>
      </c>
      <c r="O114" s="17">
        <f t="shared" ca="1" si="28"/>
        <v>7.2870282607379062</v>
      </c>
      <c r="P114" s="17">
        <f t="shared" ca="1" si="28"/>
        <v>8.455371389266281</v>
      </c>
      <c r="Q114" s="17">
        <f t="shared" ca="1" si="28"/>
        <v>10.115237837309097</v>
      </c>
      <c r="R114" s="17">
        <f t="shared" ca="1" si="28"/>
        <v>10.963700710280454</v>
      </c>
      <c r="S114" s="17">
        <f t="shared" ca="1" si="28"/>
        <v>11.874579242872693</v>
      </c>
      <c r="T114" s="17">
        <f t="shared" ca="1" si="28"/>
        <v>12.859576371264728</v>
      </c>
      <c r="U114" s="17">
        <f t="shared" ca="1" si="28"/>
        <v>13.733395605957069</v>
      </c>
      <c r="V114" s="17">
        <f t="shared" ca="1" si="28"/>
        <v>14.265879202097711</v>
      </c>
      <c r="W114" s="17">
        <f t="shared" ca="1" si="28"/>
        <v>14.585759457654731</v>
      </c>
      <c r="X114" s="17">
        <f t="shared" ca="1" si="28"/>
        <v>14.654026585365068</v>
      </c>
      <c r="Y114" s="17">
        <f t="shared" ca="1" si="28"/>
        <v>15.126045011247985</v>
      </c>
      <c r="Z114" s="17">
        <f t="shared" ca="1" si="28"/>
        <v>15.348400798647374</v>
      </c>
      <c r="AA114" s="17">
        <f t="shared" ca="1" si="28"/>
        <v>15.562954628594154</v>
      </c>
      <c r="AB114" s="17">
        <f t="shared" ca="1" si="28"/>
        <v>15.771656990451477</v>
      </c>
      <c r="AC114" s="17">
        <f t="shared" ca="1" si="28"/>
        <v>15.91989418205107</v>
      </c>
      <c r="AD114" s="17">
        <f t="shared" ca="1" si="28"/>
        <v>16.064230394924358</v>
      </c>
      <c r="AE114" s="17">
        <f t="shared" ca="1" si="28"/>
        <v>16.228071501429174</v>
      </c>
      <c r="AF114" s="17">
        <f t="shared" ca="1" si="28"/>
        <v>16.409467012202359</v>
      </c>
      <c r="AG114" s="17">
        <f t="shared" ca="1" si="28"/>
        <v>16.705941395401545</v>
      </c>
      <c r="AH114" s="17">
        <f t="shared" ca="1" si="28"/>
        <v>16.875633969995818</v>
      </c>
      <c r="AI114" s="17">
        <f t="shared" ca="1" si="28"/>
        <v>17.162355906379243</v>
      </c>
      <c r="AJ114" s="17">
        <f t="shared" ca="1" si="28"/>
        <v>17.478335183209953</v>
      </c>
      <c r="AK114" s="17">
        <f t="shared" ca="1" si="28"/>
        <v>17.478335183209953</v>
      </c>
      <c r="AL114" s="17">
        <f t="shared" ca="1" si="28"/>
        <v>17.626572374809548</v>
      </c>
      <c r="AM114" s="17">
        <f t="shared" ca="1" si="28"/>
        <v>17.821621311124801</v>
      </c>
      <c r="AN114" s="17">
        <f t="shared" ca="1" si="28"/>
        <v>18.024472204892664</v>
      </c>
      <c r="AO114" s="17">
        <f t="shared" ca="1" si="28"/>
        <v>18.20196673693955</v>
      </c>
      <c r="AP114" s="17">
        <f t="shared" ca="1" si="28"/>
        <v>18.486738183959819</v>
      </c>
      <c r="AQ114" s="17">
        <f t="shared" ca="1" si="28"/>
        <v>18.691539567090839</v>
      </c>
      <c r="AR114" s="17">
        <f t="shared" ca="1" si="28"/>
        <v>18.843677737416733</v>
      </c>
      <c r="AS114" s="17" t="e">
        <f t="shared" ca="1" si="28"/>
        <v>#N/A</v>
      </c>
      <c r="AT114" s="17" t="e">
        <f t="shared" ca="1" si="28"/>
        <v>#N/A</v>
      </c>
      <c r="AU114" s="17" t="e">
        <f t="shared" ca="1" si="28"/>
        <v>#N/A</v>
      </c>
      <c r="AV114" s="17" t="e">
        <f t="shared" ca="1" si="28"/>
        <v>#N/A</v>
      </c>
      <c r="AW114" s="17" t="e">
        <f t="shared" ca="1" si="28"/>
        <v>#N/A</v>
      </c>
      <c r="AX114" s="17" t="e">
        <f t="shared" ca="1" si="28"/>
        <v>#N/A</v>
      </c>
      <c r="AY114" s="17" t="e">
        <f t="shared" ca="1" si="28"/>
        <v>#N/A</v>
      </c>
      <c r="AZ114" s="17" t="e">
        <f t="shared" ca="1" si="28"/>
        <v>#N/A</v>
      </c>
      <c r="BA114" s="17" t="e">
        <f t="shared" ca="1" si="28"/>
        <v>#N/A</v>
      </c>
      <c r="BB114" s="17" t="e">
        <f t="shared" ca="1" si="28"/>
        <v>#N/A</v>
      </c>
      <c r="BC114" s="17" t="e">
        <f t="shared" ca="1" si="28"/>
        <v>#N/A</v>
      </c>
      <c r="BD114" s="17" t="e">
        <f t="shared" ca="1" si="28"/>
        <v>#N/A</v>
      </c>
      <c r="BE114" s="17" t="e">
        <f t="shared" ca="1" si="28"/>
        <v>#N/A</v>
      </c>
      <c r="BF114" s="17" t="e">
        <f t="shared" ca="1" si="28"/>
        <v>#N/A</v>
      </c>
      <c r="BG114" s="17" t="e">
        <f t="shared" ca="1" si="28"/>
        <v>#N/A</v>
      </c>
      <c r="BH114" s="17" t="e">
        <f t="shared" ca="1" si="28"/>
        <v>#N/A</v>
      </c>
      <c r="BI114" s="17" t="e">
        <f t="shared" ca="1" si="28"/>
        <v>#N/A</v>
      </c>
      <c r="BJ114" s="17" t="e">
        <f t="shared" ca="1" si="28"/>
        <v>#N/A</v>
      </c>
      <c r="BK114" s="17" t="e">
        <f t="shared" ca="1" si="28"/>
        <v>#N/A</v>
      </c>
      <c r="BL114" s="17" t="e">
        <f t="shared" ca="1" si="28"/>
        <v>#N/A</v>
      </c>
      <c r="BM114" s="17" t="e">
        <f t="shared" ca="1" si="28"/>
        <v>#N/A</v>
      </c>
      <c r="BN114" s="17" t="e">
        <f t="shared" ca="1" si="28"/>
        <v>#N/A</v>
      </c>
      <c r="BO114" s="17" t="e">
        <f t="shared" ca="1" si="28"/>
        <v>#N/A</v>
      </c>
      <c r="BP114" s="17" t="e">
        <f t="shared" ca="1" si="28"/>
        <v>#N/A</v>
      </c>
      <c r="BQ114" s="17" t="e">
        <f t="shared" ref="BQ114:BV114" ca="1" si="29">BQ51/$D114*100000</f>
        <v>#N/A</v>
      </c>
      <c r="BR114" s="17" t="e">
        <f t="shared" ca="1" si="29"/>
        <v>#N/A</v>
      </c>
      <c r="BS114" s="17" t="e">
        <f t="shared" ca="1" si="29"/>
        <v>#N/A</v>
      </c>
      <c r="BT114" s="17" t="e">
        <f t="shared" ca="1" si="29"/>
        <v>#N/A</v>
      </c>
      <c r="BU114" s="17" t="e">
        <f t="shared" ca="1" si="29"/>
        <v>#N/A</v>
      </c>
      <c r="BV114" s="17" t="e">
        <f t="shared" ca="1" si="29"/>
        <v>#N/A</v>
      </c>
    </row>
    <row r="115" spans="2:74" x14ac:dyDescent="0.25">
      <c r="B115">
        <f t="shared" si="11"/>
        <v>10</v>
      </c>
      <c r="C115" t="str">
        <f t="shared" ca="1" si="11"/>
        <v>Russia</v>
      </c>
      <c r="D115" s="1">
        <f t="shared" ca="1" si="11"/>
        <v>145934462</v>
      </c>
      <c r="E115" s="17">
        <f t="shared" ref="E115:BP115" ca="1" si="30">E52/$D115*100000</f>
        <v>4.0429107142629546E-2</v>
      </c>
      <c r="F115" s="17">
        <f t="shared" ca="1" si="30"/>
        <v>4.3170063559079007E-2</v>
      </c>
      <c r="G115" s="17">
        <f t="shared" ca="1" si="30"/>
        <v>6.1671519370112865E-2</v>
      </c>
      <c r="H115" s="17">
        <f t="shared" ca="1" si="30"/>
        <v>7.8117257868809631E-2</v>
      </c>
      <c r="I115" s="17">
        <f t="shared" ca="1" si="30"/>
        <v>0.10073014830451768</v>
      </c>
      <c r="J115" s="17">
        <f t="shared" ca="1" si="30"/>
        <v>0.13636258171836069</v>
      </c>
      <c r="K115" s="17">
        <f t="shared" ca="1" si="30"/>
        <v>0.17336549334042839</v>
      </c>
      <c r="L115" s="17">
        <f t="shared" ca="1" si="30"/>
        <v>0.20968316585838376</v>
      </c>
      <c r="M115" s="17">
        <f t="shared" ca="1" si="30"/>
        <v>0.25148275120923802</v>
      </c>
      <c r="N115" s="17">
        <f t="shared" ca="1" si="30"/>
        <v>0.30013472760121596</v>
      </c>
      <c r="O115" s="17">
        <f t="shared" ca="1" si="30"/>
        <v>0.33919335653562077</v>
      </c>
      <c r="P115" s="17">
        <f t="shared" ca="1" si="30"/>
        <v>0.45088733050593627</v>
      </c>
      <c r="Q115" s="17">
        <f t="shared" ca="1" si="30"/>
        <v>0.57560084745438678</v>
      </c>
      <c r="R115" s="17">
        <f t="shared" ca="1" si="30"/>
        <v>0.70990771186041035</v>
      </c>
      <c r="S115" s="17">
        <f t="shared" ca="1" si="30"/>
        <v>0.8661422275980295</v>
      </c>
      <c r="T115" s="17">
        <f t="shared" ca="1" si="30"/>
        <v>1.0511567857083681</v>
      </c>
      <c r="U115" s="17">
        <f t="shared" ca="1" si="30"/>
        <v>1.2580989951503025</v>
      </c>
      <c r="V115" s="17" t="e">
        <f t="shared" ca="1" si="30"/>
        <v>#N/A</v>
      </c>
      <c r="W115" s="17" t="e">
        <f t="shared" ca="1" si="30"/>
        <v>#N/A</v>
      </c>
      <c r="X115" s="17" t="e">
        <f t="shared" ca="1" si="30"/>
        <v>#N/A</v>
      </c>
      <c r="Y115" s="17" t="e">
        <f t="shared" ca="1" si="30"/>
        <v>#N/A</v>
      </c>
      <c r="Z115" s="17" t="e">
        <f t="shared" ca="1" si="30"/>
        <v>#N/A</v>
      </c>
      <c r="AA115" s="17" t="e">
        <f t="shared" ca="1" si="30"/>
        <v>#N/A</v>
      </c>
      <c r="AB115" s="17" t="e">
        <f t="shared" ca="1" si="30"/>
        <v>#N/A</v>
      </c>
      <c r="AC115" s="17" t="e">
        <f t="shared" ca="1" si="30"/>
        <v>#N/A</v>
      </c>
      <c r="AD115" s="17" t="e">
        <f t="shared" ca="1" si="30"/>
        <v>#N/A</v>
      </c>
      <c r="AE115" s="17" t="e">
        <f t="shared" ca="1" si="30"/>
        <v>#N/A</v>
      </c>
      <c r="AF115" s="17" t="e">
        <f t="shared" ca="1" si="30"/>
        <v>#N/A</v>
      </c>
      <c r="AG115" s="17" t="e">
        <f t="shared" ca="1" si="30"/>
        <v>#N/A</v>
      </c>
      <c r="AH115" s="17" t="e">
        <f t="shared" ca="1" si="30"/>
        <v>#N/A</v>
      </c>
      <c r="AI115" s="17" t="e">
        <f t="shared" ca="1" si="30"/>
        <v>#N/A</v>
      </c>
      <c r="AJ115" s="17" t="e">
        <f t="shared" ca="1" si="30"/>
        <v>#N/A</v>
      </c>
      <c r="AK115" s="17" t="e">
        <f t="shared" ca="1" si="30"/>
        <v>#N/A</v>
      </c>
      <c r="AL115" s="17" t="e">
        <f t="shared" ca="1" si="30"/>
        <v>#N/A</v>
      </c>
      <c r="AM115" s="17" t="e">
        <f t="shared" ca="1" si="30"/>
        <v>#N/A</v>
      </c>
      <c r="AN115" s="17" t="e">
        <f t="shared" ca="1" si="30"/>
        <v>#N/A</v>
      </c>
      <c r="AO115" s="17" t="e">
        <f t="shared" ca="1" si="30"/>
        <v>#N/A</v>
      </c>
      <c r="AP115" s="17" t="e">
        <f t="shared" ca="1" si="30"/>
        <v>#N/A</v>
      </c>
      <c r="AQ115" s="17" t="e">
        <f t="shared" ca="1" si="30"/>
        <v>#N/A</v>
      </c>
      <c r="AR115" s="17" t="e">
        <f t="shared" ca="1" si="30"/>
        <v>#N/A</v>
      </c>
      <c r="AS115" s="17" t="e">
        <f t="shared" ca="1" si="30"/>
        <v>#N/A</v>
      </c>
      <c r="AT115" s="17" t="e">
        <f t="shared" ca="1" si="30"/>
        <v>#N/A</v>
      </c>
      <c r="AU115" s="17" t="e">
        <f t="shared" ca="1" si="30"/>
        <v>#N/A</v>
      </c>
      <c r="AV115" s="17" t="e">
        <f t="shared" ca="1" si="30"/>
        <v>#N/A</v>
      </c>
      <c r="AW115" s="17" t="e">
        <f t="shared" ca="1" si="30"/>
        <v>#N/A</v>
      </c>
      <c r="AX115" s="17" t="e">
        <f t="shared" ca="1" si="30"/>
        <v>#N/A</v>
      </c>
      <c r="AY115" s="17" t="e">
        <f t="shared" ca="1" si="30"/>
        <v>#N/A</v>
      </c>
      <c r="AZ115" s="17" t="e">
        <f t="shared" ca="1" si="30"/>
        <v>#N/A</v>
      </c>
      <c r="BA115" s="17" t="e">
        <f t="shared" ca="1" si="30"/>
        <v>#N/A</v>
      </c>
      <c r="BB115" s="17" t="e">
        <f t="shared" ca="1" si="30"/>
        <v>#N/A</v>
      </c>
      <c r="BC115" s="17" t="e">
        <f t="shared" ca="1" si="30"/>
        <v>#N/A</v>
      </c>
      <c r="BD115" s="17" t="e">
        <f t="shared" ca="1" si="30"/>
        <v>#N/A</v>
      </c>
      <c r="BE115" s="17" t="e">
        <f t="shared" ca="1" si="30"/>
        <v>#N/A</v>
      </c>
      <c r="BF115" s="17" t="e">
        <f t="shared" ca="1" si="30"/>
        <v>#N/A</v>
      </c>
      <c r="BG115" s="17" t="e">
        <f t="shared" ca="1" si="30"/>
        <v>#N/A</v>
      </c>
      <c r="BH115" s="17" t="e">
        <f t="shared" ca="1" si="30"/>
        <v>#N/A</v>
      </c>
      <c r="BI115" s="17" t="e">
        <f t="shared" ca="1" si="30"/>
        <v>#N/A</v>
      </c>
      <c r="BJ115" s="17" t="e">
        <f t="shared" ca="1" si="30"/>
        <v>#N/A</v>
      </c>
      <c r="BK115" s="17" t="e">
        <f t="shared" ca="1" si="30"/>
        <v>#N/A</v>
      </c>
      <c r="BL115" s="17" t="e">
        <f t="shared" ca="1" si="30"/>
        <v>#N/A</v>
      </c>
      <c r="BM115" s="17" t="e">
        <f t="shared" ca="1" si="30"/>
        <v>#N/A</v>
      </c>
      <c r="BN115" s="17" t="e">
        <f t="shared" ca="1" si="30"/>
        <v>#N/A</v>
      </c>
      <c r="BO115" s="17" t="e">
        <f t="shared" ca="1" si="30"/>
        <v>#N/A</v>
      </c>
      <c r="BP115" s="17" t="e">
        <f t="shared" ca="1" si="30"/>
        <v>#N/A</v>
      </c>
      <c r="BQ115" s="17" t="e">
        <f t="shared" ref="BQ115:BV115" ca="1" si="31">BQ52/$D115*100000</f>
        <v>#N/A</v>
      </c>
      <c r="BR115" s="17" t="e">
        <f t="shared" ca="1" si="31"/>
        <v>#N/A</v>
      </c>
      <c r="BS115" s="17" t="e">
        <f t="shared" ca="1" si="31"/>
        <v>#N/A</v>
      </c>
      <c r="BT115" s="17" t="e">
        <f t="shared" ca="1" si="31"/>
        <v>#N/A</v>
      </c>
      <c r="BU115" s="17" t="e">
        <f t="shared" ca="1" si="31"/>
        <v>#N/A</v>
      </c>
      <c r="BV115" s="17" t="e">
        <f t="shared" ca="1" si="31"/>
        <v>#N/A</v>
      </c>
    </row>
    <row r="116" spans="2:74" x14ac:dyDescent="0.25">
      <c r="B116">
        <f t="shared" si="11"/>
        <v>11</v>
      </c>
      <c r="C116" t="str">
        <f t="shared" ca="1" si="11"/>
        <v>Spain</v>
      </c>
      <c r="D116" s="1">
        <f t="shared" ca="1" si="11"/>
        <v>46754778</v>
      </c>
      <c r="E116" s="17">
        <f t="shared" ref="E116:BP116" ca="1" si="32">E53/$D116*100000</f>
        <v>0.17966078247660591</v>
      </c>
      <c r="F116" s="17">
        <f t="shared" ca="1" si="32"/>
        <v>0.25665826068086561</v>
      </c>
      <c r="G116" s="17">
        <f t="shared" ca="1" si="32"/>
        <v>0.35290510843619016</v>
      </c>
      <c r="H116" s="17">
        <f t="shared" ca="1" si="32"/>
        <v>0.47481778225960136</v>
      </c>
      <c r="I116" s="17">
        <f t="shared" ca="1" si="32"/>
        <v>0.55395407930286822</v>
      </c>
      <c r="J116" s="17">
        <f t="shared" ca="1" si="32"/>
        <v>0.8555275356028853</v>
      </c>
      <c r="K116" s="17">
        <f t="shared" ca="1" si="32"/>
        <v>1.0694094195036066</v>
      </c>
      <c r="L116" s="17">
        <f t="shared" ca="1" si="32"/>
        <v>1.4394250786518545</v>
      </c>
      <c r="M116" s="17">
        <f t="shared" ca="1" si="32"/>
        <v>2.2949526142547398</v>
      </c>
      <c r="N116" s="17">
        <f t="shared" ca="1" si="32"/>
        <v>3.6252979321172263</v>
      </c>
      <c r="O116" s="17">
        <f t="shared" ca="1" si="32"/>
        <v>4.8700904964194249</v>
      </c>
      <c r="P116" s="17">
        <f t="shared" ca="1" si="32"/>
        <v>4.8700904964194249</v>
      </c>
      <c r="Q116" s="17">
        <f t="shared" ca="1" si="32"/>
        <v>11.190300165685741</v>
      </c>
      <c r="R116" s="17">
        <f t="shared" ca="1" si="32"/>
        <v>13.669191200095101</v>
      </c>
      <c r="S116" s="17">
        <f t="shared" ca="1" si="32"/>
        <v>16.678509306578249</v>
      </c>
      <c r="T116" s="17">
        <f t="shared" ca="1" si="32"/>
        <v>21.264136897409713</v>
      </c>
      <c r="U116" s="17">
        <f t="shared" ca="1" si="32"/>
        <v>25.126843720656741</v>
      </c>
      <c r="V116" s="17">
        <f t="shared" ca="1" si="32"/>
        <v>29.75097005059034</v>
      </c>
      <c r="W116" s="17">
        <f t="shared" ca="1" si="32"/>
        <v>38.419602805086569</v>
      </c>
      <c r="X116" s="17">
        <f t="shared" ca="1" si="32"/>
        <v>43.65329250413722</v>
      </c>
      <c r="Y116" s="17">
        <f t="shared" ca="1" si="32"/>
        <v>54.27038922096903</v>
      </c>
      <c r="Z116" s="17">
        <f t="shared" ca="1" si="32"/>
        <v>61.529540360559508</v>
      </c>
      <c r="AA116" s="17">
        <f t="shared" ca="1" si="32"/>
        <v>75.149538727357452</v>
      </c>
      <c r="AB116" s="17">
        <f t="shared" ca="1" si="32"/>
        <v>85.306789393802703</v>
      </c>
      <c r="AC116" s="17">
        <f t="shared" ca="1" si="32"/>
        <v>105.90361481344218</v>
      </c>
      <c r="AD116" s="17">
        <f t="shared" ca="1" si="32"/>
        <v>123.59378543087082</v>
      </c>
      <c r="AE116" s="17">
        <f t="shared" ca="1" si="32"/>
        <v>140.56103528071506</v>
      </c>
      <c r="AF116" s="17">
        <f t="shared" ca="1" si="32"/>
        <v>156.63639767469328</v>
      </c>
      <c r="AG116" s="17">
        <f t="shared" ca="1" si="32"/>
        <v>171.34077719286788</v>
      </c>
      <c r="AH116" s="17">
        <f t="shared" ca="1" si="32"/>
        <v>188.12194980371845</v>
      </c>
      <c r="AI116" s="17" t="e">
        <f t="shared" ca="1" si="32"/>
        <v>#N/A</v>
      </c>
      <c r="AJ116" s="17" t="e">
        <f t="shared" ca="1" si="32"/>
        <v>#N/A</v>
      </c>
      <c r="AK116" s="17" t="e">
        <f t="shared" ca="1" si="32"/>
        <v>#N/A</v>
      </c>
      <c r="AL116" s="17" t="e">
        <f t="shared" ca="1" si="32"/>
        <v>#N/A</v>
      </c>
      <c r="AM116" s="17" t="e">
        <f t="shared" ca="1" si="32"/>
        <v>#N/A</v>
      </c>
      <c r="AN116" s="17" t="e">
        <f t="shared" ca="1" si="32"/>
        <v>#N/A</v>
      </c>
      <c r="AO116" s="17" t="e">
        <f t="shared" ca="1" si="32"/>
        <v>#N/A</v>
      </c>
      <c r="AP116" s="17" t="e">
        <f t="shared" ca="1" si="32"/>
        <v>#N/A</v>
      </c>
      <c r="AQ116" s="17" t="e">
        <f t="shared" ca="1" si="32"/>
        <v>#N/A</v>
      </c>
      <c r="AR116" s="17" t="e">
        <f t="shared" ca="1" si="32"/>
        <v>#N/A</v>
      </c>
      <c r="AS116" s="17" t="e">
        <f t="shared" ca="1" si="32"/>
        <v>#N/A</v>
      </c>
      <c r="AT116" s="17" t="e">
        <f t="shared" ca="1" si="32"/>
        <v>#N/A</v>
      </c>
      <c r="AU116" s="17" t="e">
        <f t="shared" ca="1" si="32"/>
        <v>#N/A</v>
      </c>
      <c r="AV116" s="17" t="e">
        <f t="shared" ca="1" si="32"/>
        <v>#N/A</v>
      </c>
      <c r="AW116" s="17" t="e">
        <f t="shared" ca="1" si="32"/>
        <v>#N/A</v>
      </c>
      <c r="AX116" s="17" t="e">
        <f t="shared" ca="1" si="32"/>
        <v>#N/A</v>
      </c>
      <c r="AY116" s="17" t="e">
        <f t="shared" ca="1" si="32"/>
        <v>#N/A</v>
      </c>
      <c r="AZ116" s="17" t="e">
        <f t="shared" ca="1" si="32"/>
        <v>#N/A</v>
      </c>
      <c r="BA116" s="17" t="e">
        <f t="shared" ca="1" si="32"/>
        <v>#N/A</v>
      </c>
      <c r="BB116" s="17" t="e">
        <f t="shared" ca="1" si="32"/>
        <v>#N/A</v>
      </c>
      <c r="BC116" s="17" t="e">
        <f t="shared" ca="1" si="32"/>
        <v>#N/A</v>
      </c>
      <c r="BD116" s="17" t="e">
        <f t="shared" ca="1" si="32"/>
        <v>#N/A</v>
      </c>
      <c r="BE116" s="17" t="e">
        <f t="shared" ca="1" si="32"/>
        <v>#N/A</v>
      </c>
      <c r="BF116" s="17" t="e">
        <f t="shared" ca="1" si="32"/>
        <v>#N/A</v>
      </c>
      <c r="BG116" s="17" t="e">
        <f t="shared" ca="1" si="32"/>
        <v>#N/A</v>
      </c>
      <c r="BH116" s="17" t="e">
        <f t="shared" ca="1" si="32"/>
        <v>#N/A</v>
      </c>
      <c r="BI116" s="17" t="e">
        <f t="shared" ca="1" si="32"/>
        <v>#N/A</v>
      </c>
      <c r="BJ116" s="17" t="e">
        <f t="shared" ca="1" si="32"/>
        <v>#N/A</v>
      </c>
      <c r="BK116" s="17" t="e">
        <f t="shared" ca="1" si="32"/>
        <v>#N/A</v>
      </c>
      <c r="BL116" s="17" t="e">
        <f t="shared" ca="1" si="32"/>
        <v>#N/A</v>
      </c>
      <c r="BM116" s="17" t="e">
        <f t="shared" ca="1" si="32"/>
        <v>#N/A</v>
      </c>
      <c r="BN116" s="17" t="e">
        <f t="shared" ca="1" si="32"/>
        <v>#N/A</v>
      </c>
      <c r="BO116" s="17" t="e">
        <f t="shared" ca="1" si="32"/>
        <v>#N/A</v>
      </c>
      <c r="BP116" s="17" t="e">
        <f t="shared" ca="1" si="32"/>
        <v>#N/A</v>
      </c>
      <c r="BQ116" s="17" t="e">
        <f t="shared" ref="BQ116:BV116" ca="1" si="33">BQ53/$D116*100000</f>
        <v>#N/A</v>
      </c>
      <c r="BR116" s="17" t="e">
        <f t="shared" ca="1" si="33"/>
        <v>#N/A</v>
      </c>
      <c r="BS116" s="17" t="e">
        <f t="shared" ca="1" si="33"/>
        <v>#N/A</v>
      </c>
      <c r="BT116" s="17" t="e">
        <f t="shared" ca="1" si="33"/>
        <v>#N/A</v>
      </c>
      <c r="BU116" s="17" t="e">
        <f t="shared" ca="1" si="33"/>
        <v>#N/A</v>
      </c>
      <c r="BV116" s="17" t="e">
        <f t="shared" ca="1" si="33"/>
        <v>#N/A</v>
      </c>
    </row>
    <row r="117" spans="2:74" x14ac:dyDescent="0.25">
      <c r="B117">
        <f t="shared" si="11"/>
        <v>12</v>
      </c>
      <c r="C117" t="str">
        <f t="shared" ca="1" si="11"/>
        <v>Sweden</v>
      </c>
      <c r="D117" s="1">
        <f t="shared" ca="1" si="11"/>
        <v>10099265</v>
      </c>
      <c r="E117" s="17">
        <f t="shared" ref="E117:BP117" ca="1" si="34">E54/$D117*100000</f>
        <v>0.93076080289011143</v>
      </c>
      <c r="F117" s="17">
        <f t="shared" ca="1" si="34"/>
        <v>1.0000727775734175</v>
      </c>
      <c r="G117" s="17">
        <f t="shared" ca="1" si="34"/>
        <v>1.5941754177160419</v>
      </c>
      <c r="H117" s="17">
        <f t="shared" ca="1" si="34"/>
        <v>2.0100472658158788</v>
      </c>
      <c r="I117" s="17">
        <f t="shared" ca="1" si="34"/>
        <v>2.4556242459228468</v>
      </c>
      <c r="J117" s="17">
        <f t="shared" ca="1" si="34"/>
        <v>3.5151072875105265</v>
      </c>
      <c r="K117" s="17">
        <f t="shared" ca="1" si="34"/>
        <v>4.9508553345218687</v>
      </c>
      <c r="L117" s="17">
        <f t="shared" ca="1" si="34"/>
        <v>5.9311246907571986</v>
      </c>
      <c r="M117" s="17">
        <f t="shared" ca="1" si="34"/>
        <v>8.0599924846016027</v>
      </c>
      <c r="N117" s="17">
        <f t="shared" ca="1" si="34"/>
        <v>9.5155439529510311</v>
      </c>
      <c r="O117" s="17">
        <f t="shared" ca="1" si="34"/>
        <v>10.1195483037627</v>
      </c>
      <c r="P117" s="17">
        <f t="shared" ca="1" si="34"/>
        <v>10.921586867955241</v>
      </c>
      <c r="Q117" s="17">
        <f t="shared" ca="1" si="34"/>
        <v>11.783035696162047</v>
      </c>
      <c r="R117" s="17">
        <f t="shared" ca="1" si="34"/>
        <v>12.66428794570694</v>
      </c>
      <c r="S117" s="17">
        <f t="shared" ca="1" si="34"/>
        <v>14.248561652753938</v>
      </c>
      <c r="T117" s="17">
        <f t="shared" ca="1" si="34"/>
        <v>16.228903786562686</v>
      </c>
      <c r="U117" s="17">
        <f t="shared" ca="1" si="34"/>
        <v>17.45671590952411</v>
      </c>
      <c r="V117" s="17">
        <f t="shared" ca="1" si="34"/>
        <v>19.149908433930587</v>
      </c>
      <c r="W117" s="17">
        <f t="shared" ca="1" si="34"/>
        <v>20.258900028863486</v>
      </c>
      <c r="X117" s="17">
        <f t="shared" ca="1" si="34"/>
        <v>22.635310589433985</v>
      </c>
      <c r="Y117" s="17">
        <f t="shared" ca="1" si="34"/>
        <v>25.01172115000448</v>
      </c>
      <c r="Z117" s="17">
        <f t="shared" ca="1" si="34"/>
        <v>28.120858300084212</v>
      </c>
      <c r="AA117" s="17">
        <f t="shared" ca="1" si="34"/>
        <v>30.38835004329523</v>
      </c>
      <c r="AB117" s="17">
        <f t="shared" ca="1" si="34"/>
        <v>34.13119667619376</v>
      </c>
      <c r="AC117" s="17">
        <f t="shared" ca="1" si="34"/>
        <v>36.636329475461828</v>
      </c>
      <c r="AD117" s="17">
        <f t="shared" ca="1" si="34"/>
        <v>39.884090574908171</v>
      </c>
      <c r="AE117" s="17" t="e">
        <f t="shared" ca="1" si="34"/>
        <v>#N/A</v>
      </c>
      <c r="AF117" s="17" t="e">
        <f t="shared" ca="1" si="34"/>
        <v>#N/A</v>
      </c>
      <c r="AG117" s="17" t="e">
        <f t="shared" ca="1" si="34"/>
        <v>#N/A</v>
      </c>
      <c r="AH117" s="17" t="e">
        <f t="shared" ca="1" si="34"/>
        <v>#N/A</v>
      </c>
      <c r="AI117" s="17" t="e">
        <f t="shared" ca="1" si="34"/>
        <v>#N/A</v>
      </c>
      <c r="AJ117" s="17" t="e">
        <f t="shared" ca="1" si="34"/>
        <v>#N/A</v>
      </c>
      <c r="AK117" s="17" t="e">
        <f t="shared" ca="1" si="34"/>
        <v>#N/A</v>
      </c>
      <c r="AL117" s="17" t="e">
        <f t="shared" ca="1" si="34"/>
        <v>#N/A</v>
      </c>
      <c r="AM117" s="17" t="e">
        <f t="shared" ca="1" si="34"/>
        <v>#N/A</v>
      </c>
      <c r="AN117" s="17" t="e">
        <f t="shared" ca="1" si="34"/>
        <v>#N/A</v>
      </c>
      <c r="AO117" s="17" t="e">
        <f t="shared" ca="1" si="34"/>
        <v>#N/A</v>
      </c>
      <c r="AP117" s="17" t="e">
        <f t="shared" ca="1" si="34"/>
        <v>#N/A</v>
      </c>
      <c r="AQ117" s="17" t="e">
        <f t="shared" ca="1" si="34"/>
        <v>#N/A</v>
      </c>
      <c r="AR117" s="17" t="e">
        <f t="shared" ca="1" si="34"/>
        <v>#N/A</v>
      </c>
      <c r="AS117" s="17" t="e">
        <f t="shared" ca="1" si="34"/>
        <v>#N/A</v>
      </c>
      <c r="AT117" s="17" t="e">
        <f t="shared" ca="1" si="34"/>
        <v>#N/A</v>
      </c>
      <c r="AU117" s="17" t="e">
        <f t="shared" ca="1" si="34"/>
        <v>#N/A</v>
      </c>
      <c r="AV117" s="17" t="e">
        <f t="shared" ca="1" si="34"/>
        <v>#N/A</v>
      </c>
      <c r="AW117" s="17" t="e">
        <f t="shared" ca="1" si="34"/>
        <v>#N/A</v>
      </c>
      <c r="AX117" s="17" t="e">
        <f t="shared" ca="1" si="34"/>
        <v>#N/A</v>
      </c>
      <c r="AY117" s="17" t="e">
        <f t="shared" ca="1" si="34"/>
        <v>#N/A</v>
      </c>
      <c r="AZ117" s="17" t="e">
        <f t="shared" ca="1" si="34"/>
        <v>#N/A</v>
      </c>
      <c r="BA117" s="17" t="e">
        <f t="shared" ca="1" si="34"/>
        <v>#N/A</v>
      </c>
      <c r="BB117" s="17" t="e">
        <f t="shared" ca="1" si="34"/>
        <v>#N/A</v>
      </c>
      <c r="BC117" s="17" t="e">
        <f t="shared" ca="1" si="34"/>
        <v>#N/A</v>
      </c>
      <c r="BD117" s="17" t="e">
        <f t="shared" ca="1" si="34"/>
        <v>#N/A</v>
      </c>
      <c r="BE117" s="17" t="e">
        <f t="shared" ca="1" si="34"/>
        <v>#N/A</v>
      </c>
      <c r="BF117" s="17" t="e">
        <f t="shared" ca="1" si="34"/>
        <v>#N/A</v>
      </c>
      <c r="BG117" s="17" t="e">
        <f t="shared" ca="1" si="34"/>
        <v>#N/A</v>
      </c>
      <c r="BH117" s="17" t="e">
        <f t="shared" ca="1" si="34"/>
        <v>#N/A</v>
      </c>
      <c r="BI117" s="17" t="e">
        <f t="shared" ca="1" si="34"/>
        <v>#N/A</v>
      </c>
      <c r="BJ117" s="17" t="e">
        <f t="shared" ca="1" si="34"/>
        <v>#N/A</v>
      </c>
      <c r="BK117" s="17" t="e">
        <f t="shared" ca="1" si="34"/>
        <v>#N/A</v>
      </c>
      <c r="BL117" s="17" t="e">
        <f t="shared" ca="1" si="34"/>
        <v>#N/A</v>
      </c>
      <c r="BM117" s="17" t="e">
        <f t="shared" ca="1" si="34"/>
        <v>#N/A</v>
      </c>
      <c r="BN117" s="17" t="e">
        <f t="shared" ca="1" si="34"/>
        <v>#N/A</v>
      </c>
      <c r="BO117" s="17" t="e">
        <f t="shared" ca="1" si="34"/>
        <v>#N/A</v>
      </c>
      <c r="BP117" s="17" t="e">
        <f t="shared" ca="1" si="34"/>
        <v>#N/A</v>
      </c>
      <c r="BQ117" s="17" t="e">
        <f t="shared" ref="BQ117:BV117" ca="1" si="35">BQ54/$D117*100000</f>
        <v>#N/A</v>
      </c>
      <c r="BR117" s="17" t="e">
        <f t="shared" ca="1" si="35"/>
        <v>#N/A</v>
      </c>
      <c r="BS117" s="17" t="e">
        <f t="shared" ca="1" si="35"/>
        <v>#N/A</v>
      </c>
      <c r="BT117" s="17" t="e">
        <f t="shared" ca="1" si="35"/>
        <v>#N/A</v>
      </c>
      <c r="BU117" s="17" t="e">
        <f t="shared" ca="1" si="35"/>
        <v>#N/A</v>
      </c>
      <c r="BV117" s="17" t="e">
        <f t="shared" ca="1" si="35"/>
        <v>#N/A</v>
      </c>
    </row>
    <row r="118" spans="2:74" x14ac:dyDescent="0.25">
      <c r="B118">
        <f t="shared" si="11"/>
        <v>13</v>
      </c>
      <c r="C118" t="str">
        <f t="shared" ca="1" si="11"/>
        <v>Switzerland</v>
      </c>
      <c r="D118" s="1">
        <f t="shared" ca="1" si="11"/>
        <v>8654622</v>
      </c>
      <c r="E118" s="17">
        <f t="shared" ref="E118:BP118" ca="1" si="36">E55/$D118*100000</f>
        <v>0.64705310064379473</v>
      </c>
      <c r="F118" s="17">
        <f t="shared" ca="1" si="36"/>
        <v>1.0399067688918131</v>
      </c>
      <c r="G118" s="17">
        <f t="shared" ca="1" si="36"/>
        <v>1.3172152405962965</v>
      </c>
      <c r="H118" s="17">
        <f t="shared" ca="1" si="36"/>
        <v>2.4726672060316441</v>
      </c>
      <c r="I118" s="17">
        <f t="shared" ca="1" si="36"/>
        <v>3.0966112673667321</v>
      </c>
      <c r="J118" s="17">
        <f t="shared" ca="1" si="36"/>
        <v>3.8938731235171216</v>
      </c>
      <c r="K118" s="17">
        <f t="shared" ca="1" si="36"/>
        <v>4.3213903507282003</v>
      </c>
      <c r="L118" s="17">
        <f t="shared" ca="1" si="36"/>
        <v>5.6732691502875578</v>
      </c>
      <c r="M118" s="17">
        <f t="shared" ca="1" si="36"/>
        <v>7.5335468146384681</v>
      </c>
      <c r="N118" s="17">
        <f t="shared" ca="1" si="36"/>
        <v>7.5335468146384681</v>
      </c>
      <c r="O118" s="17">
        <f t="shared" ca="1" si="36"/>
        <v>13.16059788630861</v>
      </c>
      <c r="P118" s="17">
        <f t="shared" ca="1" si="36"/>
        <v>15.702592210266376</v>
      </c>
      <c r="Q118" s="17">
        <f t="shared" ca="1" si="36"/>
        <v>25.419943239577652</v>
      </c>
      <c r="R118" s="17">
        <f t="shared" ca="1" si="36"/>
        <v>25.419943239577652</v>
      </c>
      <c r="S118" s="17">
        <f t="shared" ca="1" si="36"/>
        <v>31.19720306675439</v>
      </c>
      <c r="T118" s="17">
        <f t="shared" ca="1" si="36"/>
        <v>34.987085513382333</v>
      </c>
      <c r="U118" s="17">
        <f t="shared" ca="1" si="36"/>
        <v>47.084667591490422</v>
      </c>
      <c r="V118" s="17">
        <f t="shared" ca="1" si="36"/>
        <v>61.169627050147312</v>
      </c>
      <c r="W118" s="17">
        <f t="shared" ca="1" si="36"/>
        <v>75.970966727374119</v>
      </c>
      <c r="X118" s="17">
        <f t="shared" ca="1" si="36"/>
        <v>86.358479896637888</v>
      </c>
      <c r="Y118" s="17">
        <f t="shared" ca="1" si="36"/>
        <v>101.62200036003884</v>
      </c>
      <c r="Z118" s="17">
        <f t="shared" ca="1" si="36"/>
        <v>114.12399062604929</v>
      </c>
      <c r="AA118" s="17">
        <f t="shared" ca="1" si="36"/>
        <v>125.90960067348983</v>
      </c>
      <c r="AB118" s="17">
        <f t="shared" ca="1" si="36"/>
        <v>136.47043163756891</v>
      </c>
      <c r="AC118" s="17">
        <f t="shared" ca="1" si="36"/>
        <v>149.37683009148176</v>
      </c>
      <c r="AD118" s="17">
        <f t="shared" ca="1" si="36"/>
        <v>162.64141865467954</v>
      </c>
      <c r="AE118" s="17">
        <f t="shared" ca="1" si="36"/>
        <v>171.34197195440771</v>
      </c>
      <c r="AF118" s="17">
        <f t="shared" ca="1" si="36"/>
        <v>183.97106193661605</v>
      </c>
      <c r="AG118" s="17" t="e">
        <f t="shared" ca="1" si="36"/>
        <v>#N/A</v>
      </c>
      <c r="AH118" s="17" t="e">
        <f t="shared" ca="1" si="36"/>
        <v>#N/A</v>
      </c>
      <c r="AI118" s="17" t="e">
        <f t="shared" ca="1" si="36"/>
        <v>#N/A</v>
      </c>
      <c r="AJ118" s="17" t="e">
        <f t="shared" ca="1" si="36"/>
        <v>#N/A</v>
      </c>
      <c r="AK118" s="17" t="e">
        <f t="shared" ca="1" si="36"/>
        <v>#N/A</v>
      </c>
      <c r="AL118" s="17" t="e">
        <f t="shared" ca="1" si="36"/>
        <v>#N/A</v>
      </c>
      <c r="AM118" s="17" t="e">
        <f t="shared" ca="1" si="36"/>
        <v>#N/A</v>
      </c>
      <c r="AN118" s="17" t="e">
        <f t="shared" ca="1" si="36"/>
        <v>#N/A</v>
      </c>
      <c r="AO118" s="17" t="e">
        <f t="shared" ca="1" si="36"/>
        <v>#N/A</v>
      </c>
      <c r="AP118" s="17" t="e">
        <f t="shared" ca="1" si="36"/>
        <v>#N/A</v>
      </c>
      <c r="AQ118" s="17" t="e">
        <f t="shared" ca="1" si="36"/>
        <v>#N/A</v>
      </c>
      <c r="AR118" s="17" t="e">
        <f t="shared" ca="1" si="36"/>
        <v>#N/A</v>
      </c>
      <c r="AS118" s="17" t="e">
        <f t="shared" ca="1" si="36"/>
        <v>#N/A</v>
      </c>
      <c r="AT118" s="17" t="e">
        <f t="shared" ca="1" si="36"/>
        <v>#N/A</v>
      </c>
      <c r="AU118" s="17" t="e">
        <f t="shared" ca="1" si="36"/>
        <v>#N/A</v>
      </c>
      <c r="AV118" s="17" t="e">
        <f t="shared" ca="1" si="36"/>
        <v>#N/A</v>
      </c>
      <c r="AW118" s="17" t="e">
        <f t="shared" ca="1" si="36"/>
        <v>#N/A</v>
      </c>
      <c r="AX118" s="17" t="e">
        <f t="shared" ca="1" si="36"/>
        <v>#N/A</v>
      </c>
      <c r="AY118" s="17" t="e">
        <f t="shared" ca="1" si="36"/>
        <v>#N/A</v>
      </c>
      <c r="AZ118" s="17" t="e">
        <f t="shared" ca="1" si="36"/>
        <v>#N/A</v>
      </c>
      <c r="BA118" s="17" t="e">
        <f t="shared" ca="1" si="36"/>
        <v>#N/A</v>
      </c>
      <c r="BB118" s="17" t="e">
        <f t="shared" ca="1" si="36"/>
        <v>#N/A</v>
      </c>
      <c r="BC118" s="17" t="e">
        <f t="shared" ca="1" si="36"/>
        <v>#N/A</v>
      </c>
      <c r="BD118" s="17" t="e">
        <f t="shared" ca="1" si="36"/>
        <v>#N/A</v>
      </c>
      <c r="BE118" s="17" t="e">
        <f t="shared" ca="1" si="36"/>
        <v>#N/A</v>
      </c>
      <c r="BF118" s="17" t="e">
        <f t="shared" ca="1" si="36"/>
        <v>#N/A</v>
      </c>
      <c r="BG118" s="17" t="e">
        <f t="shared" ca="1" si="36"/>
        <v>#N/A</v>
      </c>
      <c r="BH118" s="17" t="e">
        <f t="shared" ca="1" si="36"/>
        <v>#N/A</v>
      </c>
      <c r="BI118" s="17" t="e">
        <f t="shared" ca="1" si="36"/>
        <v>#N/A</v>
      </c>
      <c r="BJ118" s="17" t="e">
        <f t="shared" ca="1" si="36"/>
        <v>#N/A</v>
      </c>
      <c r="BK118" s="17" t="e">
        <f t="shared" ca="1" si="36"/>
        <v>#N/A</v>
      </c>
      <c r="BL118" s="17" t="e">
        <f t="shared" ca="1" si="36"/>
        <v>#N/A</v>
      </c>
      <c r="BM118" s="17" t="e">
        <f t="shared" ca="1" si="36"/>
        <v>#N/A</v>
      </c>
      <c r="BN118" s="17" t="e">
        <f t="shared" ca="1" si="36"/>
        <v>#N/A</v>
      </c>
      <c r="BO118" s="17" t="e">
        <f t="shared" ca="1" si="36"/>
        <v>#N/A</v>
      </c>
      <c r="BP118" s="17" t="e">
        <f t="shared" ca="1" si="36"/>
        <v>#N/A</v>
      </c>
      <c r="BQ118" s="17" t="e">
        <f t="shared" ref="BQ118:BV118" ca="1" si="37">BQ55/$D118*100000</f>
        <v>#N/A</v>
      </c>
      <c r="BR118" s="17" t="e">
        <f t="shared" ca="1" si="37"/>
        <v>#N/A</v>
      </c>
      <c r="BS118" s="17" t="e">
        <f t="shared" ca="1" si="37"/>
        <v>#N/A</v>
      </c>
      <c r="BT118" s="17" t="e">
        <f t="shared" ca="1" si="37"/>
        <v>#N/A</v>
      </c>
      <c r="BU118" s="17" t="e">
        <f t="shared" ca="1" si="37"/>
        <v>#N/A</v>
      </c>
      <c r="BV118" s="17" t="e">
        <f t="shared" ca="1" si="37"/>
        <v>#N/A</v>
      </c>
    </row>
    <row r="119" spans="2:74" x14ac:dyDescent="0.25">
      <c r="B119">
        <f t="shared" si="11"/>
        <v>14</v>
      </c>
      <c r="C119" t="str">
        <f t="shared" ca="1" si="11"/>
        <v>US</v>
      </c>
      <c r="D119" s="1">
        <f t="shared" ca="1" si="11"/>
        <v>331002651</v>
      </c>
      <c r="E119" s="17">
        <f t="shared" ref="E119:BP119" ca="1" si="38">E56/$D119*100000</f>
        <v>1.5407731583394479E-2</v>
      </c>
      <c r="F119" s="17">
        <f t="shared" ca="1" si="38"/>
        <v>1.5407731583394479E-2</v>
      </c>
      <c r="G119" s="17">
        <f t="shared" ca="1" si="38"/>
        <v>1.722040588732324E-2</v>
      </c>
      <c r="H119" s="17">
        <f t="shared" ca="1" si="38"/>
        <v>1.752251827131137E-2</v>
      </c>
      <c r="I119" s="17">
        <f t="shared" ca="1" si="38"/>
        <v>1.8126743039287622E-2</v>
      </c>
      <c r="J119" s="17">
        <f t="shared" ca="1" si="38"/>
        <v>2.0543642111192639E-2</v>
      </c>
      <c r="K119" s="17">
        <f t="shared" ca="1" si="38"/>
        <v>2.23563164151214E-2</v>
      </c>
      <c r="L119" s="17">
        <f t="shared" ca="1" si="38"/>
        <v>2.9607013630836451E-2</v>
      </c>
      <c r="M119" s="17">
        <f t="shared" ca="1" si="38"/>
        <v>3.5649261310598993E-2</v>
      </c>
      <c r="N119" s="17">
        <f t="shared" ca="1" si="38"/>
        <v>4.5014745214230927E-2</v>
      </c>
      <c r="O119" s="17">
        <f t="shared" ca="1" si="38"/>
        <v>6.5558387325423559E-2</v>
      </c>
      <c r="P119" s="17">
        <f t="shared" ca="1" si="38"/>
        <v>7.9153444604889281E-2</v>
      </c>
      <c r="Q119" s="17">
        <f t="shared" ca="1" si="38"/>
        <v>0.12144917836322706</v>
      </c>
      <c r="R119" s="17">
        <f t="shared" ca="1" si="38"/>
        <v>0.1564942149058498</v>
      </c>
      <c r="S119" s="17">
        <f t="shared" ca="1" si="38"/>
        <v>0.17613151986507805</v>
      </c>
      <c r="T119" s="17">
        <f t="shared" ca="1" si="38"/>
        <v>0.28972577624461382</v>
      </c>
      <c r="U119" s="17">
        <f t="shared" ca="1" si="38"/>
        <v>0.38700596388879072</v>
      </c>
      <c r="V119" s="17">
        <f t="shared" ca="1" si="38"/>
        <v>0.50241289457225524</v>
      </c>
      <c r="W119" s="17">
        <f t="shared" ca="1" si="38"/>
        <v>0.65830288471012877</v>
      </c>
      <c r="X119" s="17">
        <f t="shared" ca="1" si="38"/>
        <v>0.82386047113562244</v>
      </c>
      <c r="Y119" s="17">
        <f t="shared" ca="1" si="38"/>
        <v>1.0570912315744565</v>
      </c>
      <c r="Z119" s="17">
        <f t="shared" ca="1" si="38"/>
        <v>1.3993845626330044</v>
      </c>
      <c r="AA119" s="17">
        <f t="shared" ca="1" si="38"/>
        <v>1.9398636175877635</v>
      </c>
      <c r="AB119" s="17">
        <f t="shared" ca="1" si="38"/>
        <v>2.3513406845795926</v>
      </c>
      <c r="AC119" s="17">
        <f t="shared" ca="1" si="38"/>
        <v>4.1319910758056135</v>
      </c>
      <c r="AD119" s="17">
        <f t="shared" ca="1" si="38"/>
        <v>5.7703465341732265</v>
      </c>
      <c r="AE119" s="17">
        <f t="shared" ca="1" si="38"/>
        <v>7.70054255547337</v>
      </c>
      <c r="AF119" s="17">
        <f t="shared" ca="1" si="38"/>
        <v>10.053091689588916</v>
      </c>
      <c r="AG119" s="17">
        <f t="shared" ca="1" si="38"/>
        <v>13.246721700727406</v>
      </c>
      <c r="AH119" s="17">
        <f t="shared" ca="1" si="38"/>
        <v>16.235519515521947</v>
      </c>
      <c r="AI119" s="17">
        <f t="shared" ca="1" si="38"/>
        <v>19.87234839397102</v>
      </c>
      <c r="AJ119" s="17">
        <f t="shared" ca="1" si="38"/>
        <v>25.327893824028621</v>
      </c>
      <c r="AK119" s="17">
        <f t="shared" ca="1" si="38"/>
        <v>30.711838619081028</v>
      </c>
      <c r="AL119" s="17">
        <f t="shared" ca="1" si="38"/>
        <v>36.700008182109698</v>
      </c>
      <c r="AM119" s="17">
        <f t="shared" ca="1" si="38"/>
        <v>42.563405330551262</v>
      </c>
      <c r="AN119" s="17">
        <f t="shared" ca="1" si="38"/>
        <v>48.88389851596687</v>
      </c>
      <c r="AO119" s="17" t="e">
        <f t="shared" ca="1" si="38"/>
        <v>#N/A</v>
      </c>
      <c r="AP119" s="17" t="e">
        <f t="shared" ca="1" si="38"/>
        <v>#N/A</v>
      </c>
      <c r="AQ119" s="17" t="e">
        <f t="shared" ca="1" si="38"/>
        <v>#N/A</v>
      </c>
      <c r="AR119" s="17" t="e">
        <f t="shared" ca="1" si="38"/>
        <v>#N/A</v>
      </c>
      <c r="AS119" s="17" t="e">
        <f t="shared" ca="1" si="38"/>
        <v>#N/A</v>
      </c>
      <c r="AT119" s="17" t="e">
        <f t="shared" ca="1" si="38"/>
        <v>#N/A</v>
      </c>
      <c r="AU119" s="17" t="e">
        <f t="shared" ca="1" si="38"/>
        <v>#N/A</v>
      </c>
      <c r="AV119" s="17" t="e">
        <f t="shared" ca="1" si="38"/>
        <v>#N/A</v>
      </c>
      <c r="AW119" s="17" t="e">
        <f t="shared" ca="1" si="38"/>
        <v>#N/A</v>
      </c>
      <c r="AX119" s="17" t="e">
        <f t="shared" ca="1" si="38"/>
        <v>#N/A</v>
      </c>
      <c r="AY119" s="17" t="e">
        <f t="shared" ca="1" si="38"/>
        <v>#N/A</v>
      </c>
      <c r="AZ119" s="17" t="e">
        <f t="shared" ca="1" si="38"/>
        <v>#N/A</v>
      </c>
      <c r="BA119" s="17" t="e">
        <f t="shared" ca="1" si="38"/>
        <v>#N/A</v>
      </c>
      <c r="BB119" s="17" t="e">
        <f t="shared" ca="1" si="38"/>
        <v>#N/A</v>
      </c>
      <c r="BC119" s="17" t="e">
        <f t="shared" ca="1" si="38"/>
        <v>#N/A</v>
      </c>
      <c r="BD119" s="17" t="e">
        <f t="shared" ca="1" si="38"/>
        <v>#N/A</v>
      </c>
      <c r="BE119" s="17" t="e">
        <f t="shared" ca="1" si="38"/>
        <v>#N/A</v>
      </c>
      <c r="BF119" s="17" t="e">
        <f t="shared" ca="1" si="38"/>
        <v>#N/A</v>
      </c>
      <c r="BG119" s="17" t="e">
        <f t="shared" ca="1" si="38"/>
        <v>#N/A</v>
      </c>
      <c r="BH119" s="17" t="e">
        <f t="shared" ca="1" si="38"/>
        <v>#N/A</v>
      </c>
      <c r="BI119" s="17" t="e">
        <f t="shared" ca="1" si="38"/>
        <v>#N/A</v>
      </c>
      <c r="BJ119" s="17" t="e">
        <f t="shared" ca="1" si="38"/>
        <v>#N/A</v>
      </c>
      <c r="BK119" s="17" t="e">
        <f t="shared" ca="1" si="38"/>
        <v>#N/A</v>
      </c>
      <c r="BL119" s="17" t="e">
        <f t="shared" ca="1" si="38"/>
        <v>#N/A</v>
      </c>
      <c r="BM119" s="17" t="e">
        <f t="shared" ca="1" si="38"/>
        <v>#N/A</v>
      </c>
      <c r="BN119" s="17" t="e">
        <f t="shared" ca="1" si="38"/>
        <v>#N/A</v>
      </c>
      <c r="BO119" s="17" t="e">
        <f t="shared" ca="1" si="38"/>
        <v>#N/A</v>
      </c>
      <c r="BP119" s="17" t="e">
        <f t="shared" ca="1" si="38"/>
        <v>#N/A</v>
      </c>
      <c r="BQ119" s="17" t="e">
        <f t="shared" ref="BQ119:BV119" ca="1" si="39">BQ56/$D119*100000</f>
        <v>#N/A</v>
      </c>
      <c r="BR119" s="17" t="e">
        <f t="shared" ca="1" si="39"/>
        <v>#N/A</v>
      </c>
      <c r="BS119" s="17" t="e">
        <f t="shared" ca="1" si="39"/>
        <v>#N/A</v>
      </c>
      <c r="BT119" s="17" t="e">
        <f t="shared" ca="1" si="39"/>
        <v>#N/A</v>
      </c>
      <c r="BU119" s="17" t="e">
        <f t="shared" ca="1" si="39"/>
        <v>#N/A</v>
      </c>
      <c r="BV119" s="17" t="e">
        <f t="shared" ca="1" si="39"/>
        <v>#N/A</v>
      </c>
    </row>
    <row r="120" spans="2:74" x14ac:dyDescent="0.25">
      <c r="B120">
        <f t="shared" si="11"/>
        <v>15</v>
      </c>
      <c r="C120" t="str">
        <f t="shared" ca="1" si="11"/>
        <v>United Kingdom</v>
      </c>
      <c r="D120" s="1">
        <f t="shared" ca="1" si="11"/>
        <v>67886011</v>
      </c>
      <c r="E120" s="17">
        <f t="shared" ref="E120:BP120" ca="1" si="40">E57/$D120*100000</f>
        <v>7.512593426648681E-2</v>
      </c>
      <c r="F120" s="17">
        <f t="shared" ca="1" si="40"/>
        <v>0.12520989044414468</v>
      </c>
      <c r="G120" s="17">
        <f t="shared" ca="1" si="40"/>
        <v>0.16940161648325455</v>
      </c>
      <c r="H120" s="17">
        <f t="shared" ca="1" si="40"/>
        <v>0.24010837814583039</v>
      </c>
      <c r="I120" s="17">
        <f t="shared" ca="1" si="40"/>
        <v>0.30344985213522119</v>
      </c>
      <c r="J120" s="17">
        <f t="shared" ca="1" si="40"/>
        <v>0.40214470695589993</v>
      </c>
      <c r="K120" s="17">
        <f t="shared" ca="1" si="40"/>
        <v>0.47285146861847571</v>
      </c>
      <c r="L120" s="17">
        <f t="shared" ca="1" si="40"/>
        <v>0.56270797823133256</v>
      </c>
      <c r="M120" s="17">
        <f t="shared" ca="1" si="40"/>
        <v>0.6717142357944702</v>
      </c>
      <c r="N120" s="17">
        <f t="shared" ca="1" si="40"/>
        <v>0.6717142357944702</v>
      </c>
      <c r="O120" s="17">
        <f t="shared" ca="1" si="40"/>
        <v>1.1754999126403229</v>
      </c>
      <c r="P120" s="17">
        <f t="shared" ca="1" si="40"/>
        <v>1.6792855894861758</v>
      </c>
      <c r="Q120" s="17">
        <f t="shared" ca="1" si="40"/>
        <v>1.6792855894861758</v>
      </c>
      <c r="R120" s="17">
        <f t="shared" ca="1" si="40"/>
        <v>2.2729277759448849</v>
      </c>
      <c r="S120" s="17">
        <f t="shared" ca="1" si="40"/>
        <v>2.8724621925421423</v>
      </c>
      <c r="T120" s="17">
        <f t="shared" ca="1" si="40"/>
        <v>3.8682490859567515</v>
      </c>
      <c r="U120" s="17">
        <f t="shared" ca="1" si="40"/>
        <v>3.9610517106388823</v>
      </c>
      <c r="V120" s="17">
        <f t="shared" ca="1" si="40"/>
        <v>5.8671881604591558</v>
      </c>
      <c r="W120" s="17">
        <f t="shared" ca="1" si="40"/>
        <v>7.3918027088084468</v>
      </c>
      <c r="X120" s="17">
        <f t="shared" ca="1" si="40"/>
        <v>8.3713859693420485</v>
      </c>
      <c r="Y120" s="17">
        <f t="shared" ca="1" si="40"/>
        <v>9.7958326053360238</v>
      </c>
      <c r="Z120" s="17">
        <f t="shared" ca="1" si="40"/>
        <v>11.897885707263018</v>
      </c>
      <c r="AA120" s="17">
        <f t="shared" ca="1" si="40"/>
        <v>14.036765247555936</v>
      </c>
      <c r="AB120" s="17">
        <f t="shared" ca="1" si="40"/>
        <v>17.172904738798103</v>
      </c>
      <c r="AC120" s="17">
        <f t="shared" ca="1" si="40"/>
        <v>21.422675726225837</v>
      </c>
      <c r="AD120" s="17">
        <f t="shared" ca="1" si="40"/>
        <v>25.173080209411626</v>
      </c>
      <c r="AE120" s="17">
        <f t="shared" ca="1" si="40"/>
        <v>28.757029191183438</v>
      </c>
      <c r="AF120" s="17">
        <f t="shared" ca="1" si="40"/>
        <v>32.61496687439773</v>
      </c>
      <c r="AG120" s="17" t="e">
        <f t="shared" ca="1" si="40"/>
        <v>#N/A</v>
      </c>
      <c r="AH120" s="17" t="e">
        <f t="shared" ca="1" si="40"/>
        <v>#N/A</v>
      </c>
      <c r="AI120" s="17" t="e">
        <f t="shared" ca="1" si="40"/>
        <v>#N/A</v>
      </c>
      <c r="AJ120" s="17" t="e">
        <f t="shared" ca="1" si="40"/>
        <v>#N/A</v>
      </c>
      <c r="AK120" s="17" t="e">
        <f t="shared" ca="1" si="40"/>
        <v>#N/A</v>
      </c>
      <c r="AL120" s="17" t="e">
        <f t="shared" ca="1" si="40"/>
        <v>#N/A</v>
      </c>
      <c r="AM120" s="17" t="e">
        <f t="shared" ca="1" si="40"/>
        <v>#N/A</v>
      </c>
      <c r="AN120" s="17" t="e">
        <f t="shared" ca="1" si="40"/>
        <v>#N/A</v>
      </c>
      <c r="AO120" s="17" t="e">
        <f t="shared" ca="1" si="40"/>
        <v>#N/A</v>
      </c>
      <c r="AP120" s="17" t="e">
        <f t="shared" ca="1" si="40"/>
        <v>#N/A</v>
      </c>
      <c r="AQ120" s="17" t="e">
        <f t="shared" ca="1" si="40"/>
        <v>#N/A</v>
      </c>
      <c r="AR120" s="17" t="e">
        <f t="shared" ca="1" si="40"/>
        <v>#N/A</v>
      </c>
      <c r="AS120" s="17" t="e">
        <f t="shared" ca="1" si="40"/>
        <v>#N/A</v>
      </c>
      <c r="AT120" s="17" t="e">
        <f t="shared" ca="1" si="40"/>
        <v>#N/A</v>
      </c>
      <c r="AU120" s="17" t="e">
        <f t="shared" ca="1" si="40"/>
        <v>#N/A</v>
      </c>
      <c r="AV120" s="17" t="e">
        <f t="shared" ca="1" si="40"/>
        <v>#N/A</v>
      </c>
      <c r="AW120" s="17" t="e">
        <f t="shared" ca="1" si="40"/>
        <v>#N/A</v>
      </c>
      <c r="AX120" s="17" t="e">
        <f t="shared" ca="1" si="40"/>
        <v>#N/A</v>
      </c>
      <c r="AY120" s="17" t="e">
        <f t="shared" ca="1" si="40"/>
        <v>#N/A</v>
      </c>
      <c r="AZ120" s="17" t="e">
        <f t="shared" ca="1" si="40"/>
        <v>#N/A</v>
      </c>
      <c r="BA120" s="17" t="e">
        <f t="shared" ca="1" si="40"/>
        <v>#N/A</v>
      </c>
      <c r="BB120" s="17" t="e">
        <f t="shared" ca="1" si="40"/>
        <v>#N/A</v>
      </c>
      <c r="BC120" s="17" t="e">
        <f t="shared" ca="1" si="40"/>
        <v>#N/A</v>
      </c>
      <c r="BD120" s="17" t="e">
        <f t="shared" ca="1" si="40"/>
        <v>#N/A</v>
      </c>
      <c r="BE120" s="17" t="e">
        <f t="shared" ca="1" si="40"/>
        <v>#N/A</v>
      </c>
      <c r="BF120" s="17" t="e">
        <f t="shared" ca="1" si="40"/>
        <v>#N/A</v>
      </c>
      <c r="BG120" s="17" t="e">
        <f t="shared" ca="1" si="40"/>
        <v>#N/A</v>
      </c>
      <c r="BH120" s="17" t="e">
        <f t="shared" ca="1" si="40"/>
        <v>#N/A</v>
      </c>
      <c r="BI120" s="17" t="e">
        <f t="shared" ca="1" si="40"/>
        <v>#N/A</v>
      </c>
      <c r="BJ120" s="17" t="e">
        <f t="shared" ca="1" si="40"/>
        <v>#N/A</v>
      </c>
      <c r="BK120" s="17" t="e">
        <f t="shared" ca="1" si="40"/>
        <v>#N/A</v>
      </c>
      <c r="BL120" s="17" t="e">
        <f t="shared" ca="1" si="40"/>
        <v>#N/A</v>
      </c>
      <c r="BM120" s="17" t="e">
        <f t="shared" ca="1" si="40"/>
        <v>#N/A</v>
      </c>
      <c r="BN120" s="17" t="e">
        <f t="shared" ca="1" si="40"/>
        <v>#N/A</v>
      </c>
      <c r="BO120" s="17" t="e">
        <f t="shared" ca="1" si="40"/>
        <v>#N/A</v>
      </c>
      <c r="BP120" s="17" t="e">
        <f t="shared" ca="1" si="40"/>
        <v>#N/A</v>
      </c>
      <c r="BQ120" s="17" t="e">
        <f t="shared" ref="BQ120:BV120" ca="1" si="41">BQ57/$D120*100000</f>
        <v>#N/A</v>
      </c>
      <c r="BR120" s="17" t="e">
        <f t="shared" ca="1" si="41"/>
        <v>#N/A</v>
      </c>
      <c r="BS120" s="17" t="e">
        <f t="shared" ca="1" si="41"/>
        <v>#N/A</v>
      </c>
      <c r="BT120" s="17" t="e">
        <f t="shared" ca="1" si="41"/>
        <v>#N/A</v>
      </c>
      <c r="BU120" s="17" t="e">
        <f t="shared" ca="1" si="41"/>
        <v>#N/A</v>
      </c>
      <c r="BV120" s="17" t="e">
        <f t="shared" ca="1" si="41"/>
        <v>#N/A</v>
      </c>
    </row>
    <row r="121" spans="2:74" x14ac:dyDescent="0.25">
      <c r="B121">
        <f t="shared" si="11"/>
        <v>16</v>
      </c>
      <c r="C121">
        <f t="shared" ca="1" si="11"/>
        <v>0</v>
      </c>
      <c r="D121" s="1" t="e">
        <f t="shared" ca="1" si="11"/>
        <v>#N/A</v>
      </c>
      <c r="E121" s="17" t="e">
        <f t="shared" ref="E121:BP121" ca="1" si="42">E58/$D121*100000</f>
        <v>#N/A</v>
      </c>
      <c r="F121" s="17" t="e">
        <f t="shared" ca="1" si="42"/>
        <v>#N/A</v>
      </c>
      <c r="G121" s="17" t="e">
        <f t="shared" ca="1" si="42"/>
        <v>#N/A</v>
      </c>
      <c r="H121" s="17" t="e">
        <f t="shared" ca="1" si="42"/>
        <v>#N/A</v>
      </c>
      <c r="I121" s="17" t="e">
        <f t="shared" ca="1" si="42"/>
        <v>#N/A</v>
      </c>
      <c r="J121" s="17" t="e">
        <f t="shared" ca="1" si="42"/>
        <v>#N/A</v>
      </c>
      <c r="K121" s="17" t="e">
        <f t="shared" ca="1" si="42"/>
        <v>#N/A</v>
      </c>
      <c r="L121" s="17" t="e">
        <f t="shared" ca="1" si="42"/>
        <v>#N/A</v>
      </c>
      <c r="M121" s="17" t="e">
        <f t="shared" ca="1" si="42"/>
        <v>#N/A</v>
      </c>
      <c r="N121" s="17" t="e">
        <f t="shared" ca="1" si="42"/>
        <v>#N/A</v>
      </c>
      <c r="O121" s="17" t="e">
        <f t="shared" ca="1" si="42"/>
        <v>#N/A</v>
      </c>
      <c r="P121" s="17" t="e">
        <f t="shared" ca="1" si="42"/>
        <v>#N/A</v>
      </c>
      <c r="Q121" s="17" t="e">
        <f t="shared" ca="1" si="42"/>
        <v>#N/A</v>
      </c>
      <c r="R121" s="17" t="e">
        <f t="shared" ca="1" si="42"/>
        <v>#N/A</v>
      </c>
      <c r="S121" s="17" t="e">
        <f t="shared" ca="1" si="42"/>
        <v>#N/A</v>
      </c>
      <c r="T121" s="17" t="e">
        <f t="shared" ca="1" si="42"/>
        <v>#N/A</v>
      </c>
      <c r="U121" s="17" t="e">
        <f t="shared" ca="1" si="42"/>
        <v>#N/A</v>
      </c>
      <c r="V121" s="17" t="e">
        <f t="shared" ca="1" si="42"/>
        <v>#N/A</v>
      </c>
      <c r="W121" s="17" t="e">
        <f t="shared" ca="1" si="42"/>
        <v>#N/A</v>
      </c>
      <c r="X121" s="17" t="e">
        <f t="shared" ca="1" si="42"/>
        <v>#N/A</v>
      </c>
      <c r="Y121" s="17" t="e">
        <f t="shared" ca="1" si="42"/>
        <v>#N/A</v>
      </c>
      <c r="Z121" s="17" t="e">
        <f t="shared" ca="1" si="42"/>
        <v>#N/A</v>
      </c>
      <c r="AA121" s="17" t="e">
        <f t="shared" ca="1" si="42"/>
        <v>#N/A</v>
      </c>
      <c r="AB121" s="17" t="e">
        <f t="shared" ca="1" si="42"/>
        <v>#N/A</v>
      </c>
      <c r="AC121" s="17" t="e">
        <f t="shared" ca="1" si="42"/>
        <v>#N/A</v>
      </c>
      <c r="AD121" s="17" t="e">
        <f t="shared" ca="1" si="42"/>
        <v>#N/A</v>
      </c>
      <c r="AE121" s="17" t="e">
        <f t="shared" ca="1" si="42"/>
        <v>#N/A</v>
      </c>
      <c r="AF121" s="17" t="e">
        <f t="shared" ca="1" si="42"/>
        <v>#N/A</v>
      </c>
      <c r="AG121" s="17" t="e">
        <f t="shared" ca="1" si="42"/>
        <v>#N/A</v>
      </c>
      <c r="AH121" s="17" t="e">
        <f t="shared" ca="1" si="42"/>
        <v>#N/A</v>
      </c>
      <c r="AI121" s="17" t="e">
        <f t="shared" ca="1" si="42"/>
        <v>#N/A</v>
      </c>
      <c r="AJ121" s="17" t="e">
        <f t="shared" ca="1" si="42"/>
        <v>#N/A</v>
      </c>
      <c r="AK121" s="17" t="e">
        <f t="shared" ca="1" si="42"/>
        <v>#N/A</v>
      </c>
      <c r="AL121" s="17" t="e">
        <f t="shared" ca="1" si="42"/>
        <v>#N/A</v>
      </c>
      <c r="AM121" s="17" t="e">
        <f t="shared" ca="1" si="42"/>
        <v>#N/A</v>
      </c>
      <c r="AN121" s="17" t="e">
        <f t="shared" ca="1" si="42"/>
        <v>#N/A</v>
      </c>
      <c r="AO121" s="17" t="e">
        <f t="shared" ca="1" si="42"/>
        <v>#N/A</v>
      </c>
      <c r="AP121" s="17" t="e">
        <f t="shared" ca="1" si="42"/>
        <v>#N/A</v>
      </c>
      <c r="AQ121" s="17" t="e">
        <f t="shared" ca="1" si="42"/>
        <v>#N/A</v>
      </c>
      <c r="AR121" s="17" t="e">
        <f t="shared" ca="1" si="42"/>
        <v>#N/A</v>
      </c>
      <c r="AS121" s="17" t="e">
        <f t="shared" ca="1" si="42"/>
        <v>#N/A</v>
      </c>
      <c r="AT121" s="17" t="e">
        <f t="shared" ca="1" si="42"/>
        <v>#N/A</v>
      </c>
      <c r="AU121" s="17" t="e">
        <f t="shared" ca="1" si="42"/>
        <v>#N/A</v>
      </c>
      <c r="AV121" s="17" t="e">
        <f t="shared" ca="1" si="42"/>
        <v>#N/A</v>
      </c>
      <c r="AW121" s="17" t="e">
        <f t="shared" ca="1" si="42"/>
        <v>#N/A</v>
      </c>
      <c r="AX121" s="17" t="e">
        <f t="shared" ca="1" si="42"/>
        <v>#N/A</v>
      </c>
      <c r="AY121" s="17" t="e">
        <f t="shared" ca="1" si="42"/>
        <v>#N/A</v>
      </c>
      <c r="AZ121" s="17" t="e">
        <f t="shared" ca="1" si="42"/>
        <v>#N/A</v>
      </c>
      <c r="BA121" s="17" t="e">
        <f t="shared" ca="1" si="42"/>
        <v>#N/A</v>
      </c>
      <c r="BB121" s="17" t="e">
        <f t="shared" ca="1" si="42"/>
        <v>#N/A</v>
      </c>
      <c r="BC121" s="17" t="e">
        <f t="shared" ca="1" si="42"/>
        <v>#N/A</v>
      </c>
      <c r="BD121" s="17" t="e">
        <f t="shared" ca="1" si="42"/>
        <v>#N/A</v>
      </c>
      <c r="BE121" s="17" t="e">
        <f t="shared" ca="1" si="42"/>
        <v>#N/A</v>
      </c>
      <c r="BF121" s="17" t="e">
        <f t="shared" ca="1" si="42"/>
        <v>#N/A</v>
      </c>
      <c r="BG121" s="17" t="e">
        <f t="shared" ca="1" si="42"/>
        <v>#N/A</v>
      </c>
      <c r="BH121" s="17" t="e">
        <f t="shared" ca="1" si="42"/>
        <v>#N/A</v>
      </c>
      <c r="BI121" s="17" t="e">
        <f t="shared" ca="1" si="42"/>
        <v>#N/A</v>
      </c>
      <c r="BJ121" s="17" t="e">
        <f t="shared" ca="1" si="42"/>
        <v>#N/A</v>
      </c>
      <c r="BK121" s="17" t="e">
        <f t="shared" ca="1" si="42"/>
        <v>#N/A</v>
      </c>
      <c r="BL121" s="17" t="e">
        <f t="shared" ca="1" si="42"/>
        <v>#N/A</v>
      </c>
      <c r="BM121" s="17" t="e">
        <f t="shared" ca="1" si="42"/>
        <v>#N/A</v>
      </c>
      <c r="BN121" s="17" t="e">
        <f t="shared" ca="1" si="42"/>
        <v>#N/A</v>
      </c>
      <c r="BO121" s="17" t="e">
        <f t="shared" ca="1" si="42"/>
        <v>#N/A</v>
      </c>
      <c r="BP121" s="17" t="e">
        <f t="shared" ca="1" si="42"/>
        <v>#N/A</v>
      </c>
      <c r="BQ121" s="17" t="e">
        <f t="shared" ref="BQ121:BV121" ca="1" si="43">BQ58/$D121*100000</f>
        <v>#N/A</v>
      </c>
      <c r="BR121" s="17" t="e">
        <f t="shared" ca="1" si="43"/>
        <v>#N/A</v>
      </c>
      <c r="BS121" s="17" t="e">
        <f t="shared" ca="1" si="43"/>
        <v>#N/A</v>
      </c>
      <c r="BT121" s="17" t="e">
        <f t="shared" ca="1" si="43"/>
        <v>#N/A</v>
      </c>
      <c r="BU121" s="17" t="e">
        <f t="shared" ca="1" si="43"/>
        <v>#N/A</v>
      </c>
      <c r="BV121" s="17" t="e">
        <f t="shared" ca="1" si="43"/>
        <v>#N/A</v>
      </c>
    </row>
    <row r="122" spans="2:74" x14ac:dyDescent="0.25">
      <c r="B122">
        <f t="shared" si="11"/>
        <v>17</v>
      </c>
      <c r="C122">
        <f t="shared" ca="1" si="11"/>
        <v>0</v>
      </c>
      <c r="D122" s="1" t="e">
        <f t="shared" ca="1" si="11"/>
        <v>#N/A</v>
      </c>
      <c r="E122" s="17" t="e">
        <f t="shared" ref="E122:BP122" ca="1" si="44">E59/$D122*100000</f>
        <v>#N/A</v>
      </c>
      <c r="F122" s="17" t="e">
        <f t="shared" ca="1" si="44"/>
        <v>#N/A</v>
      </c>
      <c r="G122" s="17" t="e">
        <f t="shared" ca="1" si="44"/>
        <v>#N/A</v>
      </c>
      <c r="H122" s="17" t="e">
        <f t="shared" ca="1" si="44"/>
        <v>#N/A</v>
      </c>
      <c r="I122" s="17" t="e">
        <f t="shared" ca="1" si="44"/>
        <v>#N/A</v>
      </c>
      <c r="J122" s="17" t="e">
        <f t="shared" ca="1" si="44"/>
        <v>#N/A</v>
      </c>
      <c r="K122" s="17" t="e">
        <f t="shared" ca="1" si="44"/>
        <v>#N/A</v>
      </c>
      <c r="L122" s="17" t="e">
        <f t="shared" ca="1" si="44"/>
        <v>#N/A</v>
      </c>
      <c r="M122" s="17" t="e">
        <f t="shared" ca="1" si="44"/>
        <v>#N/A</v>
      </c>
      <c r="N122" s="17" t="e">
        <f t="shared" ca="1" si="44"/>
        <v>#N/A</v>
      </c>
      <c r="O122" s="17" t="e">
        <f t="shared" ca="1" si="44"/>
        <v>#N/A</v>
      </c>
      <c r="P122" s="17" t="e">
        <f t="shared" ca="1" si="44"/>
        <v>#N/A</v>
      </c>
      <c r="Q122" s="17" t="e">
        <f t="shared" ca="1" si="44"/>
        <v>#N/A</v>
      </c>
      <c r="R122" s="17" t="e">
        <f t="shared" ca="1" si="44"/>
        <v>#N/A</v>
      </c>
      <c r="S122" s="17" t="e">
        <f t="shared" ca="1" si="44"/>
        <v>#N/A</v>
      </c>
      <c r="T122" s="17" t="e">
        <f t="shared" ca="1" si="44"/>
        <v>#N/A</v>
      </c>
      <c r="U122" s="17" t="e">
        <f t="shared" ca="1" si="44"/>
        <v>#N/A</v>
      </c>
      <c r="V122" s="17" t="e">
        <f t="shared" ca="1" si="44"/>
        <v>#N/A</v>
      </c>
      <c r="W122" s="17" t="e">
        <f t="shared" ca="1" si="44"/>
        <v>#N/A</v>
      </c>
      <c r="X122" s="17" t="e">
        <f t="shared" ca="1" si="44"/>
        <v>#N/A</v>
      </c>
      <c r="Y122" s="17" t="e">
        <f t="shared" ca="1" si="44"/>
        <v>#N/A</v>
      </c>
      <c r="Z122" s="17" t="e">
        <f t="shared" ca="1" si="44"/>
        <v>#N/A</v>
      </c>
      <c r="AA122" s="17" t="e">
        <f t="shared" ca="1" si="44"/>
        <v>#N/A</v>
      </c>
      <c r="AB122" s="17" t="e">
        <f t="shared" ca="1" si="44"/>
        <v>#N/A</v>
      </c>
      <c r="AC122" s="17" t="e">
        <f t="shared" ca="1" si="44"/>
        <v>#N/A</v>
      </c>
      <c r="AD122" s="17" t="e">
        <f t="shared" ca="1" si="44"/>
        <v>#N/A</v>
      </c>
      <c r="AE122" s="17" t="e">
        <f t="shared" ca="1" si="44"/>
        <v>#N/A</v>
      </c>
      <c r="AF122" s="17" t="e">
        <f t="shared" ca="1" si="44"/>
        <v>#N/A</v>
      </c>
      <c r="AG122" s="17" t="e">
        <f t="shared" ca="1" si="44"/>
        <v>#N/A</v>
      </c>
      <c r="AH122" s="17" t="e">
        <f t="shared" ca="1" si="44"/>
        <v>#N/A</v>
      </c>
      <c r="AI122" s="17" t="e">
        <f t="shared" ca="1" si="44"/>
        <v>#N/A</v>
      </c>
      <c r="AJ122" s="17" t="e">
        <f t="shared" ca="1" si="44"/>
        <v>#N/A</v>
      </c>
      <c r="AK122" s="17" t="e">
        <f t="shared" ca="1" si="44"/>
        <v>#N/A</v>
      </c>
      <c r="AL122" s="17" t="e">
        <f t="shared" ca="1" si="44"/>
        <v>#N/A</v>
      </c>
      <c r="AM122" s="17" t="e">
        <f t="shared" ca="1" si="44"/>
        <v>#N/A</v>
      </c>
      <c r="AN122" s="17" t="e">
        <f t="shared" ca="1" si="44"/>
        <v>#N/A</v>
      </c>
      <c r="AO122" s="17" t="e">
        <f t="shared" ca="1" si="44"/>
        <v>#N/A</v>
      </c>
      <c r="AP122" s="17" t="e">
        <f t="shared" ca="1" si="44"/>
        <v>#N/A</v>
      </c>
      <c r="AQ122" s="17" t="e">
        <f t="shared" ca="1" si="44"/>
        <v>#N/A</v>
      </c>
      <c r="AR122" s="17" t="e">
        <f t="shared" ca="1" si="44"/>
        <v>#N/A</v>
      </c>
      <c r="AS122" s="17" t="e">
        <f t="shared" ca="1" si="44"/>
        <v>#N/A</v>
      </c>
      <c r="AT122" s="17" t="e">
        <f t="shared" ca="1" si="44"/>
        <v>#N/A</v>
      </c>
      <c r="AU122" s="17" t="e">
        <f t="shared" ca="1" si="44"/>
        <v>#N/A</v>
      </c>
      <c r="AV122" s="17" t="e">
        <f t="shared" ca="1" si="44"/>
        <v>#N/A</v>
      </c>
      <c r="AW122" s="17" t="e">
        <f t="shared" ca="1" si="44"/>
        <v>#N/A</v>
      </c>
      <c r="AX122" s="17" t="e">
        <f t="shared" ca="1" si="44"/>
        <v>#N/A</v>
      </c>
      <c r="AY122" s="17" t="e">
        <f t="shared" ca="1" si="44"/>
        <v>#N/A</v>
      </c>
      <c r="AZ122" s="17" t="e">
        <f t="shared" ca="1" si="44"/>
        <v>#N/A</v>
      </c>
      <c r="BA122" s="17" t="e">
        <f t="shared" ca="1" si="44"/>
        <v>#N/A</v>
      </c>
      <c r="BB122" s="17" t="e">
        <f t="shared" ca="1" si="44"/>
        <v>#N/A</v>
      </c>
      <c r="BC122" s="17" t="e">
        <f t="shared" ca="1" si="44"/>
        <v>#N/A</v>
      </c>
      <c r="BD122" s="17" t="e">
        <f t="shared" ca="1" si="44"/>
        <v>#N/A</v>
      </c>
      <c r="BE122" s="17" t="e">
        <f t="shared" ca="1" si="44"/>
        <v>#N/A</v>
      </c>
      <c r="BF122" s="17" t="e">
        <f t="shared" ca="1" si="44"/>
        <v>#N/A</v>
      </c>
      <c r="BG122" s="17" t="e">
        <f t="shared" ca="1" si="44"/>
        <v>#N/A</v>
      </c>
      <c r="BH122" s="17" t="e">
        <f t="shared" ca="1" si="44"/>
        <v>#N/A</v>
      </c>
      <c r="BI122" s="17" t="e">
        <f t="shared" ca="1" si="44"/>
        <v>#N/A</v>
      </c>
      <c r="BJ122" s="17" t="e">
        <f t="shared" ca="1" si="44"/>
        <v>#N/A</v>
      </c>
      <c r="BK122" s="17" t="e">
        <f t="shared" ca="1" si="44"/>
        <v>#N/A</v>
      </c>
      <c r="BL122" s="17" t="e">
        <f t="shared" ca="1" si="44"/>
        <v>#N/A</v>
      </c>
      <c r="BM122" s="17" t="e">
        <f t="shared" ca="1" si="44"/>
        <v>#N/A</v>
      </c>
      <c r="BN122" s="17" t="e">
        <f t="shared" ca="1" si="44"/>
        <v>#N/A</v>
      </c>
      <c r="BO122" s="17" t="e">
        <f t="shared" ca="1" si="44"/>
        <v>#N/A</v>
      </c>
      <c r="BP122" s="17" t="e">
        <f t="shared" ca="1" si="44"/>
        <v>#N/A</v>
      </c>
      <c r="BQ122" s="17" t="e">
        <f t="shared" ref="BQ122:BV122" ca="1" si="45">BQ59/$D122*100000</f>
        <v>#N/A</v>
      </c>
      <c r="BR122" s="17" t="e">
        <f t="shared" ca="1" si="45"/>
        <v>#N/A</v>
      </c>
      <c r="BS122" s="17" t="e">
        <f t="shared" ca="1" si="45"/>
        <v>#N/A</v>
      </c>
      <c r="BT122" s="17" t="e">
        <f t="shared" ca="1" si="45"/>
        <v>#N/A</v>
      </c>
      <c r="BU122" s="17" t="e">
        <f t="shared" ca="1" si="45"/>
        <v>#N/A</v>
      </c>
      <c r="BV122" s="17" t="e">
        <f t="shared" ca="1" si="45"/>
        <v>#N/A</v>
      </c>
    </row>
    <row r="123" spans="2:74" x14ac:dyDescent="0.25">
      <c r="B123">
        <f t="shared" si="11"/>
        <v>18</v>
      </c>
      <c r="C123">
        <f t="shared" ca="1" si="11"/>
        <v>0</v>
      </c>
      <c r="D123" s="1" t="e">
        <f t="shared" ca="1" si="11"/>
        <v>#N/A</v>
      </c>
      <c r="E123" s="17" t="e">
        <f t="shared" ref="E123:BP123" ca="1" si="46">E60/$D123*100000</f>
        <v>#N/A</v>
      </c>
      <c r="F123" s="17" t="e">
        <f t="shared" ca="1" si="46"/>
        <v>#N/A</v>
      </c>
      <c r="G123" s="17" t="e">
        <f t="shared" ca="1" si="46"/>
        <v>#N/A</v>
      </c>
      <c r="H123" s="17" t="e">
        <f t="shared" ca="1" si="46"/>
        <v>#N/A</v>
      </c>
      <c r="I123" s="17" t="e">
        <f t="shared" ca="1" si="46"/>
        <v>#N/A</v>
      </c>
      <c r="J123" s="17" t="e">
        <f t="shared" ca="1" si="46"/>
        <v>#N/A</v>
      </c>
      <c r="K123" s="17" t="e">
        <f t="shared" ca="1" si="46"/>
        <v>#N/A</v>
      </c>
      <c r="L123" s="17" t="e">
        <f t="shared" ca="1" si="46"/>
        <v>#N/A</v>
      </c>
      <c r="M123" s="17" t="e">
        <f t="shared" ca="1" si="46"/>
        <v>#N/A</v>
      </c>
      <c r="N123" s="17" t="e">
        <f t="shared" ca="1" si="46"/>
        <v>#N/A</v>
      </c>
      <c r="O123" s="17" t="e">
        <f t="shared" ca="1" si="46"/>
        <v>#N/A</v>
      </c>
      <c r="P123" s="17" t="e">
        <f t="shared" ca="1" si="46"/>
        <v>#N/A</v>
      </c>
      <c r="Q123" s="17" t="e">
        <f t="shared" ca="1" si="46"/>
        <v>#N/A</v>
      </c>
      <c r="R123" s="17" t="e">
        <f t="shared" ca="1" si="46"/>
        <v>#N/A</v>
      </c>
      <c r="S123" s="17" t="e">
        <f t="shared" ca="1" si="46"/>
        <v>#N/A</v>
      </c>
      <c r="T123" s="17" t="e">
        <f t="shared" ca="1" si="46"/>
        <v>#N/A</v>
      </c>
      <c r="U123" s="17" t="e">
        <f t="shared" ca="1" si="46"/>
        <v>#N/A</v>
      </c>
      <c r="V123" s="17" t="e">
        <f t="shared" ca="1" si="46"/>
        <v>#N/A</v>
      </c>
      <c r="W123" s="17" t="e">
        <f t="shared" ca="1" si="46"/>
        <v>#N/A</v>
      </c>
      <c r="X123" s="17" t="e">
        <f t="shared" ca="1" si="46"/>
        <v>#N/A</v>
      </c>
      <c r="Y123" s="17" t="e">
        <f t="shared" ca="1" si="46"/>
        <v>#N/A</v>
      </c>
      <c r="Z123" s="17" t="e">
        <f t="shared" ca="1" si="46"/>
        <v>#N/A</v>
      </c>
      <c r="AA123" s="17" t="e">
        <f t="shared" ca="1" si="46"/>
        <v>#N/A</v>
      </c>
      <c r="AB123" s="17" t="e">
        <f t="shared" ca="1" si="46"/>
        <v>#N/A</v>
      </c>
      <c r="AC123" s="17" t="e">
        <f t="shared" ca="1" si="46"/>
        <v>#N/A</v>
      </c>
      <c r="AD123" s="17" t="e">
        <f t="shared" ca="1" si="46"/>
        <v>#N/A</v>
      </c>
      <c r="AE123" s="17" t="e">
        <f t="shared" ca="1" si="46"/>
        <v>#N/A</v>
      </c>
      <c r="AF123" s="17" t="e">
        <f t="shared" ca="1" si="46"/>
        <v>#N/A</v>
      </c>
      <c r="AG123" s="17" t="e">
        <f t="shared" ca="1" si="46"/>
        <v>#N/A</v>
      </c>
      <c r="AH123" s="17" t="e">
        <f t="shared" ca="1" si="46"/>
        <v>#N/A</v>
      </c>
      <c r="AI123" s="17" t="e">
        <f t="shared" ca="1" si="46"/>
        <v>#N/A</v>
      </c>
      <c r="AJ123" s="17" t="e">
        <f t="shared" ca="1" si="46"/>
        <v>#N/A</v>
      </c>
      <c r="AK123" s="17" t="e">
        <f t="shared" ca="1" si="46"/>
        <v>#N/A</v>
      </c>
      <c r="AL123" s="17" t="e">
        <f t="shared" ca="1" si="46"/>
        <v>#N/A</v>
      </c>
      <c r="AM123" s="17" t="e">
        <f t="shared" ca="1" si="46"/>
        <v>#N/A</v>
      </c>
      <c r="AN123" s="17" t="e">
        <f t="shared" ca="1" si="46"/>
        <v>#N/A</v>
      </c>
      <c r="AO123" s="17" t="e">
        <f t="shared" ca="1" si="46"/>
        <v>#N/A</v>
      </c>
      <c r="AP123" s="17" t="e">
        <f t="shared" ca="1" si="46"/>
        <v>#N/A</v>
      </c>
      <c r="AQ123" s="17" t="e">
        <f t="shared" ca="1" si="46"/>
        <v>#N/A</v>
      </c>
      <c r="AR123" s="17" t="e">
        <f t="shared" ca="1" si="46"/>
        <v>#N/A</v>
      </c>
      <c r="AS123" s="17" t="e">
        <f t="shared" ca="1" si="46"/>
        <v>#N/A</v>
      </c>
      <c r="AT123" s="17" t="e">
        <f t="shared" ca="1" si="46"/>
        <v>#N/A</v>
      </c>
      <c r="AU123" s="17" t="e">
        <f t="shared" ca="1" si="46"/>
        <v>#N/A</v>
      </c>
      <c r="AV123" s="17" t="e">
        <f t="shared" ca="1" si="46"/>
        <v>#N/A</v>
      </c>
      <c r="AW123" s="17" t="e">
        <f t="shared" ca="1" si="46"/>
        <v>#N/A</v>
      </c>
      <c r="AX123" s="17" t="e">
        <f t="shared" ca="1" si="46"/>
        <v>#N/A</v>
      </c>
      <c r="AY123" s="17" t="e">
        <f t="shared" ca="1" si="46"/>
        <v>#N/A</v>
      </c>
      <c r="AZ123" s="17" t="e">
        <f t="shared" ca="1" si="46"/>
        <v>#N/A</v>
      </c>
      <c r="BA123" s="17" t="e">
        <f t="shared" ca="1" si="46"/>
        <v>#N/A</v>
      </c>
      <c r="BB123" s="17" t="e">
        <f t="shared" ca="1" si="46"/>
        <v>#N/A</v>
      </c>
      <c r="BC123" s="17" t="e">
        <f t="shared" ca="1" si="46"/>
        <v>#N/A</v>
      </c>
      <c r="BD123" s="17" t="e">
        <f t="shared" ca="1" si="46"/>
        <v>#N/A</v>
      </c>
      <c r="BE123" s="17" t="e">
        <f t="shared" ca="1" si="46"/>
        <v>#N/A</v>
      </c>
      <c r="BF123" s="17" t="e">
        <f t="shared" ca="1" si="46"/>
        <v>#N/A</v>
      </c>
      <c r="BG123" s="17" t="e">
        <f t="shared" ca="1" si="46"/>
        <v>#N/A</v>
      </c>
      <c r="BH123" s="17" t="e">
        <f t="shared" ca="1" si="46"/>
        <v>#N/A</v>
      </c>
      <c r="BI123" s="17" t="e">
        <f t="shared" ca="1" si="46"/>
        <v>#N/A</v>
      </c>
      <c r="BJ123" s="17" t="e">
        <f t="shared" ca="1" si="46"/>
        <v>#N/A</v>
      </c>
      <c r="BK123" s="17" t="e">
        <f t="shared" ca="1" si="46"/>
        <v>#N/A</v>
      </c>
      <c r="BL123" s="17" t="e">
        <f t="shared" ca="1" si="46"/>
        <v>#N/A</v>
      </c>
      <c r="BM123" s="17" t="e">
        <f t="shared" ca="1" si="46"/>
        <v>#N/A</v>
      </c>
      <c r="BN123" s="17" t="e">
        <f t="shared" ca="1" si="46"/>
        <v>#N/A</v>
      </c>
      <c r="BO123" s="17" t="e">
        <f t="shared" ca="1" si="46"/>
        <v>#N/A</v>
      </c>
      <c r="BP123" s="17" t="e">
        <f t="shared" ca="1" si="46"/>
        <v>#N/A</v>
      </c>
      <c r="BQ123" s="17" t="e">
        <f t="shared" ref="BQ123:BV123" ca="1" si="47">BQ60/$D123*100000</f>
        <v>#N/A</v>
      </c>
      <c r="BR123" s="17" t="e">
        <f t="shared" ca="1" si="47"/>
        <v>#N/A</v>
      </c>
      <c r="BS123" s="17" t="e">
        <f t="shared" ca="1" si="47"/>
        <v>#N/A</v>
      </c>
      <c r="BT123" s="17" t="e">
        <f t="shared" ca="1" si="47"/>
        <v>#N/A</v>
      </c>
      <c r="BU123" s="17" t="e">
        <f t="shared" ca="1" si="47"/>
        <v>#N/A</v>
      </c>
      <c r="BV123" s="17" t="e">
        <f t="shared" ca="1" si="47"/>
        <v>#N/A</v>
      </c>
    </row>
    <row r="124" spans="2:74" x14ac:dyDescent="0.25">
      <c r="B124">
        <f t="shared" si="11"/>
        <v>19</v>
      </c>
      <c r="C124">
        <f t="shared" ca="1" si="11"/>
        <v>0</v>
      </c>
      <c r="D124" s="1" t="e">
        <f t="shared" ca="1" si="11"/>
        <v>#N/A</v>
      </c>
      <c r="E124" s="17" t="e">
        <f t="shared" ref="E124:BP124" ca="1" si="48">E61/$D124*100000</f>
        <v>#N/A</v>
      </c>
      <c r="F124" s="17" t="e">
        <f t="shared" ca="1" si="48"/>
        <v>#N/A</v>
      </c>
      <c r="G124" s="17" t="e">
        <f t="shared" ca="1" si="48"/>
        <v>#N/A</v>
      </c>
      <c r="H124" s="17" t="e">
        <f t="shared" ca="1" si="48"/>
        <v>#N/A</v>
      </c>
      <c r="I124" s="17" t="e">
        <f t="shared" ca="1" si="48"/>
        <v>#N/A</v>
      </c>
      <c r="J124" s="17" t="e">
        <f t="shared" ca="1" si="48"/>
        <v>#N/A</v>
      </c>
      <c r="K124" s="17" t="e">
        <f t="shared" ca="1" si="48"/>
        <v>#N/A</v>
      </c>
      <c r="L124" s="17" t="e">
        <f t="shared" ca="1" si="48"/>
        <v>#N/A</v>
      </c>
      <c r="M124" s="17" t="e">
        <f t="shared" ca="1" si="48"/>
        <v>#N/A</v>
      </c>
      <c r="N124" s="17" t="e">
        <f t="shared" ca="1" si="48"/>
        <v>#N/A</v>
      </c>
      <c r="O124" s="17" t="e">
        <f t="shared" ca="1" si="48"/>
        <v>#N/A</v>
      </c>
      <c r="P124" s="17" t="e">
        <f t="shared" ca="1" si="48"/>
        <v>#N/A</v>
      </c>
      <c r="Q124" s="17" t="e">
        <f t="shared" ca="1" si="48"/>
        <v>#N/A</v>
      </c>
      <c r="R124" s="17" t="e">
        <f t="shared" ca="1" si="48"/>
        <v>#N/A</v>
      </c>
      <c r="S124" s="17" t="e">
        <f t="shared" ca="1" si="48"/>
        <v>#N/A</v>
      </c>
      <c r="T124" s="17" t="e">
        <f t="shared" ca="1" si="48"/>
        <v>#N/A</v>
      </c>
      <c r="U124" s="17" t="e">
        <f t="shared" ca="1" si="48"/>
        <v>#N/A</v>
      </c>
      <c r="V124" s="17" t="e">
        <f t="shared" ca="1" si="48"/>
        <v>#N/A</v>
      </c>
      <c r="W124" s="17" t="e">
        <f t="shared" ca="1" si="48"/>
        <v>#N/A</v>
      </c>
      <c r="X124" s="17" t="e">
        <f t="shared" ca="1" si="48"/>
        <v>#N/A</v>
      </c>
      <c r="Y124" s="17" t="e">
        <f t="shared" ca="1" si="48"/>
        <v>#N/A</v>
      </c>
      <c r="Z124" s="17" t="e">
        <f t="shared" ca="1" si="48"/>
        <v>#N/A</v>
      </c>
      <c r="AA124" s="17" t="e">
        <f t="shared" ca="1" si="48"/>
        <v>#N/A</v>
      </c>
      <c r="AB124" s="17" t="e">
        <f t="shared" ca="1" si="48"/>
        <v>#N/A</v>
      </c>
      <c r="AC124" s="17" t="e">
        <f t="shared" ca="1" si="48"/>
        <v>#N/A</v>
      </c>
      <c r="AD124" s="17" t="e">
        <f t="shared" ca="1" si="48"/>
        <v>#N/A</v>
      </c>
      <c r="AE124" s="17" t="e">
        <f t="shared" ca="1" si="48"/>
        <v>#N/A</v>
      </c>
      <c r="AF124" s="17" t="e">
        <f t="shared" ca="1" si="48"/>
        <v>#N/A</v>
      </c>
      <c r="AG124" s="17" t="e">
        <f t="shared" ca="1" si="48"/>
        <v>#N/A</v>
      </c>
      <c r="AH124" s="17" t="e">
        <f t="shared" ca="1" si="48"/>
        <v>#N/A</v>
      </c>
      <c r="AI124" s="17" t="e">
        <f t="shared" ca="1" si="48"/>
        <v>#N/A</v>
      </c>
      <c r="AJ124" s="17" t="e">
        <f t="shared" ca="1" si="48"/>
        <v>#N/A</v>
      </c>
      <c r="AK124" s="17" t="e">
        <f t="shared" ca="1" si="48"/>
        <v>#N/A</v>
      </c>
      <c r="AL124" s="17" t="e">
        <f t="shared" ca="1" si="48"/>
        <v>#N/A</v>
      </c>
      <c r="AM124" s="17" t="e">
        <f t="shared" ca="1" si="48"/>
        <v>#N/A</v>
      </c>
      <c r="AN124" s="17" t="e">
        <f t="shared" ca="1" si="48"/>
        <v>#N/A</v>
      </c>
      <c r="AO124" s="17" t="e">
        <f t="shared" ca="1" si="48"/>
        <v>#N/A</v>
      </c>
      <c r="AP124" s="17" t="e">
        <f t="shared" ca="1" si="48"/>
        <v>#N/A</v>
      </c>
      <c r="AQ124" s="17" t="e">
        <f t="shared" ca="1" si="48"/>
        <v>#N/A</v>
      </c>
      <c r="AR124" s="17" t="e">
        <f t="shared" ca="1" si="48"/>
        <v>#N/A</v>
      </c>
      <c r="AS124" s="17" t="e">
        <f t="shared" ca="1" si="48"/>
        <v>#N/A</v>
      </c>
      <c r="AT124" s="17" t="e">
        <f t="shared" ca="1" si="48"/>
        <v>#N/A</v>
      </c>
      <c r="AU124" s="17" t="e">
        <f t="shared" ca="1" si="48"/>
        <v>#N/A</v>
      </c>
      <c r="AV124" s="17" t="e">
        <f t="shared" ca="1" si="48"/>
        <v>#N/A</v>
      </c>
      <c r="AW124" s="17" t="e">
        <f t="shared" ca="1" si="48"/>
        <v>#N/A</v>
      </c>
      <c r="AX124" s="17" t="e">
        <f t="shared" ca="1" si="48"/>
        <v>#N/A</v>
      </c>
      <c r="AY124" s="17" t="e">
        <f t="shared" ca="1" si="48"/>
        <v>#N/A</v>
      </c>
      <c r="AZ124" s="17" t="e">
        <f t="shared" ca="1" si="48"/>
        <v>#N/A</v>
      </c>
      <c r="BA124" s="17" t="e">
        <f t="shared" ca="1" si="48"/>
        <v>#N/A</v>
      </c>
      <c r="BB124" s="17" t="e">
        <f t="shared" ca="1" si="48"/>
        <v>#N/A</v>
      </c>
      <c r="BC124" s="17" t="e">
        <f t="shared" ca="1" si="48"/>
        <v>#N/A</v>
      </c>
      <c r="BD124" s="17" t="e">
        <f t="shared" ca="1" si="48"/>
        <v>#N/A</v>
      </c>
      <c r="BE124" s="17" t="e">
        <f t="shared" ca="1" si="48"/>
        <v>#N/A</v>
      </c>
      <c r="BF124" s="17" t="e">
        <f t="shared" ca="1" si="48"/>
        <v>#N/A</v>
      </c>
      <c r="BG124" s="17" t="e">
        <f t="shared" ca="1" si="48"/>
        <v>#N/A</v>
      </c>
      <c r="BH124" s="17" t="e">
        <f t="shared" ca="1" si="48"/>
        <v>#N/A</v>
      </c>
      <c r="BI124" s="17" t="e">
        <f t="shared" ca="1" si="48"/>
        <v>#N/A</v>
      </c>
      <c r="BJ124" s="17" t="e">
        <f t="shared" ca="1" si="48"/>
        <v>#N/A</v>
      </c>
      <c r="BK124" s="17" t="e">
        <f t="shared" ca="1" si="48"/>
        <v>#N/A</v>
      </c>
      <c r="BL124" s="17" t="e">
        <f t="shared" ca="1" si="48"/>
        <v>#N/A</v>
      </c>
      <c r="BM124" s="17" t="e">
        <f t="shared" ca="1" si="48"/>
        <v>#N/A</v>
      </c>
      <c r="BN124" s="17" t="e">
        <f t="shared" ca="1" si="48"/>
        <v>#N/A</v>
      </c>
      <c r="BO124" s="17" t="e">
        <f t="shared" ca="1" si="48"/>
        <v>#N/A</v>
      </c>
      <c r="BP124" s="17" t="e">
        <f t="shared" ca="1" si="48"/>
        <v>#N/A</v>
      </c>
      <c r="BQ124" s="17" t="e">
        <f t="shared" ref="BQ124:BV124" ca="1" si="49">BQ61/$D124*100000</f>
        <v>#N/A</v>
      </c>
      <c r="BR124" s="17" t="e">
        <f t="shared" ca="1" si="49"/>
        <v>#N/A</v>
      </c>
      <c r="BS124" s="17" t="e">
        <f t="shared" ca="1" si="49"/>
        <v>#N/A</v>
      </c>
      <c r="BT124" s="17" t="e">
        <f t="shared" ca="1" si="49"/>
        <v>#N/A</v>
      </c>
      <c r="BU124" s="17" t="e">
        <f t="shared" ca="1" si="49"/>
        <v>#N/A</v>
      </c>
      <c r="BV124" s="17" t="e">
        <f t="shared" ca="1" si="49"/>
        <v>#N/A</v>
      </c>
    </row>
    <row r="125" spans="2:74" x14ac:dyDescent="0.25">
      <c r="B125">
        <f t="shared" si="11"/>
        <v>20</v>
      </c>
      <c r="C125">
        <f t="shared" ca="1" si="11"/>
        <v>0</v>
      </c>
      <c r="D125" s="1" t="e">
        <f t="shared" ca="1" si="11"/>
        <v>#N/A</v>
      </c>
      <c r="E125" s="17" t="e">
        <f t="shared" ref="E125:BP125" ca="1" si="50">E62/$D125*100000</f>
        <v>#N/A</v>
      </c>
      <c r="F125" s="17" t="e">
        <f t="shared" ca="1" si="50"/>
        <v>#N/A</v>
      </c>
      <c r="G125" s="17" t="e">
        <f t="shared" ca="1" si="50"/>
        <v>#N/A</v>
      </c>
      <c r="H125" s="17" t="e">
        <f t="shared" ca="1" si="50"/>
        <v>#N/A</v>
      </c>
      <c r="I125" s="17" t="e">
        <f t="shared" ca="1" si="50"/>
        <v>#N/A</v>
      </c>
      <c r="J125" s="17" t="e">
        <f t="shared" ca="1" si="50"/>
        <v>#N/A</v>
      </c>
      <c r="K125" s="17" t="e">
        <f t="shared" ca="1" si="50"/>
        <v>#N/A</v>
      </c>
      <c r="L125" s="17" t="e">
        <f t="shared" ca="1" si="50"/>
        <v>#N/A</v>
      </c>
      <c r="M125" s="17" t="e">
        <f t="shared" ca="1" si="50"/>
        <v>#N/A</v>
      </c>
      <c r="N125" s="17" t="e">
        <f t="shared" ca="1" si="50"/>
        <v>#N/A</v>
      </c>
      <c r="O125" s="17" t="e">
        <f t="shared" ca="1" si="50"/>
        <v>#N/A</v>
      </c>
      <c r="P125" s="17" t="e">
        <f t="shared" ca="1" si="50"/>
        <v>#N/A</v>
      </c>
      <c r="Q125" s="17" t="e">
        <f t="shared" ca="1" si="50"/>
        <v>#N/A</v>
      </c>
      <c r="R125" s="17" t="e">
        <f t="shared" ca="1" si="50"/>
        <v>#N/A</v>
      </c>
      <c r="S125" s="17" t="e">
        <f t="shared" ca="1" si="50"/>
        <v>#N/A</v>
      </c>
      <c r="T125" s="17" t="e">
        <f t="shared" ca="1" si="50"/>
        <v>#N/A</v>
      </c>
      <c r="U125" s="17" t="e">
        <f t="shared" ca="1" si="50"/>
        <v>#N/A</v>
      </c>
      <c r="V125" s="17" t="e">
        <f t="shared" ca="1" si="50"/>
        <v>#N/A</v>
      </c>
      <c r="W125" s="17" t="e">
        <f t="shared" ca="1" si="50"/>
        <v>#N/A</v>
      </c>
      <c r="X125" s="17" t="e">
        <f t="shared" ca="1" si="50"/>
        <v>#N/A</v>
      </c>
      <c r="Y125" s="17" t="e">
        <f t="shared" ca="1" si="50"/>
        <v>#N/A</v>
      </c>
      <c r="Z125" s="17" t="e">
        <f t="shared" ca="1" si="50"/>
        <v>#N/A</v>
      </c>
      <c r="AA125" s="17" t="e">
        <f t="shared" ca="1" si="50"/>
        <v>#N/A</v>
      </c>
      <c r="AB125" s="17" t="e">
        <f t="shared" ca="1" si="50"/>
        <v>#N/A</v>
      </c>
      <c r="AC125" s="17" t="e">
        <f t="shared" ca="1" si="50"/>
        <v>#N/A</v>
      </c>
      <c r="AD125" s="17" t="e">
        <f t="shared" ca="1" si="50"/>
        <v>#N/A</v>
      </c>
      <c r="AE125" s="17" t="e">
        <f t="shared" ca="1" si="50"/>
        <v>#N/A</v>
      </c>
      <c r="AF125" s="17" t="e">
        <f t="shared" ca="1" si="50"/>
        <v>#N/A</v>
      </c>
      <c r="AG125" s="17" t="e">
        <f t="shared" ca="1" si="50"/>
        <v>#N/A</v>
      </c>
      <c r="AH125" s="17" t="e">
        <f t="shared" ca="1" si="50"/>
        <v>#N/A</v>
      </c>
      <c r="AI125" s="17" t="e">
        <f t="shared" ca="1" si="50"/>
        <v>#N/A</v>
      </c>
      <c r="AJ125" s="17" t="e">
        <f t="shared" ca="1" si="50"/>
        <v>#N/A</v>
      </c>
      <c r="AK125" s="17" t="e">
        <f t="shared" ca="1" si="50"/>
        <v>#N/A</v>
      </c>
      <c r="AL125" s="17" t="e">
        <f t="shared" ca="1" si="50"/>
        <v>#N/A</v>
      </c>
      <c r="AM125" s="17" t="e">
        <f t="shared" ca="1" si="50"/>
        <v>#N/A</v>
      </c>
      <c r="AN125" s="17" t="e">
        <f t="shared" ca="1" si="50"/>
        <v>#N/A</v>
      </c>
      <c r="AO125" s="17" t="e">
        <f t="shared" ca="1" si="50"/>
        <v>#N/A</v>
      </c>
      <c r="AP125" s="17" t="e">
        <f t="shared" ca="1" si="50"/>
        <v>#N/A</v>
      </c>
      <c r="AQ125" s="17" t="e">
        <f t="shared" ca="1" si="50"/>
        <v>#N/A</v>
      </c>
      <c r="AR125" s="17" t="e">
        <f t="shared" ca="1" si="50"/>
        <v>#N/A</v>
      </c>
      <c r="AS125" s="17" t="e">
        <f t="shared" ca="1" si="50"/>
        <v>#N/A</v>
      </c>
      <c r="AT125" s="17" t="e">
        <f t="shared" ca="1" si="50"/>
        <v>#N/A</v>
      </c>
      <c r="AU125" s="17" t="e">
        <f t="shared" ca="1" si="50"/>
        <v>#N/A</v>
      </c>
      <c r="AV125" s="17" t="e">
        <f t="shared" ca="1" si="50"/>
        <v>#N/A</v>
      </c>
      <c r="AW125" s="17" t="e">
        <f t="shared" ca="1" si="50"/>
        <v>#N/A</v>
      </c>
      <c r="AX125" s="17" t="e">
        <f t="shared" ca="1" si="50"/>
        <v>#N/A</v>
      </c>
      <c r="AY125" s="17" t="e">
        <f t="shared" ca="1" si="50"/>
        <v>#N/A</v>
      </c>
      <c r="AZ125" s="17" t="e">
        <f t="shared" ca="1" si="50"/>
        <v>#N/A</v>
      </c>
      <c r="BA125" s="17" t="e">
        <f t="shared" ca="1" si="50"/>
        <v>#N/A</v>
      </c>
      <c r="BB125" s="17" t="e">
        <f t="shared" ca="1" si="50"/>
        <v>#N/A</v>
      </c>
      <c r="BC125" s="17" t="e">
        <f t="shared" ca="1" si="50"/>
        <v>#N/A</v>
      </c>
      <c r="BD125" s="17" t="e">
        <f t="shared" ca="1" si="50"/>
        <v>#N/A</v>
      </c>
      <c r="BE125" s="17" t="e">
        <f t="shared" ca="1" si="50"/>
        <v>#N/A</v>
      </c>
      <c r="BF125" s="17" t="e">
        <f t="shared" ca="1" si="50"/>
        <v>#N/A</v>
      </c>
      <c r="BG125" s="17" t="e">
        <f t="shared" ca="1" si="50"/>
        <v>#N/A</v>
      </c>
      <c r="BH125" s="17" t="e">
        <f t="shared" ca="1" si="50"/>
        <v>#N/A</v>
      </c>
      <c r="BI125" s="17" t="e">
        <f t="shared" ca="1" si="50"/>
        <v>#N/A</v>
      </c>
      <c r="BJ125" s="17" t="e">
        <f t="shared" ca="1" si="50"/>
        <v>#N/A</v>
      </c>
      <c r="BK125" s="17" t="e">
        <f t="shared" ca="1" si="50"/>
        <v>#N/A</v>
      </c>
      <c r="BL125" s="17" t="e">
        <f t="shared" ca="1" si="50"/>
        <v>#N/A</v>
      </c>
      <c r="BM125" s="17" t="e">
        <f t="shared" ca="1" si="50"/>
        <v>#N/A</v>
      </c>
      <c r="BN125" s="17" t="e">
        <f t="shared" ca="1" si="50"/>
        <v>#N/A</v>
      </c>
      <c r="BO125" s="17" t="e">
        <f t="shared" ca="1" si="50"/>
        <v>#N/A</v>
      </c>
      <c r="BP125" s="17" t="e">
        <f t="shared" ca="1" si="50"/>
        <v>#N/A</v>
      </c>
      <c r="BQ125" s="17" t="e">
        <f t="shared" ref="BQ125:BV125" ca="1" si="51">BQ62/$D125*100000</f>
        <v>#N/A</v>
      </c>
      <c r="BR125" s="17" t="e">
        <f t="shared" ca="1" si="51"/>
        <v>#N/A</v>
      </c>
      <c r="BS125" s="17" t="e">
        <f t="shared" ca="1" si="51"/>
        <v>#N/A</v>
      </c>
      <c r="BT125" s="17" t="e">
        <f t="shared" ca="1" si="51"/>
        <v>#N/A</v>
      </c>
      <c r="BU125" s="17" t="e">
        <f t="shared" ca="1" si="51"/>
        <v>#N/A</v>
      </c>
      <c r="BV125" s="17" t="e">
        <f t="shared" ca="1" si="51"/>
        <v>#N/A</v>
      </c>
    </row>
    <row r="126" spans="2:74" x14ac:dyDescent="0.25">
      <c r="B126">
        <f t="shared" ref="B126:D145" si="52">B63</f>
        <v>21</v>
      </c>
      <c r="C126">
        <f t="shared" ca="1" si="52"/>
        <v>0</v>
      </c>
      <c r="D126" s="1" t="e">
        <f t="shared" ca="1" si="52"/>
        <v>#N/A</v>
      </c>
      <c r="E126" s="17" t="e">
        <f t="shared" ref="E126:BP126" ca="1" si="53">E63/$D126*100000</f>
        <v>#N/A</v>
      </c>
      <c r="F126" s="17" t="e">
        <f t="shared" ca="1" si="53"/>
        <v>#N/A</v>
      </c>
      <c r="G126" s="17" t="e">
        <f t="shared" ca="1" si="53"/>
        <v>#N/A</v>
      </c>
      <c r="H126" s="17" t="e">
        <f t="shared" ca="1" si="53"/>
        <v>#N/A</v>
      </c>
      <c r="I126" s="17" t="e">
        <f t="shared" ca="1" si="53"/>
        <v>#N/A</v>
      </c>
      <c r="J126" s="17" t="e">
        <f t="shared" ca="1" si="53"/>
        <v>#N/A</v>
      </c>
      <c r="K126" s="17" t="e">
        <f t="shared" ca="1" si="53"/>
        <v>#N/A</v>
      </c>
      <c r="L126" s="17" t="e">
        <f t="shared" ca="1" si="53"/>
        <v>#N/A</v>
      </c>
      <c r="M126" s="17" t="e">
        <f t="shared" ca="1" si="53"/>
        <v>#N/A</v>
      </c>
      <c r="N126" s="17" t="e">
        <f t="shared" ca="1" si="53"/>
        <v>#N/A</v>
      </c>
      <c r="O126" s="17" t="e">
        <f t="shared" ca="1" si="53"/>
        <v>#N/A</v>
      </c>
      <c r="P126" s="17" t="e">
        <f t="shared" ca="1" si="53"/>
        <v>#N/A</v>
      </c>
      <c r="Q126" s="17" t="e">
        <f t="shared" ca="1" si="53"/>
        <v>#N/A</v>
      </c>
      <c r="R126" s="17" t="e">
        <f t="shared" ca="1" si="53"/>
        <v>#N/A</v>
      </c>
      <c r="S126" s="17" t="e">
        <f t="shared" ca="1" si="53"/>
        <v>#N/A</v>
      </c>
      <c r="T126" s="17" t="e">
        <f t="shared" ca="1" si="53"/>
        <v>#N/A</v>
      </c>
      <c r="U126" s="17" t="e">
        <f t="shared" ca="1" si="53"/>
        <v>#N/A</v>
      </c>
      <c r="V126" s="17" t="e">
        <f t="shared" ca="1" si="53"/>
        <v>#N/A</v>
      </c>
      <c r="W126" s="17" t="e">
        <f t="shared" ca="1" si="53"/>
        <v>#N/A</v>
      </c>
      <c r="X126" s="17" t="e">
        <f t="shared" ca="1" si="53"/>
        <v>#N/A</v>
      </c>
      <c r="Y126" s="17" t="e">
        <f t="shared" ca="1" si="53"/>
        <v>#N/A</v>
      </c>
      <c r="Z126" s="17" t="e">
        <f t="shared" ca="1" si="53"/>
        <v>#N/A</v>
      </c>
      <c r="AA126" s="17" t="e">
        <f t="shared" ca="1" si="53"/>
        <v>#N/A</v>
      </c>
      <c r="AB126" s="17" t="e">
        <f t="shared" ca="1" si="53"/>
        <v>#N/A</v>
      </c>
      <c r="AC126" s="17" t="e">
        <f t="shared" ca="1" si="53"/>
        <v>#N/A</v>
      </c>
      <c r="AD126" s="17" t="e">
        <f t="shared" ca="1" si="53"/>
        <v>#N/A</v>
      </c>
      <c r="AE126" s="17" t="e">
        <f t="shared" ca="1" si="53"/>
        <v>#N/A</v>
      </c>
      <c r="AF126" s="17" t="e">
        <f t="shared" ca="1" si="53"/>
        <v>#N/A</v>
      </c>
      <c r="AG126" s="17" t="e">
        <f t="shared" ca="1" si="53"/>
        <v>#N/A</v>
      </c>
      <c r="AH126" s="17" t="e">
        <f t="shared" ca="1" si="53"/>
        <v>#N/A</v>
      </c>
      <c r="AI126" s="17" t="e">
        <f t="shared" ca="1" si="53"/>
        <v>#N/A</v>
      </c>
      <c r="AJ126" s="17" t="e">
        <f t="shared" ca="1" si="53"/>
        <v>#N/A</v>
      </c>
      <c r="AK126" s="17" t="e">
        <f t="shared" ca="1" si="53"/>
        <v>#N/A</v>
      </c>
      <c r="AL126" s="17" t="e">
        <f t="shared" ca="1" si="53"/>
        <v>#N/A</v>
      </c>
      <c r="AM126" s="17" t="e">
        <f t="shared" ca="1" si="53"/>
        <v>#N/A</v>
      </c>
      <c r="AN126" s="17" t="e">
        <f t="shared" ca="1" si="53"/>
        <v>#N/A</v>
      </c>
      <c r="AO126" s="17" t="e">
        <f t="shared" ca="1" si="53"/>
        <v>#N/A</v>
      </c>
      <c r="AP126" s="17" t="e">
        <f t="shared" ca="1" si="53"/>
        <v>#N/A</v>
      </c>
      <c r="AQ126" s="17" t="e">
        <f t="shared" ca="1" si="53"/>
        <v>#N/A</v>
      </c>
      <c r="AR126" s="17" t="e">
        <f t="shared" ca="1" si="53"/>
        <v>#N/A</v>
      </c>
      <c r="AS126" s="17" t="e">
        <f t="shared" ca="1" si="53"/>
        <v>#N/A</v>
      </c>
      <c r="AT126" s="17" t="e">
        <f t="shared" ca="1" si="53"/>
        <v>#N/A</v>
      </c>
      <c r="AU126" s="17" t="e">
        <f t="shared" ca="1" si="53"/>
        <v>#N/A</v>
      </c>
      <c r="AV126" s="17" t="e">
        <f t="shared" ca="1" si="53"/>
        <v>#N/A</v>
      </c>
      <c r="AW126" s="17" t="e">
        <f t="shared" ca="1" si="53"/>
        <v>#N/A</v>
      </c>
      <c r="AX126" s="17" t="e">
        <f t="shared" ca="1" si="53"/>
        <v>#N/A</v>
      </c>
      <c r="AY126" s="17" t="e">
        <f t="shared" ca="1" si="53"/>
        <v>#N/A</v>
      </c>
      <c r="AZ126" s="17" t="e">
        <f t="shared" ca="1" si="53"/>
        <v>#N/A</v>
      </c>
      <c r="BA126" s="17" t="e">
        <f t="shared" ca="1" si="53"/>
        <v>#N/A</v>
      </c>
      <c r="BB126" s="17" t="e">
        <f t="shared" ca="1" si="53"/>
        <v>#N/A</v>
      </c>
      <c r="BC126" s="17" t="e">
        <f t="shared" ca="1" si="53"/>
        <v>#N/A</v>
      </c>
      <c r="BD126" s="17" t="e">
        <f t="shared" ca="1" si="53"/>
        <v>#N/A</v>
      </c>
      <c r="BE126" s="17" t="e">
        <f t="shared" ca="1" si="53"/>
        <v>#N/A</v>
      </c>
      <c r="BF126" s="17" t="e">
        <f t="shared" ca="1" si="53"/>
        <v>#N/A</v>
      </c>
      <c r="BG126" s="17" t="e">
        <f t="shared" ca="1" si="53"/>
        <v>#N/A</v>
      </c>
      <c r="BH126" s="17" t="e">
        <f t="shared" ca="1" si="53"/>
        <v>#N/A</v>
      </c>
      <c r="BI126" s="17" t="e">
        <f t="shared" ca="1" si="53"/>
        <v>#N/A</v>
      </c>
      <c r="BJ126" s="17" t="e">
        <f t="shared" ca="1" si="53"/>
        <v>#N/A</v>
      </c>
      <c r="BK126" s="17" t="e">
        <f t="shared" ca="1" si="53"/>
        <v>#N/A</v>
      </c>
      <c r="BL126" s="17" t="e">
        <f t="shared" ca="1" si="53"/>
        <v>#N/A</v>
      </c>
      <c r="BM126" s="17" t="e">
        <f t="shared" ca="1" si="53"/>
        <v>#N/A</v>
      </c>
      <c r="BN126" s="17" t="e">
        <f t="shared" ca="1" si="53"/>
        <v>#N/A</v>
      </c>
      <c r="BO126" s="17" t="e">
        <f t="shared" ca="1" si="53"/>
        <v>#N/A</v>
      </c>
      <c r="BP126" s="17" t="e">
        <f t="shared" ca="1" si="53"/>
        <v>#N/A</v>
      </c>
      <c r="BQ126" s="17" t="e">
        <f t="shared" ref="BQ126:BV126" ca="1" si="54">BQ63/$D126*100000</f>
        <v>#N/A</v>
      </c>
      <c r="BR126" s="17" t="e">
        <f t="shared" ca="1" si="54"/>
        <v>#N/A</v>
      </c>
      <c r="BS126" s="17" t="e">
        <f t="shared" ca="1" si="54"/>
        <v>#N/A</v>
      </c>
      <c r="BT126" s="17" t="e">
        <f t="shared" ca="1" si="54"/>
        <v>#N/A</v>
      </c>
      <c r="BU126" s="17" t="e">
        <f t="shared" ca="1" si="54"/>
        <v>#N/A</v>
      </c>
      <c r="BV126" s="17" t="e">
        <f t="shared" ca="1" si="54"/>
        <v>#N/A</v>
      </c>
    </row>
    <row r="127" spans="2:74" x14ac:dyDescent="0.25">
      <c r="B127">
        <f t="shared" si="52"/>
        <v>22</v>
      </c>
      <c r="C127">
        <f t="shared" ca="1" si="52"/>
        <v>0</v>
      </c>
      <c r="D127" s="1" t="e">
        <f t="shared" ca="1" si="52"/>
        <v>#N/A</v>
      </c>
      <c r="E127" s="17" t="e">
        <f t="shared" ref="E127:BP127" ca="1" si="55">E64/$D127*100000</f>
        <v>#N/A</v>
      </c>
      <c r="F127" s="17" t="e">
        <f t="shared" ca="1" si="55"/>
        <v>#N/A</v>
      </c>
      <c r="G127" s="17" t="e">
        <f t="shared" ca="1" si="55"/>
        <v>#N/A</v>
      </c>
      <c r="H127" s="17" t="e">
        <f t="shared" ca="1" si="55"/>
        <v>#N/A</v>
      </c>
      <c r="I127" s="17" t="e">
        <f t="shared" ca="1" si="55"/>
        <v>#N/A</v>
      </c>
      <c r="J127" s="17" t="e">
        <f t="shared" ca="1" si="55"/>
        <v>#N/A</v>
      </c>
      <c r="K127" s="17" t="e">
        <f t="shared" ca="1" si="55"/>
        <v>#N/A</v>
      </c>
      <c r="L127" s="17" t="e">
        <f t="shared" ca="1" si="55"/>
        <v>#N/A</v>
      </c>
      <c r="M127" s="17" t="e">
        <f t="shared" ca="1" si="55"/>
        <v>#N/A</v>
      </c>
      <c r="N127" s="17" t="e">
        <f t="shared" ca="1" si="55"/>
        <v>#N/A</v>
      </c>
      <c r="O127" s="17" t="e">
        <f t="shared" ca="1" si="55"/>
        <v>#N/A</v>
      </c>
      <c r="P127" s="17" t="e">
        <f t="shared" ca="1" si="55"/>
        <v>#N/A</v>
      </c>
      <c r="Q127" s="17" t="e">
        <f t="shared" ca="1" si="55"/>
        <v>#N/A</v>
      </c>
      <c r="R127" s="17" t="e">
        <f t="shared" ca="1" si="55"/>
        <v>#N/A</v>
      </c>
      <c r="S127" s="17" t="e">
        <f t="shared" ca="1" si="55"/>
        <v>#N/A</v>
      </c>
      <c r="T127" s="17" t="e">
        <f t="shared" ca="1" si="55"/>
        <v>#N/A</v>
      </c>
      <c r="U127" s="17" t="e">
        <f t="shared" ca="1" si="55"/>
        <v>#N/A</v>
      </c>
      <c r="V127" s="17" t="e">
        <f t="shared" ca="1" si="55"/>
        <v>#N/A</v>
      </c>
      <c r="W127" s="17" t="e">
        <f t="shared" ca="1" si="55"/>
        <v>#N/A</v>
      </c>
      <c r="X127" s="17" t="e">
        <f t="shared" ca="1" si="55"/>
        <v>#N/A</v>
      </c>
      <c r="Y127" s="17" t="e">
        <f t="shared" ca="1" si="55"/>
        <v>#N/A</v>
      </c>
      <c r="Z127" s="17" t="e">
        <f t="shared" ca="1" si="55"/>
        <v>#N/A</v>
      </c>
      <c r="AA127" s="17" t="e">
        <f t="shared" ca="1" si="55"/>
        <v>#N/A</v>
      </c>
      <c r="AB127" s="17" t="e">
        <f t="shared" ca="1" si="55"/>
        <v>#N/A</v>
      </c>
      <c r="AC127" s="17" t="e">
        <f t="shared" ca="1" si="55"/>
        <v>#N/A</v>
      </c>
      <c r="AD127" s="17" t="e">
        <f t="shared" ca="1" si="55"/>
        <v>#N/A</v>
      </c>
      <c r="AE127" s="17" t="e">
        <f t="shared" ca="1" si="55"/>
        <v>#N/A</v>
      </c>
      <c r="AF127" s="17" t="e">
        <f t="shared" ca="1" si="55"/>
        <v>#N/A</v>
      </c>
      <c r="AG127" s="17" t="e">
        <f t="shared" ca="1" si="55"/>
        <v>#N/A</v>
      </c>
      <c r="AH127" s="17" t="e">
        <f t="shared" ca="1" si="55"/>
        <v>#N/A</v>
      </c>
      <c r="AI127" s="17" t="e">
        <f t="shared" ca="1" si="55"/>
        <v>#N/A</v>
      </c>
      <c r="AJ127" s="17" t="e">
        <f t="shared" ca="1" si="55"/>
        <v>#N/A</v>
      </c>
      <c r="AK127" s="17" t="e">
        <f t="shared" ca="1" si="55"/>
        <v>#N/A</v>
      </c>
      <c r="AL127" s="17" t="e">
        <f t="shared" ca="1" si="55"/>
        <v>#N/A</v>
      </c>
      <c r="AM127" s="17" t="e">
        <f t="shared" ca="1" si="55"/>
        <v>#N/A</v>
      </c>
      <c r="AN127" s="17" t="e">
        <f t="shared" ca="1" si="55"/>
        <v>#N/A</v>
      </c>
      <c r="AO127" s="17" t="e">
        <f t="shared" ca="1" si="55"/>
        <v>#N/A</v>
      </c>
      <c r="AP127" s="17" t="e">
        <f t="shared" ca="1" si="55"/>
        <v>#N/A</v>
      </c>
      <c r="AQ127" s="17" t="e">
        <f t="shared" ca="1" si="55"/>
        <v>#N/A</v>
      </c>
      <c r="AR127" s="17" t="e">
        <f t="shared" ca="1" si="55"/>
        <v>#N/A</v>
      </c>
      <c r="AS127" s="17" t="e">
        <f t="shared" ca="1" si="55"/>
        <v>#N/A</v>
      </c>
      <c r="AT127" s="17" t="e">
        <f t="shared" ca="1" si="55"/>
        <v>#N/A</v>
      </c>
      <c r="AU127" s="17" t="e">
        <f t="shared" ca="1" si="55"/>
        <v>#N/A</v>
      </c>
      <c r="AV127" s="17" t="e">
        <f t="shared" ca="1" si="55"/>
        <v>#N/A</v>
      </c>
      <c r="AW127" s="17" t="e">
        <f t="shared" ca="1" si="55"/>
        <v>#N/A</v>
      </c>
      <c r="AX127" s="17" t="e">
        <f t="shared" ca="1" si="55"/>
        <v>#N/A</v>
      </c>
      <c r="AY127" s="17" t="e">
        <f t="shared" ca="1" si="55"/>
        <v>#N/A</v>
      </c>
      <c r="AZ127" s="17" t="e">
        <f t="shared" ca="1" si="55"/>
        <v>#N/A</v>
      </c>
      <c r="BA127" s="17" t="e">
        <f t="shared" ca="1" si="55"/>
        <v>#N/A</v>
      </c>
      <c r="BB127" s="17" t="e">
        <f t="shared" ca="1" si="55"/>
        <v>#N/A</v>
      </c>
      <c r="BC127" s="17" t="e">
        <f t="shared" ca="1" si="55"/>
        <v>#N/A</v>
      </c>
      <c r="BD127" s="17" t="e">
        <f t="shared" ca="1" si="55"/>
        <v>#N/A</v>
      </c>
      <c r="BE127" s="17" t="e">
        <f t="shared" ca="1" si="55"/>
        <v>#N/A</v>
      </c>
      <c r="BF127" s="17" t="e">
        <f t="shared" ca="1" si="55"/>
        <v>#N/A</v>
      </c>
      <c r="BG127" s="17" t="e">
        <f t="shared" ca="1" si="55"/>
        <v>#N/A</v>
      </c>
      <c r="BH127" s="17" t="e">
        <f t="shared" ca="1" si="55"/>
        <v>#N/A</v>
      </c>
      <c r="BI127" s="17" t="e">
        <f t="shared" ca="1" si="55"/>
        <v>#N/A</v>
      </c>
      <c r="BJ127" s="17" t="e">
        <f t="shared" ca="1" si="55"/>
        <v>#N/A</v>
      </c>
      <c r="BK127" s="17" t="e">
        <f t="shared" ca="1" si="55"/>
        <v>#N/A</v>
      </c>
      <c r="BL127" s="17" t="e">
        <f t="shared" ca="1" si="55"/>
        <v>#N/A</v>
      </c>
      <c r="BM127" s="17" t="e">
        <f t="shared" ca="1" si="55"/>
        <v>#N/A</v>
      </c>
      <c r="BN127" s="17" t="e">
        <f t="shared" ca="1" si="55"/>
        <v>#N/A</v>
      </c>
      <c r="BO127" s="17" t="e">
        <f t="shared" ca="1" si="55"/>
        <v>#N/A</v>
      </c>
      <c r="BP127" s="17" t="e">
        <f t="shared" ca="1" si="55"/>
        <v>#N/A</v>
      </c>
      <c r="BQ127" s="17" t="e">
        <f t="shared" ref="BQ127:BV127" ca="1" si="56">BQ64/$D127*100000</f>
        <v>#N/A</v>
      </c>
      <c r="BR127" s="17" t="e">
        <f t="shared" ca="1" si="56"/>
        <v>#N/A</v>
      </c>
      <c r="BS127" s="17" t="e">
        <f t="shared" ca="1" si="56"/>
        <v>#N/A</v>
      </c>
      <c r="BT127" s="17" t="e">
        <f t="shared" ca="1" si="56"/>
        <v>#N/A</v>
      </c>
      <c r="BU127" s="17" t="e">
        <f t="shared" ca="1" si="56"/>
        <v>#N/A</v>
      </c>
      <c r="BV127" s="17" t="e">
        <f t="shared" ca="1" si="56"/>
        <v>#N/A</v>
      </c>
    </row>
    <row r="128" spans="2:74" x14ac:dyDescent="0.25">
      <c r="B128">
        <f t="shared" si="52"/>
        <v>23</v>
      </c>
      <c r="C128">
        <f t="shared" ca="1" si="52"/>
        <v>0</v>
      </c>
      <c r="D128" s="1" t="e">
        <f t="shared" ca="1" si="52"/>
        <v>#N/A</v>
      </c>
      <c r="E128" s="17" t="e">
        <f t="shared" ref="E128:BP128" ca="1" si="57">E65/$D128*100000</f>
        <v>#N/A</v>
      </c>
      <c r="F128" s="17" t="e">
        <f t="shared" ca="1" si="57"/>
        <v>#N/A</v>
      </c>
      <c r="G128" s="17" t="e">
        <f t="shared" ca="1" si="57"/>
        <v>#N/A</v>
      </c>
      <c r="H128" s="17" t="e">
        <f t="shared" ca="1" si="57"/>
        <v>#N/A</v>
      </c>
      <c r="I128" s="17" t="e">
        <f t="shared" ca="1" si="57"/>
        <v>#N/A</v>
      </c>
      <c r="J128" s="17" t="e">
        <f t="shared" ca="1" si="57"/>
        <v>#N/A</v>
      </c>
      <c r="K128" s="17" t="e">
        <f t="shared" ca="1" si="57"/>
        <v>#N/A</v>
      </c>
      <c r="L128" s="17" t="e">
        <f t="shared" ca="1" si="57"/>
        <v>#N/A</v>
      </c>
      <c r="M128" s="17" t="e">
        <f t="shared" ca="1" si="57"/>
        <v>#N/A</v>
      </c>
      <c r="N128" s="17" t="e">
        <f t="shared" ca="1" si="57"/>
        <v>#N/A</v>
      </c>
      <c r="O128" s="17" t="e">
        <f t="shared" ca="1" si="57"/>
        <v>#N/A</v>
      </c>
      <c r="P128" s="17" t="e">
        <f t="shared" ca="1" si="57"/>
        <v>#N/A</v>
      </c>
      <c r="Q128" s="17" t="e">
        <f t="shared" ca="1" si="57"/>
        <v>#N/A</v>
      </c>
      <c r="R128" s="17" t="e">
        <f t="shared" ca="1" si="57"/>
        <v>#N/A</v>
      </c>
      <c r="S128" s="17" t="e">
        <f t="shared" ca="1" si="57"/>
        <v>#N/A</v>
      </c>
      <c r="T128" s="17" t="e">
        <f t="shared" ca="1" si="57"/>
        <v>#N/A</v>
      </c>
      <c r="U128" s="17" t="e">
        <f t="shared" ca="1" si="57"/>
        <v>#N/A</v>
      </c>
      <c r="V128" s="17" t="e">
        <f t="shared" ca="1" si="57"/>
        <v>#N/A</v>
      </c>
      <c r="W128" s="17" t="e">
        <f t="shared" ca="1" si="57"/>
        <v>#N/A</v>
      </c>
      <c r="X128" s="17" t="e">
        <f t="shared" ca="1" si="57"/>
        <v>#N/A</v>
      </c>
      <c r="Y128" s="17" t="e">
        <f t="shared" ca="1" si="57"/>
        <v>#N/A</v>
      </c>
      <c r="Z128" s="17" t="e">
        <f t="shared" ca="1" si="57"/>
        <v>#N/A</v>
      </c>
      <c r="AA128" s="17" t="e">
        <f t="shared" ca="1" si="57"/>
        <v>#N/A</v>
      </c>
      <c r="AB128" s="17" t="e">
        <f t="shared" ca="1" si="57"/>
        <v>#N/A</v>
      </c>
      <c r="AC128" s="17" t="e">
        <f t="shared" ca="1" si="57"/>
        <v>#N/A</v>
      </c>
      <c r="AD128" s="17" t="e">
        <f t="shared" ca="1" si="57"/>
        <v>#N/A</v>
      </c>
      <c r="AE128" s="17" t="e">
        <f t="shared" ca="1" si="57"/>
        <v>#N/A</v>
      </c>
      <c r="AF128" s="17" t="e">
        <f t="shared" ca="1" si="57"/>
        <v>#N/A</v>
      </c>
      <c r="AG128" s="17" t="e">
        <f t="shared" ca="1" si="57"/>
        <v>#N/A</v>
      </c>
      <c r="AH128" s="17" t="e">
        <f t="shared" ca="1" si="57"/>
        <v>#N/A</v>
      </c>
      <c r="AI128" s="17" t="e">
        <f t="shared" ca="1" si="57"/>
        <v>#N/A</v>
      </c>
      <c r="AJ128" s="17" t="e">
        <f t="shared" ca="1" si="57"/>
        <v>#N/A</v>
      </c>
      <c r="AK128" s="17" t="e">
        <f t="shared" ca="1" si="57"/>
        <v>#N/A</v>
      </c>
      <c r="AL128" s="17" t="e">
        <f t="shared" ca="1" si="57"/>
        <v>#N/A</v>
      </c>
      <c r="AM128" s="17" t="e">
        <f t="shared" ca="1" si="57"/>
        <v>#N/A</v>
      </c>
      <c r="AN128" s="17" t="e">
        <f t="shared" ca="1" si="57"/>
        <v>#N/A</v>
      </c>
      <c r="AO128" s="17" t="e">
        <f t="shared" ca="1" si="57"/>
        <v>#N/A</v>
      </c>
      <c r="AP128" s="17" t="e">
        <f t="shared" ca="1" si="57"/>
        <v>#N/A</v>
      </c>
      <c r="AQ128" s="17" t="e">
        <f t="shared" ca="1" si="57"/>
        <v>#N/A</v>
      </c>
      <c r="AR128" s="17" t="e">
        <f t="shared" ca="1" si="57"/>
        <v>#N/A</v>
      </c>
      <c r="AS128" s="17" t="e">
        <f t="shared" ca="1" si="57"/>
        <v>#N/A</v>
      </c>
      <c r="AT128" s="17" t="e">
        <f t="shared" ca="1" si="57"/>
        <v>#N/A</v>
      </c>
      <c r="AU128" s="17" t="e">
        <f t="shared" ca="1" si="57"/>
        <v>#N/A</v>
      </c>
      <c r="AV128" s="17" t="e">
        <f t="shared" ca="1" si="57"/>
        <v>#N/A</v>
      </c>
      <c r="AW128" s="17" t="e">
        <f t="shared" ca="1" si="57"/>
        <v>#N/A</v>
      </c>
      <c r="AX128" s="17" t="e">
        <f t="shared" ca="1" si="57"/>
        <v>#N/A</v>
      </c>
      <c r="AY128" s="17" t="e">
        <f t="shared" ca="1" si="57"/>
        <v>#N/A</v>
      </c>
      <c r="AZ128" s="17" t="e">
        <f t="shared" ca="1" si="57"/>
        <v>#N/A</v>
      </c>
      <c r="BA128" s="17" t="e">
        <f t="shared" ca="1" si="57"/>
        <v>#N/A</v>
      </c>
      <c r="BB128" s="17" t="e">
        <f t="shared" ca="1" si="57"/>
        <v>#N/A</v>
      </c>
      <c r="BC128" s="17" t="e">
        <f t="shared" ca="1" si="57"/>
        <v>#N/A</v>
      </c>
      <c r="BD128" s="17" t="e">
        <f t="shared" ca="1" si="57"/>
        <v>#N/A</v>
      </c>
      <c r="BE128" s="17" t="e">
        <f t="shared" ca="1" si="57"/>
        <v>#N/A</v>
      </c>
      <c r="BF128" s="17" t="e">
        <f t="shared" ca="1" si="57"/>
        <v>#N/A</v>
      </c>
      <c r="BG128" s="17" t="e">
        <f t="shared" ca="1" si="57"/>
        <v>#N/A</v>
      </c>
      <c r="BH128" s="17" t="e">
        <f t="shared" ca="1" si="57"/>
        <v>#N/A</v>
      </c>
      <c r="BI128" s="17" t="e">
        <f t="shared" ca="1" si="57"/>
        <v>#N/A</v>
      </c>
      <c r="BJ128" s="17" t="e">
        <f t="shared" ca="1" si="57"/>
        <v>#N/A</v>
      </c>
      <c r="BK128" s="17" t="e">
        <f t="shared" ca="1" si="57"/>
        <v>#N/A</v>
      </c>
      <c r="BL128" s="17" t="e">
        <f t="shared" ca="1" si="57"/>
        <v>#N/A</v>
      </c>
      <c r="BM128" s="17" t="e">
        <f t="shared" ca="1" si="57"/>
        <v>#N/A</v>
      </c>
      <c r="BN128" s="17" t="e">
        <f t="shared" ca="1" si="57"/>
        <v>#N/A</v>
      </c>
      <c r="BO128" s="17" t="e">
        <f t="shared" ca="1" si="57"/>
        <v>#N/A</v>
      </c>
      <c r="BP128" s="17" t="e">
        <f t="shared" ca="1" si="57"/>
        <v>#N/A</v>
      </c>
      <c r="BQ128" s="17" t="e">
        <f t="shared" ref="BQ128:BV128" ca="1" si="58">BQ65/$D128*100000</f>
        <v>#N/A</v>
      </c>
      <c r="BR128" s="17" t="e">
        <f t="shared" ca="1" si="58"/>
        <v>#N/A</v>
      </c>
      <c r="BS128" s="17" t="e">
        <f t="shared" ca="1" si="58"/>
        <v>#N/A</v>
      </c>
      <c r="BT128" s="17" t="e">
        <f t="shared" ca="1" si="58"/>
        <v>#N/A</v>
      </c>
      <c r="BU128" s="17" t="e">
        <f t="shared" ca="1" si="58"/>
        <v>#N/A</v>
      </c>
      <c r="BV128" s="17" t="e">
        <f t="shared" ca="1" si="58"/>
        <v>#N/A</v>
      </c>
    </row>
    <row r="129" spans="2:74" x14ac:dyDescent="0.25">
      <c r="B129">
        <f t="shared" si="52"/>
        <v>24</v>
      </c>
      <c r="C129">
        <f t="shared" ca="1" si="52"/>
        <v>0</v>
      </c>
      <c r="D129" s="1" t="e">
        <f t="shared" ca="1" si="52"/>
        <v>#N/A</v>
      </c>
      <c r="E129" s="17" t="e">
        <f t="shared" ref="E129:BP129" ca="1" si="59">E66/$D129*100000</f>
        <v>#N/A</v>
      </c>
      <c r="F129" s="17" t="e">
        <f t="shared" ca="1" si="59"/>
        <v>#N/A</v>
      </c>
      <c r="G129" s="17" t="e">
        <f t="shared" ca="1" si="59"/>
        <v>#N/A</v>
      </c>
      <c r="H129" s="17" t="e">
        <f t="shared" ca="1" si="59"/>
        <v>#N/A</v>
      </c>
      <c r="I129" s="17" t="e">
        <f t="shared" ca="1" si="59"/>
        <v>#N/A</v>
      </c>
      <c r="J129" s="17" t="e">
        <f t="shared" ca="1" si="59"/>
        <v>#N/A</v>
      </c>
      <c r="K129" s="17" t="e">
        <f t="shared" ca="1" si="59"/>
        <v>#N/A</v>
      </c>
      <c r="L129" s="17" t="e">
        <f t="shared" ca="1" si="59"/>
        <v>#N/A</v>
      </c>
      <c r="M129" s="17" t="e">
        <f t="shared" ca="1" si="59"/>
        <v>#N/A</v>
      </c>
      <c r="N129" s="17" t="e">
        <f t="shared" ca="1" si="59"/>
        <v>#N/A</v>
      </c>
      <c r="O129" s="17" t="e">
        <f t="shared" ca="1" si="59"/>
        <v>#N/A</v>
      </c>
      <c r="P129" s="17" t="e">
        <f t="shared" ca="1" si="59"/>
        <v>#N/A</v>
      </c>
      <c r="Q129" s="17" t="e">
        <f t="shared" ca="1" si="59"/>
        <v>#N/A</v>
      </c>
      <c r="R129" s="17" t="e">
        <f t="shared" ca="1" si="59"/>
        <v>#N/A</v>
      </c>
      <c r="S129" s="17" t="e">
        <f t="shared" ca="1" si="59"/>
        <v>#N/A</v>
      </c>
      <c r="T129" s="17" t="e">
        <f t="shared" ca="1" si="59"/>
        <v>#N/A</v>
      </c>
      <c r="U129" s="17" t="e">
        <f t="shared" ca="1" si="59"/>
        <v>#N/A</v>
      </c>
      <c r="V129" s="17" t="e">
        <f t="shared" ca="1" si="59"/>
        <v>#N/A</v>
      </c>
      <c r="W129" s="17" t="e">
        <f t="shared" ca="1" si="59"/>
        <v>#N/A</v>
      </c>
      <c r="X129" s="17" t="e">
        <f t="shared" ca="1" si="59"/>
        <v>#N/A</v>
      </c>
      <c r="Y129" s="17" t="e">
        <f t="shared" ca="1" si="59"/>
        <v>#N/A</v>
      </c>
      <c r="Z129" s="17" t="e">
        <f t="shared" ca="1" si="59"/>
        <v>#N/A</v>
      </c>
      <c r="AA129" s="17" t="e">
        <f t="shared" ca="1" si="59"/>
        <v>#N/A</v>
      </c>
      <c r="AB129" s="17" t="e">
        <f t="shared" ca="1" si="59"/>
        <v>#N/A</v>
      </c>
      <c r="AC129" s="17" t="e">
        <f t="shared" ca="1" si="59"/>
        <v>#N/A</v>
      </c>
      <c r="AD129" s="17" t="e">
        <f t="shared" ca="1" si="59"/>
        <v>#N/A</v>
      </c>
      <c r="AE129" s="17" t="e">
        <f t="shared" ca="1" si="59"/>
        <v>#N/A</v>
      </c>
      <c r="AF129" s="17" t="e">
        <f t="shared" ca="1" si="59"/>
        <v>#N/A</v>
      </c>
      <c r="AG129" s="17" t="e">
        <f t="shared" ca="1" si="59"/>
        <v>#N/A</v>
      </c>
      <c r="AH129" s="17" t="e">
        <f t="shared" ca="1" si="59"/>
        <v>#N/A</v>
      </c>
      <c r="AI129" s="17" t="e">
        <f t="shared" ca="1" si="59"/>
        <v>#N/A</v>
      </c>
      <c r="AJ129" s="17" t="e">
        <f t="shared" ca="1" si="59"/>
        <v>#N/A</v>
      </c>
      <c r="AK129" s="17" t="e">
        <f t="shared" ca="1" si="59"/>
        <v>#N/A</v>
      </c>
      <c r="AL129" s="17" t="e">
        <f t="shared" ca="1" si="59"/>
        <v>#N/A</v>
      </c>
      <c r="AM129" s="17" t="e">
        <f t="shared" ca="1" si="59"/>
        <v>#N/A</v>
      </c>
      <c r="AN129" s="17" t="e">
        <f t="shared" ca="1" si="59"/>
        <v>#N/A</v>
      </c>
      <c r="AO129" s="17" t="e">
        <f t="shared" ca="1" si="59"/>
        <v>#N/A</v>
      </c>
      <c r="AP129" s="17" t="e">
        <f t="shared" ca="1" si="59"/>
        <v>#N/A</v>
      </c>
      <c r="AQ129" s="17" t="e">
        <f t="shared" ca="1" si="59"/>
        <v>#N/A</v>
      </c>
      <c r="AR129" s="17" t="e">
        <f t="shared" ca="1" si="59"/>
        <v>#N/A</v>
      </c>
      <c r="AS129" s="17" t="e">
        <f t="shared" ca="1" si="59"/>
        <v>#N/A</v>
      </c>
      <c r="AT129" s="17" t="e">
        <f t="shared" ca="1" si="59"/>
        <v>#N/A</v>
      </c>
      <c r="AU129" s="17" t="e">
        <f t="shared" ca="1" si="59"/>
        <v>#N/A</v>
      </c>
      <c r="AV129" s="17" t="e">
        <f t="shared" ca="1" si="59"/>
        <v>#N/A</v>
      </c>
      <c r="AW129" s="17" t="e">
        <f t="shared" ca="1" si="59"/>
        <v>#N/A</v>
      </c>
      <c r="AX129" s="17" t="e">
        <f t="shared" ca="1" si="59"/>
        <v>#N/A</v>
      </c>
      <c r="AY129" s="17" t="e">
        <f t="shared" ca="1" si="59"/>
        <v>#N/A</v>
      </c>
      <c r="AZ129" s="17" t="e">
        <f t="shared" ca="1" si="59"/>
        <v>#N/A</v>
      </c>
      <c r="BA129" s="17" t="e">
        <f t="shared" ca="1" si="59"/>
        <v>#N/A</v>
      </c>
      <c r="BB129" s="17" t="e">
        <f t="shared" ca="1" si="59"/>
        <v>#N/A</v>
      </c>
      <c r="BC129" s="17" t="e">
        <f t="shared" ca="1" si="59"/>
        <v>#N/A</v>
      </c>
      <c r="BD129" s="17" t="e">
        <f t="shared" ca="1" si="59"/>
        <v>#N/A</v>
      </c>
      <c r="BE129" s="17" t="e">
        <f t="shared" ca="1" si="59"/>
        <v>#N/A</v>
      </c>
      <c r="BF129" s="17" t="e">
        <f t="shared" ca="1" si="59"/>
        <v>#N/A</v>
      </c>
      <c r="BG129" s="17" t="e">
        <f t="shared" ca="1" si="59"/>
        <v>#N/A</v>
      </c>
      <c r="BH129" s="17" t="e">
        <f t="shared" ca="1" si="59"/>
        <v>#N/A</v>
      </c>
      <c r="BI129" s="17" t="e">
        <f t="shared" ca="1" si="59"/>
        <v>#N/A</v>
      </c>
      <c r="BJ129" s="17" t="e">
        <f t="shared" ca="1" si="59"/>
        <v>#N/A</v>
      </c>
      <c r="BK129" s="17" t="e">
        <f t="shared" ca="1" si="59"/>
        <v>#N/A</v>
      </c>
      <c r="BL129" s="17" t="e">
        <f t="shared" ca="1" si="59"/>
        <v>#N/A</v>
      </c>
      <c r="BM129" s="17" t="e">
        <f t="shared" ca="1" si="59"/>
        <v>#N/A</v>
      </c>
      <c r="BN129" s="17" t="e">
        <f t="shared" ca="1" si="59"/>
        <v>#N/A</v>
      </c>
      <c r="BO129" s="17" t="e">
        <f t="shared" ca="1" si="59"/>
        <v>#N/A</v>
      </c>
      <c r="BP129" s="17" t="e">
        <f t="shared" ca="1" si="59"/>
        <v>#N/A</v>
      </c>
      <c r="BQ129" s="17" t="e">
        <f t="shared" ref="BQ129:BV129" ca="1" si="60">BQ66/$D129*100000</f>
        <v>#N/A</v>
      </c>
      <c r="BR129" s="17" t="e">
        <f t="shared" ca="1" si="60"/>
        <v>#N/A</v>
      </c>
      <c r="BS129" s="17" t="e">
        <f t="shared" ca="1" si="60"/>
        <v>#N/A</v>
      </c>
      <c r="BT129" s="17" t="e">
        <f t="shared" ca="1" si="60"/>
        <v>#N/A</v>
      </c>
      <c r="BU129" s="17" t="e">
        <f t="shared" ca="1" si="60"/>
        <v>#N/A</v>
      </c>
      <c r="BV129" s="17" t="e">
        <f t="shared" ca="1" si="60"/>
        <v>#N/A</v>
      </c>
    </row>
    <row r="130" spans="2:74" x14ac:dyDescent="0.25">
      <c r="B130">
        <f t="shared" si="52"/>
        <v>25</v>
      </c>
      <c r="C130">
        <f t="shared" ca="1" si="52"/>
        <v>0</v>
      </c>
      <c r="D130" s="1" t="e">
        <f t="shared" ca="1" si="52"/>
        <v>#N/A</v>
      </c>
      <c r="E130" s="17" t="e">
        <f t="shared" ref="E130:BP130" ca="1" si="61">E67/$D130*100000</f>
        <v>#N/A</v>
      </c>
      <c r="F130" s="17" t="e">
        <f t="shared" ca="1" si="61"/>
        <v>#N/A</v>
      </c>
      <c r="G130" s="17" t="e">
        <f t="shared" ca="1" si="61"/>
        <v>#N/A</v>
      </c>
      <c r="H130" s="17" t="e">
        <f t="shared" ca="1" si="61"/>
        <v>#N/A</v>
      </c>
      <c r="I130" s="17" t="e">
        <f t="shared" ca="1" si="61"/>
        <v>#N/A</v>
      </c>
      <c r="J130" s="17" t="e">
        <f t="shared" ca="1" si="61"/>
        <v>#N/A</v>
      </c>
      <c r="K130" s="17" t="e">
        <f t="shared" ca="1" si="61"/>
        <v>#N/A</v>
      </c>
      <c r="L130" s="17" t="e">
        <f t="shared" ca="1" si="61"/>
        <v>#N/A</v>
      </c>
      <c r="M130" s="17" t="e">
        <f t="shared" ca="1" si="61"/>
        <v>#N/A</v>
      </c>
      <c r="N130" s="17" t="e">
        <f t="shared" ca="1" si="61"/>
        <v>#N/A</v>
      </c>
      <c r="O130" s="17" t="e">
        <f t="shared" ca="1" si="61"/>
        <v>#N/A</v>
      </c>
      <c r="P130" s="17" t="e">
        <f t="shared" ca="1" si="61"/>
        <v>#N/A</v>
      </c>
      <c r="Q130" s="17" t="e">
        <f t="shared" ca="1" si="61"/>
        <v>#N/A</v>
      </c>
      <c r="R130" s="17" t="e">
        <f t="shared" ca="1" si="61"/>
        <v>#N/A</v>
      </c>
      <c r="S130" s="17" t="e">
        <f t="shared" ca="1" si="61"/>
        <v>#N/A</v>
      </c>
      <c r="T130" s="17" t="e">
        <f t="shared" ca="1" si="61"/>
        <v>#N/A</v>
      </c>
      <c r="U130" s="17" t="e">
        <f t="shared" ca="1" si="61"/>
        <v>#N/A</v>
      </c>
      <c r="V130" s="17" t="e">
        <f t="shared" ca="1" si="61"/>
        <v>#N/A</v>
      </c>
      <c r="W130" s="17" t="e">
        <f t="shared" ca="1" si="61"/>
        <v>#N/A</v>
      </c>
      <c r="X130" s="17" t="e">
        <f t="shared" ca="1" si="61"/>
        <v>#N/A</v>
      </c>
      <c r="Y130" s="17" t="e">
        <f t="shared" ca="1" si="61"/>
        <v>#N/A</v>
      </c>
      <c r="Z130" s="17" t="e">
        <f t="shared" ca="1" si="61"/>
        <v>#N/A</v>
      </c>
      <c r="AA130" s="17" t="e">
        <f t="shared" ca="1" si="61"/>
        <v>#N/A</v>
      </c>
      <c r="AB130" s="17" t="e">
        <f t="shared" ca="1" si="61"/>
        <v>#N/A</v>
      </c>
      <c r="AC130" s="17" t="e">
        <f t="shared" ca="1" si="61"/>
        <v>#N/A</v>
      </c>
      <c r="AD130" s="17" t="e">
        <f t="shared" ca="1" si="61"/>
        <v>#N/A</v>
      </c>
      <c r="AE130" s="17" t="e">
        <f t="shared" ca="1" si="61"/>
        <v>#N/A</v>
      </c>
      <c r="AF130" s="17" t="e">
        <f t="shared" ca="1" si="61"/>
        <v>#N/A</v>
      </c>
      <c r="AG130" s="17" t="e">
        <f t="shared" ca="1" si="61"/>
        <v>#N/A</v>
      </c>
      <c r="AH130" s="17" t="e">
        <f t="shared" ca="1" si="61"/>
        <v>#N/A</v>
      </c>
      <c r="AI130" s="17" t="e">
        <f t="shared" ca="1" si="61"/>
        <v>#N/A</v>
      </c>
      <c r="AJ130" s="17" t="e">
        <f t="shared" ca="1" si="61"/>
        <v>#N/A</v>
      </c>
      <c r="AK130" s="17" t="e">
        <f t="shared" ca="1" si="61"/>
        <v>#N/A</v>
      </c>
      <c r="AL130" s="17" t="e">
        <f t="shared" ca="1" si="61"/>
        <v>#N/A</v>
      </c>
      <c r="AM130" s="17" t="e">
        <f t="shared" ca="1" si="61"/>
        <v>#N/A</v>
      </c>
      <c r="AN130" s="17" t="e">
        <f t="shared" ca="1" si="61"/>
        <v>#N/A</v>
      </c>
      <c r="AO130" s="17" t="e">
        <f t="shared" ca="1" si="61"/>
        <v>#N/A</v>
      </c>
      <c r="AP130" s="17" t="e">
        <f t="shared" ca="1" si="61"/>
        <v>#N/A</v>
      </c>
      <c r="AQ130" s="17" t="e">
        <f t="shared" ca="1" si="61"/>
        <v>#N/A</v>
      </c>
      <c r="AR130" s="17" t="e">
        <f t="shared" ca="1" si="61"/>
        <v>#N/A</v>
      </c>
      <c r="AS130" s="17" t="e">
        <f t="shared" ca="1" si="61"/>
        <v>#N/A</v>
      </c>
      <c r="AT130" s="17" t="e">
        <f t="shared" ca="1" si="61"/>
        <v>#N/A</v>
      </c>
      <c r="AU130" s="17" t="e">
        <f t="shared" ca="1" si="61"/>
        <v>#N/A</v>
      </c>
      <c r="AV130" s="17" t="e">
        <f t="shared" ca="1" si="61"/>
        <v>#N/A</v>
      </c>
      <c r="AW130" s="17" t="e">
        <f t="shared" ca="1" si="61"/>
        <v>#N/A</v>
      </c>
      <c r="AX130" s="17" t="e">
        <f t="shared" ca="1" si="61"/>
        <v>#N/A</v>
      </c>
      <c r="AY130" s="17" t="e">
        <f t="shared" ca="1" si="61"/>
        <v>#N/A</v>
      </c>
      <c r="AZ130" s="17" t="e">
        <f t="shared" ca="1" si="61"/>
        <v>#N/A</v>
      </c>
      <c r="BA130" s="17" t="e">
        <f t="shared" ca="1" si="61"/>
        <v>#N/A</v>
      </c>
      <c r="BB130" s="17" t="e">
        <f t="shared" ca="1" si="61"/>
        <v>#N/A</v>
      </c>
      <c r="BC130" s="17" t="e">
        <f t="shared" ca="1" si="61"/>
        <v>#N/A</v>
      </c>
      <c r="BD130" s="17" t="e">
        <f t="shared" ca="1" si="61"/>
        <v>#N/A</v>
      </c>
      <c r="BE130" s="17" t="e">
        <f t="shared" ca="1" si="61"/>
        <v>#N/A</v>
      </c>
      <c r="BF130" s="17" t="e">
        <f t="shared" ca="1" si="61"/>
        <v>#N/A</v>
      </c>
      <c r="BG130" s="17" t="e">
        <f t="shared" ca="1" si="61"/>
        <v>#N/A</v>
      </c>
      <c r="BH130" s="17" t="e">
        <f t="shared" ca="1" si="61"/>
        <v>#N/A</v>
      </c>
      <c r="BI130" s="17" t="e">
        <f t="shared" ca="1" si="61"/>
        <v>#N/A</v>
      </c>
      <c r="BJ130" s="17" t="e">
        <f t="shared" ca="1" si="61"/>
        <v>#N/A</v>
      </c>
      <c r="BK130" s="17" t="e">
        <f t="shared" ca="1" si="61"/>
        <v>#N/A</v>
      </c>
      <c r="BL130" s="17" t="e">
        <f t="shared" ca="1" si="61"/>
        <v>#N/A</v>
      </c>
      <c r="BM130" s="17" t="e">
        <f t="shared" ca="1" si="61"/>
        <v>#N/A</v>
      </c>
      <c r="BN130" s="17" t="e">
        <f t="shared" ca="1" si="61"/>
        <v>#N/A</v>
      </c>
      <c r="BO130" s="17" t="e">
        <f t="shared" ca="1" si="61"/>
        <v>#N/A</v>
      </c>
      <c r="BP130" s="17" t="e">
        <f t="shared" ca="1" si="61"/>
        <v>#N/A</v>
      </c>
      <c r="BQ130" s="17" t="e">
        <f t="shared" ref="BQ130:BV130" ca="1" si="62">BQ67/$D130*100000</f>
        <v>#N/A</v>
      </c>
      <c r="BR130" s="17" t="e">
        <f t="shared" ca="1" si="62"/>
        <v>#N/A</v>
      </c>
      <c r="BS130" s="17" t="e">
        <f t="shared" ca="1" si="62"/>
        <v>#N/A</v>
      </c>
      <c r="BT130" s="17" t="e">
        <f t="shared" ca="1" si="62"/>
        <v>#N/A</v>
      </c>
      <c r="BU130" s="17" t="e">
        <f t="shared" ca="1" si="62"/>
        <v>#N/A</v>
      </c>
      <c r="BV130" s="17" t="e">
        <f t="shared" ca="1" si="62"/>
        <v>#N/A</v>
      </c>
    </row>
    <row r="131" spans="2:74" x14ac:dyDescent="0.25">
      <c r="B131">
        <f t="shared" si="52"/>
        <v>26</v>
      </c>
      <c r="C131">
        <f t="shared" ca="1" si="52"/>
        <v>0</v>
      </c>
      <c r="D131" s="1" t="e">
        <f t="shared" ca="1" si="52"/>
        <v>#N/A</v>
      </c>
      <c r="E131" s="17" t="e">
        <f t="shared" ref="E131:BP131" ca="1" si="63">E68/$D131*100000</f>
        <v>#N/A</v>
      </c>
      <c r="F131" s="17" t="e">
        <f t="shared" ca="1" si="63"/>
        <v>#N/A</v>
      </c>
      <c r="G131" s="17" t="e">
        <f t="shared" ca="1" si="63"/>
        <v>#N/A</v>
      </c>
      <c r="H131" s="17" t="e">
        <f t="shared" ca="1" si="63"/>
        <v>#N/A</v>
      </c>
      <c r="I131" s="17" t="e">
        <f t="shared" ca="1" si="63"/>
        <v>#N/A</v>
      </c>
      <c r="J131" s="17" t="e">
        <f t="shared" ca="1" si="63"/>
        <v>#N/A</v>
      </c>
      <c r="K131" s="17" t="e">
        <f t="shared" ca="1" si="63"/>
        <v>#N/A</v>
      </c>
      <c r="L131" s="17" t="e">
        <f t="shared" ca="1" si="63"/>
        <v>#N/A</v>
      </c>
      <c r="M131" s="17" t="e">
        <f t="shared" ca="1" si="63"/>
        <v>#N/A</v>
      </c>
      <c r="N131" s="17" t="e">
        <f t="shared" ca="1" si="63"/>
        <v>#N/A</v>
      </c>
      <c r="O131" s="17" t="e">
        <f t="shared" ca="1" si="63"/>
        <v>#N/A</v>
      </c>
      <c r="P131" s="17" t="e">
        <f t="shared" ca="1" si="63"/>
        <v>#N/A</v>
      </c>
      <c r="Q131" s="17" t="e">
        <f t="shared" ca="1" si="63"/>
        <v>#N/A</v>
      </c>
      <c r="R131" s="17" t="e">
        <f t="shared" ca="1" si="63"/>
        <v>#N/A</v>
      </c>
      <c r="S131" s="17" t="e">
        <f t="shared" ca="1" si="63"/>
        <v>#N/A</v>
      </c>
      <c r="T131" s="17" t="e">
        <f t="shared" ca="1" si="63"/>
        <v>#N/A</v>
      </c>
      <c r="U131" s="17" t="e">
        <f t="shared" ca="1" si="63"/>
        <v>#N/A</v>
      </c>
      <c r="V131" s="17" t="e">
        <f t="shared" ca="1" si="63"/>
        <v>#N/A</v>
      </c>
      <c r="W131" s="17" t="e">
        <f t="shared" ca="1" si="63"/>
        <v>#N/A</v>
      </c>
      <c r="X131" s="17" t="e">
        <f t="shared" ca="1" si="63"/>
        <v>#N/A</v>
      </c>
      <c r="Y131" s="17" t="e">
        <f t="shared" ca="1" si="63"/>
        <v>#N/A</v>
      </c>
      <c r="Z131" s="17" t="e">
        <f t="shared" ca="1" si="63"/>
        <v>#N/A</v>
      </c>
      <c r="AA131" s="17" t="e">
        <f t="shared" ca="1" si="63"/>
        <v>#N/A</v>
      </c>
      <c r="AB131" s="17" t="e">
        <f t="shared" ca="1" si="63"/>
        <v>#N/A</v>
      </c>
      <c r="AC131" s="17" t="e">
        <f t="shared" ca="1" si="63"/>
        <v>#N/A</v>
      </c>
      <c r="AD131" s="17" t="e">
        <f t="shared" ca="1" si="63"/>
        <v>#N/A</v>
      </c>
      <c r="AE131" s="17" t="e">
        <f t="shared" ca="1" si="63"/>
        <v>#N/A</v>
      </c>
      <c r="AF131" s="17" t="e">
        <f t="shared" ca="1" si="63"/>
        <v>#N/A</v>
      </c>
      <c r="AG131" s="17" t="e">
        <f t="shared" ca="1" si="63"/>
        <v>#N/A</v>
      </c>
      <c r="AH131" s="17" t="e">
        <f t="shared" ca="1" si="63"/>
        <v>#N/A</v>
      </c>
      <c r="AI131" s="17" t="e">
        <f t="shared" ca="1" si="63"/>
        <v>#N/A</v>
      </c>
      <c r="AJ131" s="17" t="e">
        <f t="shared" ca="1" si="63"/>
        <v>#N/A</v>
      </c>
      <c r="AK131" s="17" t="e">
        <f t="shared" ca="1" si="63"/>
        <v>#N/A</v>
      </c>
      <c r="AL131" s="17" t="e">
        <f t="shared" ca="1" si="63"/>
        <v>#N/A</v>
      </c>
      <c r="AM131" s="17" t="e">
        <f t="shared" ca="1" si="63"/>
        <v>#N/A</v>
      </c>
      <c r="AN131" s="17" t="e">
        <f t="shared" ca="1" si="63"/>
        <v>#N/A</v>
      </c>
      <c r="AO131" s="17" t="e">
        <f t="shared" ca="1" si="63"/>
        <v>#N/A</v>
      </c>
      <c r="AP131" s="17" t="e">
        <f t="shared" ca="1" si="63"/>
        <v>#N/A</v>
      </c>
      <c r="AQ131" s="17" t="e">
        <f t="shared" ca="1" si="63"/>
        <v>#N/A</v>
      </c>
      <c r="AR131" s="17" t="e">
        <f t="shared" ca="1" si="63"/>
        <v>#N/A</v>
      </c>
      <c r="AS131" s="17" t="e">
        <f t="shared" ca="1" si="63"/>
        <v>#N/A</v>
      </c>
      <c r="AT131" s="17" t="e">
        <f t="shared" ca="1" si="63"/>
        <v>#N/A</v>
      </c>
      <c r="AU131" s="17" t="e">
        <f t="shared" ca="1" si="63"/>
        <v>#N/A</v>
      </c>
      <c r="AV131" s="17" t="e">
        <f t="shared" ca="1" si="63"/>
        <v>#N/A</v>
      </c>
      <c r="AW131" s="17" t="e">
        <f t="shared" ca="1" si="63"/>
        <v>#N/A</v>
      </c>
      <c r="AX131" s="17" t="e">
        <f t="shared" ca="1" si="63"/>
        <v>#N/A</v>
      </c>
      <c r="AY131" s="17" t="e">
        <f t="shared" ca="1" si="63"/>
        <v>#N/A</v>
      </c>
      <c r="AZ131" s="17" t="e">
        <f t="shared" ca="1" si="63"/>
        <v>#N/A</v>
      </c>
      <c r="BA131" s="17" t="e">
        <f t="shared" ca="1" si="63"/>
        <v>#N/A</v>
      </c>
      <c r="BB131" s="17" t="e">
        <f t="shared" ca="1" si="63"/>
        <v>#N/A</v>
      </c>
      <c r="BC131" s="17" t="e">
        <f t="shared" ca="1" si="63"/>
        <v>#N/A</v>
      </c>
      <c r="BD131" s="17" t="e">
        <f t="shared" ca="1" si="63"/>
        <v>#N/A</v>
      </c>
      <c r="BE131" s="17" t="e">
        <f t="shared" ca="1" si="63"/>
        <v>#N/A</v>
      </c>
      <c r="BF131" s="17" t="e">
        <f t="shared" ca="1" si="63"/>
        <v>#N/A</v>
      </c>
      <c r="BG131" s="17" t="e">
        <f t="shared" ca="1" si="63"/>
        <v>#N/A</v>
      </c>
      <c r="BH131" s="17" t="e">
        <f t="shared" ca="1" si="63"/>
        <v>#N/A</v>
      </c>
      <c r="BI131" s="17" t="e">
        <f t="shared" ca="1" si="63"/>
        <v>#N/A</v>
      </c>
      <c r="BJ131" s="17" t="e">
        <f t="shared" ca="1" si="63"/>
        <v>#N/A</v>
      </c>
      <c r="BK131" s="17" t="e">
        <f t="shared" ca="1" si="63"/>
        <v>#N/A</v>
      </c>
      <c r="BL131" s="17" t="e">
        <f t="shared" ca="1" si="63"/>
        <v>#N/A</v>
      </c>
      <c r="BM131" s="17" t="e">
        <f t="shared" ca="1" si="63"/>
        <v>#N/A</v>
      </c>
      <c r="BN131" s="17" t="e">
        <f t="shared" ca="1" si="63"/>
        <v>#N/A</v>
      </c>
      <c r="BO131" s="17" t="e">
        <f t="shared" ca="1" si="63"/>
        <v>#N/A</v>
      </c>
      <c r="BP131" s="17" t="e">
        <f t="shared" ca="1" si="63"/>
        <v>#N/A</v>
      </c>
      <c r="BQ131" s="17" t="e">
        <f t="shared" ref="BQ131:BV131" ca="1" si="64">BQ68/$D131*100000</f>
        <v>#N/A</v>
      </c>
      <c r="BR131" s="17" t="e">
        <f t="shared" ca="1" si="64"/>
        <v>#N/A</v>
      </c>
      <c r="BS131" s="17" t="e">
        <f t="shared" ca="1" si="64"/>
        <v>#N/A</v>
      </c>
      <c r="BT131" s="17" t="e">
        <f t="shared" ca="1" si="64"/>
        <v>#N/A</v>
      </c>
      <c r="BU131" s="17" t="e">
        <f t="shared" ca="1" si="64"/>
        <v>#N/A</v>
      </c>
      <c r="BV131" s="17" t="e">
        <f t="shared" ca="1" si="64"/>
        <v>#N/A</v>
      </c>
    </row>
    <row r="132" spans="2:74" x14ac:dyDescent="0.25">
      <c r="B132">
        <f t="shared" si="52"/>
        <v>27</v>
      </c>
      <c r="C132">
        <f t="shared" ca="1" si="52"/>
        <v>0</v>
      </c>
      <c r="D132" s="1" t="e">
        <f t="shared" ca="1" si="52"/>
        <v>#N/A</v>
      </c>
      <c r="E132" s="17" t="e">
        <f t="shared" ref="E132:BP132" ca="1" si="65">E69/$D132*100000</f>
        <v>#N/A</v>
      </c>
      <c r="F132" s="17" t="e">
        <f t="shared" ca="1" si="65"/>
        <v>#N/A</v>
      </c>
      <c r="G132" s="17" t="e">
        <f t="shared" ca="1" si="65"/>
        <v>#N/A</v>
      </c>
      <c r="H132" s="17" t="e">
        <f t="shared" ca="1" si="65"/>
        <v>#N/A</v>
      </c>
      <c r="I132" s="17" t="e">
        <f t="shared" ca="1" si="65"/>
        <v>#N/A</v>
      </c>
      <c r="J132" s="17" t="e">
        <f t="shared" ca="1" si="65"/>
        <v>#N/A</v>
      </c>
      <c r="K132" s="17" t="e">
        <f t="shared" ca="1" si="65"/>
        <v>#N/A</v>
      </c>
      <c r="L132" s="17" t="e">
        <f t="shared" ca="1" si="65"/>
        <v>#N/A</v>
      </c>
      <c r="M132" s="17" t="e">
        <f t="shared" ca="1" si="65"/>
        <v>#N/A</v>
      </c>
      <c r="N132" s="17" t="e">
        <f t="shared" ca="1" si="65"/>
        <v>#N/A</v>
      </c>
      <c r="O132" s="17" t="e">
        <f t="shared" ca="1" si="65"/>
        <v>#N/A</v>
      </c>
      <c r="P132" s="17" t="e">
        <f t="shared" ca="1" si="65"/>
        <v>#N/A</v>
      </c>
      <c r="Q132" s="17" t="e">
        <f t="shared" ca="1" si="65"/>
        <v>#N/A</v>
      </c>
      <c r="R132" s="17" t="e">
        <f t="shared" ca="1" si="65"/>
        <v>#N/A</v>
      </c>
      <c r="S132" s="17" t="e">
        <f t="shared" ca="1" si="65"/>
        <v>#N/A</v>
      </c>
      <c r="T132" s="17" t="e">
        <f t="shared" ca="1" si="65"/>
        <v>#N/A</v>
      </c>
      <c r="U132" s="17" t="e">
        <f t="shared" ca="1" si="65"/>
        <v>#N/A</v>
      </c>
      <c r="V132" s="17" t="e">
        <f t="shared" ca="1" si="65"/>
        <v>#N/A</v>
      </c>
      <c r="W132" s="17" t="e">
        <f t="shared" ca="1" si="65"/>
        <v>#N/A</v>
      </c>
      <c r="X132" s="17" t="e">
        <f t="shared" ca="1" si="65"/>
        <v>#N/A</v>
      </c>
      <c r="Y132" s="17" t="e">
        <f t="shared" ca="1" si="65"/>
        <v>#N/A</v>
      </c>
      <c r="Z132" s="17" t="e">
        <f t="shared" ca="1" si="65"/>
        <v>#N/A</v>
      </c>
      <c r="AA132" s="17" t="e">
        <f t="shared" ca="1" si="65"/>
        <v>#N/A</v>
      </c>
      <c r="AB132" s="17" t="e">
        <f t="shared" ca="1" si="65"/>
        <v>#N/A</v>
      </c>
      <c r="AC132" s="17" t="e">
        <f t="shared" ca="1" si="65"/>
        <v>#N/A</v>
      </c>
      <c r="AD132" s="17" t="e">
        <f t="shared" ca="1" si="65"/>
        <v>#N/A</v>
      </c>
      <c r="AE132" s="17" t="e">
        <f t="shared" ca="1" si="65"/>
        <v>#N/A</v>
      </c>
      <c r="AF132" s="17" t="e">
        <f t="shared" ca="1" si="65"/>
        <v>#N/A</v>
      </c>
      <c r="AG132" s="17" t="e">
        <f t="shared" ca="1" si="65"/>
        <v>#N/A</v>
      </c>
      <c r="AH132" s="17" t="e">
        <f t="shared" ca="1" si="65"/>
        <v>#N/A</v>
      </c>
      <c r="AI132" s="17" t="e">
        <f t="shared" ca="1" si="65"/>
        <v>#N/A</v>
      </c>
      <c r="AJ132" s="17" t="e">
        <f t="shared" ca="1" si="65"/>
        <v>#N/A</v>
      </c>
      <c r="AK132" s="17" t="e">
        <f t="shared" ca="1" si="65"/>
        <v>#N/A</v>
      </c>
      <c r="AL132" s="17" t="e">
        <f t="shared" ca="1" si="65"/>
        <v>#N/A</v>
      </c>
      <c r="AM132" s="17" t="e">
        <f t="shared" ca="1" si="65"/>
        <v>#N/A</v>
      </c>
      <c r="AN132" s="17" t="e">
        <f t="shared" ca="1" si="65"/>
        <v>#N/A</v>
      </c>
      <c r="AO132" s="17" t="e">
        <f t="shared" ca="1" si="65"/>
        <v>#N/A</v>
      </c>
      <c r="AP132" s="17" t="e">
        <f t="shared" ca="1" si="65"/>
        <v>#N/A</v>
      </c>
      <c r="AQ132" s="17" t="e">
        <f t="shared" ca="1" si="65"/>
        <v>#N/A</v>
      </c>
      <c r="AR132" s="17" t="e">
        <f t="shared" ca="1" si="65"/>
        <v>#N/A</v>
      </c>
      <c r="AS132" s="17" t="e">
        <f t="shared" ca="1" si="65"/>
        <v>#N/A</v>
      </c>
      <c r="AT132" s="17" t="e">
        <f t="shared" ca="1" si="65"/>
        <v>#N/A</v>
      </c>
      <c r="AU132" s="17" t="e">
        <f t="shared" ca="1" si="65"/>
        <v>#N/A</v>
      </c>
      <c r="AV132" s="17" t="e">
        <f t="shared" ca="1" si="65"/>
        <v>#N/A</v>
      </c>
      <c r="AW132" s="17" t="e">
        <f t="shared" ca="1" si="65"/>
        <v>#N/A</v>
      </c>
      <c r="AX132" s="17" t="e">
        <f t="shared" ca="1" si="65"/>
        <v>#N/A</v>
      </c>
      <c r="AY132" s="17" t="e">
        <f t="shared" ca="1" si="65"/>
        <v>#N/A</v>
      </c>
      <c r="AZ132" s="17" t="e">
        <f t="shared" ca="1" si="65"/>
        <v>#N/A</v>
      </c>
      <c r="BA132" s="17" t="e">
        <f t="shared" ca="1" si="65"/>
        <v>#N/A</v>
      </c>
      <c r="BB132" s="17" t="e">
        <f t="shared" ca="1" si="65"/>
        <v>#N/A</v>
      </c>
      <c r="BC132" s="17" t="e">
        <f t="shared" ca="1" si="65"/>
        <v>#N/A</v>
      </c>
      <c r="BD132" s="17" t="e">
        <f t="shared" ca="1" si="65"/>
        <v>#N/A</v>
      </c>
      <c r="BE132" s="17" t="e">
        <f t="shared" ca="1" si="65"/>
        <v>#N/A</v>
      </c>
      <c r="BF132" s="17" t="e">
        <f t="shared" ca="1" si="65"/>
        <v>#N/A</v>
      </c>
      <c r="BG132" s="17" t="e">
        <f t="shared" ca="1" si="65"/>
        <v>#N/A</v>
      </c>
      <c r="BH132" s="17" t="e">
        <f t="shared" ca="1" si="65"/>
        <v>#N/A</v>
      </c>
      <c r="BI132" s="17" t="e">
        <f t="shared" ca="1" si="65"/>
        <v>#N/A</v>
      </c>
      <c r="BJ132" s="17" t="e">
        <f t="shared" ca="1" si="65"/>
        <v>#N/A</v>
      </c>
      <c r="BK132" s="17" t="e">
        <f t="shared" ca="1" si="65"/>
        <v>#N/A</v>
      </c>
      <c r="BL132" s="17" t="e">
        <f t="shared" ca="1" si="65"/>
        <v>#N/A</v>
      </c>
      <c r="BM132" s="17" t="e">
        <f t="shared" ca="1" si="65"/>
        <v>#N/A</v>
      </c>
      <c r="BN132" s="17" t="e">
        <f t="shared" ca="1" si="65"/>
        <v>#N/A</v>
      </c>
      <c r="BO132" s="17" t="e">
        <f t="shared" ca="1" si="65"/>
        <v>#N/A</v>
      </c>
      <c r="BP132" s="17" t="e">
        <f t="shared" ca="1" si="65"/>
        <v>#N/A</v>
      </c>
      <c r="BQ132" s="17" t="e">
        <f t="shared" ref="BQ132:BV132" ca="1" si="66">BQ69/$D132*100000</f>
        <v>#N/A</v>
      </c>
      <c r="BR132" s="17" t="e">
        <f t="shared" ca="1" si="66"/>
        <v>#N/A</v>
      </c>
      <c r="BS132" s="17" t="e">
        <f t="shared" ca="1" si="66"/>
        <v>#N/A</v>
      </c>
      <c r="BT132" s="17" t="e">
        <f t="shared" ca="1" si="66"/>
        <v>#N/A</v>
      </c>
      <c r="BU132" s="17" t="e">
        <f t="shared" ca="1" si="66"/>
        <v>#N/A</v>
      </c>
      <c r="BV132" s="17" t="e">
        <f t="shared" ca="1" si="66"/>
        <v>#N/A</v>
      </c>
    </row>
    <row r="133" spans="2:74" x14ac:dyDescent="0.25">
      <c r="B133">
        <f t="shared" si="52"/>
        <v>28</v>
      </c>
      <c r="C133">
        <f t="shared" ca="1" si="52"/>
        <v>0</v>
      </c>
      <c r="D133" s="1" t="e">
        <f t="shared" ca="1" si="52"/>
        <v>#N/A</v>
      </c>
      <c r="E133" s="17" t="e">
        <f t="shared" ref="E133:BP133" ca="1" si="67">E70/$D133*100000</f>
        <v>#N/A</v>
      </c>
      <c r="F133" s="17" t="e">
        <f t="shared" ca="1" si="67"/>
        <v>#N/A</v>
      </c>
      <c r="G133" s="17" t="e">
        <f t="shared" ca="1" si="67"/>
        <v>#N/A</v>
      </c>
      <c r="H133" s="17" t="e">
        <f t="shared" ca="1" si="67"/>
        <v>#N/A</v>
      </c>
      <c r="I133" s="17" t="e">
        <f t="shared" ca="1" si="67"/>
        <v>#N/A</v>
      </c>
      <c r="J133" s="17" t="e">
        <f t="shared" ca="1" si="67"/>
        <v>#N/A</v>
      </c>
      <c r="K133" s="17" t="e">
        <f t="shared" ca="1" si="67"/>
        <v>#N/A</v>
      </c>
      <c r="L133" s="17" t="e">
        <f t="shared" ca="1" si="67"/>
        <v>#N/A</v>
      </c>
      <c r="M133" s="17" t="e">
        <f t="shared" ca="1" si="67"/>
        <v>#N/A</v>
      </c>
      <c r="N133" s="17" t="e">
        <f t="shared" ca="1" si="67"/>
        <v>#N/A</v>
      </c>
      <c r="O133" s="17" t="e">
        <f t="shared" ca="1" si="67"/>
        <v>#N/A</v>
      </c>
      <c r="P133" s="17" t="e">
        <f t="shared" ca="1" si="67"/>
        <v>#N/A</v>
      </c>
      <c r="Q133" s="17" t="e">
        <f t="shared" ca="1" si="67"/>
        <v>#N/A</v>
      </c>
      <c r="R133" s="17" t="e">
        <f t="shared" ca="1" si="67"/>
        <v>#N/A</v>
      </c>
      <c r="S133" s="17" t="e">
        <f t="shared" ca="1" si="67"/>
        <v>#N/A</v>
      </c>
      <c r="T133" s="17" t="e">
        <f t="shared" ca="1" si="67"/>
        <v>#N/A</v>
      </c>
      <c r="U133" s="17" t="e">
        <f t="shared" ca="1" si="67"/>
        <v>#N/A</v>
      </c>
      <c r="V133" s="17" t="e">
        <f t="shared" ca="1" si="67"/>
        <v>#N/A</v>
      </c>
      <c r="W133" s="17" t="e">
        <f t="shared" ca="1" si="67"/>
        <v>#N/A</v>
      </c>
      <c r="X133" s="17" t="e">
        <f t="shared" ca="1" si="67"/>
        <v>#N/A</v>
      </c>
      <c r="Y133" s="17" t="e">
        <f t="shared" ca="1" si="67"/>
        <v>#N/A</v>
      </c>
      <c r="Z133" s="17" t="e">
        <f t="shared" ca="1" si="67"/>
        <v>#N/A</v>
      </c>
      <c r="AA133" s="17" t="e">
        <f t="shared" ca="1" si="67"/>
        <v>#N/A</v>
      </c>
      <c r="AB133" s="17" t="e">
        <f t="shared" ca="1" si="67"/>
        <v>#N/A</v>
      </c>
      <c r="AC133" s="17" t="e">
        <f t="shared" ca="1" si="67"/>
        <v>#N/A</v>
      </c>
      <c r="AD133" s="17" t="e">
        <f t="shared" ca="1" si="67"/>
        <v>#N/A</v>
      </c>
      <c r="AE133" s="17" t="e">
        <f t="shared" ca="1" si="67"/>
        <v>#N/A</v>
      </c>
      <c r="AF133" s="17" t="e">
        <f t="shared" ca="1" si="67"/>
        <v>#N/A</v>
      </c>
      <c r="AG133" s="17" t="e">
        <f t="shared" ca="1" si="67"/>
        <v>#N/A</v>
      </c>
      <c r="AH133" s="17" t="e">
        <f t="shared" ca="1" si="67"/>
        <v>#N/A</v>
      </c>
      <c r="AI133" s="17" t="e">
        <f t="shared" ca="1" si="67"/>
        <v>#N/A</v>
      </c>
      <c r="AJ133" s="17" t="e">
        <f t="shared" ca="1" si="67"/>
        <v>#N/A</v>
      </c>
      <c r="AK133" s="17" t="e">
        <f t="shared" ca="1" si="67"/>
        <v>#N/A</v>
      </c>
      <c r="AL133" s="17" t="e">
        <f t="shared" ca="1" si="67"/>
        <v>#N/A</v>
      </c>
      <c r="AM133" s="17" t="e">
        <f t="shared" ca="1" si="67"/>
        <v>#N/A</v>
      </c>
      <c r="AN133" s="17" t="e">
        <f t="shared" ca="1" si="67"/>
        <v>#N/A</v>
      </c>
      <c r="AO133" s="17" t="e">
        <f t="shared" ca="1" si="67"/>
        <v>#N/A</v>
      </c>
      <c r="AP133" s="17" t="e">
        <f t="shared" ca="1" si="67"/>
        <v>#N/A</v>
      </c>
      <c r="AQ133" s="17" t="e">
        <f t="shared" ca="1" si="67"/>
        <v>#N/A</v>
      </c>
      <c r="AR133" s="17" t="e">
        <f t="shared" ca="1" si="67"/>
        <v>#N/A</v>
      </c>
      <c r="AS133" s="17" t="e">
        <f t="shared" ca="1" si="67"/>
        <v>#N/A</v>
      </c>
      <c r="AT133" s="17" t="e">
        <f t="shared" ca="1" si="67"/>
        <v>#N/A</v>
      </c>
      <c r="AU133" s="17" t="e">
        <f t="shared" ca="1" si="67"/>
        <v>#N/A</v>
      </c>
      <c r="AV133" s="17" t="e">
        <f t="shared" ca="1" si="67"/>
        <v>#N/A</v>
      </c>
      <c r="AW133" s="17" t="e">
        <f t="shared" ca="1" si="67"/>
        <v>#N/A</v>
      </c>
      <c r="AX133" s="17" t="e">
        <f t="shared" ca="1" si="67"/>
        <v>#N/A</v>
      </c>
      <c r="AY133" s="17" t="e">
        <f t="shared" ca="1" si="67"/>
        <v>#N/A</v>
      </c>
      <c r="AZ133" s="17" t="e">
        <f t="shared" ca="1" si="67"/>
        <v>#N/A</v>
      </c>
      <c r="BA133" s="17" t="e">
        <f t="shared" ca="1" si="67"/>
        <v>#N/A</v>
      </c>
      <c r="BB133" s="17" t="e">
        <f t="shared" ca="1" si="67"/>
        <v>#N/A</v>
      </c>
      <c r="BC133" s="17" t="e">
        <f t="shared" ca="1" si="67"/>
        <v>#N/A</v>
      </c>
      <c r="BD133" s="17" t="e">
        <f t="shared" ca="1" si="67"/>
        <v>#N/A</v>
      </c>
      <c r="BE133" s="17" t="e">
        <f t="shared" ca="1" si="67"/>
        <v>#N/A</v>
      </c>
      <c r="BF133" s="17" t="e">
        <f t="shared" ca="1" si="67"/>
        <v>#N/A</v>
      </c>
      <c r="BG133" s="17" t="e">
        <f t="shared" ca="1" si="67"/>
        <v>#N/A</v>
      </c>
      <c r="BH133" s="17" t="e">
        <f t="shared" ca="1" si="67"/>
        <v>#N/A</v>
      </c>
      <c r="BI133" s="17" t="e">
        <f t="shared" ca="1" si="67"/>
        <v>#N/A</v>
      </c>
      <c r="BJ133" s="17" t="e">
        <f t="shared" ca="1" si="67"/>
        <v>#N/A</v>
      </c>
      <c r="BK133" s="17" t="e">
        <f t="shared" ca="1" si="67"/>
        <v>#N/A</v>
      </c>
      <c r="BL133" s="17" t="e">
        <f t="shared" ca="1" si="67"/>
        <v>#N/A</v>
      </c>
      <c r="BM133" s="17" t="e">
        <f t="shared" ca="1" si="67"/>
        <v>#N/A</v>
      </c>
      <c r="BN133" s="17" t="e">
        <f t="shared" ca="1" si="67"/>
        <v>#N/A</v>
      </c>
      <c r="BO133" s="17" t="e">
        <f t="shared" ca="1" si="67"/>
        <v>#N/A</v>
      </c>
      <c r="BP133" s="17" t="e">
        <f t="shared" ca="1" si="67"/>
        <v>#N/A</v>
      </c>
      <c r="BQ133" s="17" t="e">
        <f t="shared" ref="BQ133:BV133" ca="1" si="68">BQ70/$D133*100000</f>
        <v>#N/A</v>
      </c>
      <c r="BR133" s="17" t="e">
        <f t="shared" ca="1" si="68"/>
        <v>#N/A</v>
      </c>
      <c r="BS133" s="17" t="e">
        <f t="shared" ca="1" si="68"/>
        <v>#N/A</v>
      </c>
      <c r="BT133" s="17" t="e">
        <f t="shared" ca="1" si="68"/>
        <v>#N/A</v>
      </c>
      <c r="BU133" s="17" t="e">
        <f t="shared" ca="1" si="68"/>
        <v>#N/A</v>
      </c>
      <c r="BV133" s="17" t="e">
        <f t="shared" ca="1" si="68"/>
        <v>#N/A</v>
      </c>
    </row>
    <row r="134" spans="2:74" x14ac:dyDescent="0.25">
      <c r="B134">
        <f t="shared" si="52"/>
        <v>29</v>
      </c>
      <c r="C134">
        <f t="shared" ca="1" si="52"/>
        <v>0</v>
      </c>
      <c r="D134" s="1" t="e">
        <f t="shared" ca="1" si="52"/>
        <v>#N/A</v>
      </c>
      <c r="E134" s="17" t="e">
        <f t="shared" ref="E134:BP134" ca="1" si="69">E71/$D134*100000</f>
        <v>#N/A</v>
      </c>
      <c r="F134" s="17" t="e">
        <f t="shared" ca="1" si="69"/>
        <v>#N/A</v>
      </c>
      <c r="G134" s="17" t="e">
        <f t="shared" ca="1" si="69"/>
        <v>#N/A</v>
      </c>
      <c r="H134" s="17" t="e">
        <f t="shared" ca="1" si="69"/>
        <v>#N/A</v>
      </c>
      <c r="I134" s="17" t="e">
        <f t="shared" ca="1" si="69"/>
        <v>#N/A</v>
      </c>
      <c r="J134" s="17" t="e">
        <f t="shared" ca="1" si="69"/>
        <v>#N/A</v>
      </c>
      <c r="K134" s="17" t="e">
        <f t="shared" ca="1" si="69"/>
        <v>#N/A</v>
      </c>
      <c r="L134" s="17" t="e">
        <f t="shared" ca="1" si="69"/>
        <v>#N/A</v>
      </c>
      <c r="M134" s="17" t="e">
        <f t="shared" ca="1" si="69"/>
        <v>#N/A</v>
      </c>
      <c r="N134" s="17" t="e">
        <f t="shared" ca="1" si="69"/>
        <v>#N/A</v>
      </c>
      <c r="O134" s="17" t="e">
        <f t="shared" ca="1" si="69"/>
        <v>#N/A</v>
      </c>
      <c r="P134" s="17" t="e">
        <f t="shared" ca="1" si="69"/>
        <v>#N/A</v>
      </c>
      <c r="Q134" s="17" t="e">
        <f t="shared" ca="1" si="69"/>
        <v>#N/A</v>
      </c>
      <c r="R134" s="17" t="e">
        <f t="shared" ca="1" si="69"/>
        <v>#N/A</v>
      </c>
      <c r="S134" s="17" t="e">
        <f t="shared" ca="1" si="69"/>
        <v>#N/A</v>
      </c>
      <c r="T134" s="17" t="e">
        <f t="shared" ca="1" si="69"/>
        <v>#N/A</v>
      </c>
      <c r="U134" s="17" t="e">
        <f t="shared" ca="1" si="69"/>
        <v>#N/A</v>
      </c>
      <c r="V134" s="17" t="e">
        <f t="shared" ca="1" si="69"/>
        <v>#N/A</v>
      </c>
      <c r="W134" s="17" t="e">
        <f t="shared" ca="1" si="69"/>
        <v>#N/A</v>
      </c>
      <c r="X134" s="17" t="e">
        <f t="shared" ca="1" si="69"/>
        <v>#N/A</v>
      </c>
      <c r="Y134" s="17" t="e">
        <f t="shared" ca="1" si="69"/>
        <v>#N/A</v>
      </c>
      <c r="Z134" s="17" t="e">
        <f t="shared" ca="1" si="69"/>
        <v>#N/A</v>
      </c>
      <c r="AA134" s="17" t="e">
        <f t="shared" ca="1" si="69"/>
        <v>#N/A</v>
      </c>
      <c r="AB134" s="17" t="e">
        <f t="shared" ca="1" si="69"/>
        <v>#N/A</v>
      </c>
      <c r="AC134" s="17" t="e">
        <f t="shared" ca="1" si="69"/>
        <v>#N/A</v>
      </c>
      <c r="AD134" s="17" t="e">
        <f t="shared" ca="1" si="69"/>
        <v>#N/A</v>
      </c>
      <c r="AE134" s="17" t="e">
        <f t="shared" ca="1" si="69"/>
        <v>#N/A</v>
      </c>
      <c r="AF134" s="17" t="e">
        <f t="shared" ca="1" si="69"/>
        <v>#N/A</v>
      </c>
      <c r="AG134" s="17" t="e">
        <f t="shared" ca="1" si="69"/>
        <v>#N/A</v>
      </c>
      <c r="AH134" s="17" t="e">
        <f t="shared" ca="1" si="69"/>
        <v>#N/A</v>
      </c>
      <c r="AI134" s="17" t="e">
        <f t="shared" ca="1" si="69"/>
        <v>#N/A</v>
      </c>
      <c r="AJ134" s="17" t="e">
        <f t="shared" ca="1" si="69"/>
        <v>#N/A</v>
      </c>
      <c r="AK134" s="17" t="e">
        <f t="shared" ca="1" si="69"/>
        <v>#N/A</v>
      </c>
      <c r="AL134" s="17" t="e">
        <f t="shared" ca="1" si="69"/>
        <v>#N/A</v>
      </c>
      <c r="AM134" s="17" t="e">
        <f t="shared" ca="1" si="69"/>
        <v>#N/A</v>
      </c>
      <c r="AN134" s="17" t="e">
        <f t="shared" ca="1" si="69"/>
        <v>#N/A</v>
      </c>
      <c r="AO134" s="17" t="e">
        <f t="shared" ca="1" si="69"/>
        <v>#N/A</v>
      </c>
      <c r="AP134" s="17" t="e">
        <f t="shared" ca="1" si="69"/>
        <v>#N/A</v>
      </c>
      <c r="AQ134" s="17" t="e">
        <f t="shared" ca="1" si="69"/>
        <v>#N/A</v>
      </c>
      <c r="AR134" s="17" t="e">
        <f t="shared" ca="1" si="69"/>
        <v>#N/A</v>
      </c>
      <c r="AS134" s="17" t="e">
        <f t="shared" ca="1" si="69"/>
        <v>#N/A</v>
      </c>
      <c r="AT134" s="17" t="e">
        <f t="shared" ca="1" si="69"/>
        <v>#N/A</v>
      </c>
      <c r="AU134" s="17" t="e">
        <f t="shared" ca="1" si="69"/>
        <v>#N/A</v>
      </c>
      <c r="AV134" s="17" t="e">
        <f t="shared" ca="1" si="69"/>
        <v>#N/A</v>
      </c>
      <c r="AW134" s="17" t="e">
        <f t="shared" ca="1" si="69"/>
        <v>#N/A</v>
      </c>
      <c r="AX134" s="17" t="e">
        <f t="shared" ca="1" si="69"/>
        <v>#N/A</v>
      </c>
      <c r="AY134" s="17" t="e">
        <f t="shared" ca="1" si="69"/>
        <v>#N/A</v>
      </c>
      <c r="AZ134" s="17" t="e">
        <f t="shared" ca="1" si="69"/>
        <v>#N/A</v>
      </c>
      <c r="BA134" s="17" t="e">
        <f t="shared" ca="1" si="69"/>
        <v>#N/A</v>
      </c>
      <c r="BB134" s="17" t="e">
        <f t="shared" ca="1" si="69"/>
        <v>#N/A</v>
      </c>
      <c r="BC134" s="17" t="e">
        <f t="shared" ca="1" si="69"/>
        <v>#N/A</v>
      </c>
      <c r="BD134" s="17" t="e">
        <f t="shared" ca="1" si="69"/>
        <v>#N/A</v>
      </c>
      <c r="BE134" s="17" t="e">
        <f t="shared" ca="1" si="69"/>
        <v>#N/A</v>
      </c>
      <c r="BF134" s="17" t="e">
        <f t="shared" ca="1" si="69"/>
        <v>#N/A</v>
      </c>
      <c r="BG134" s="17" t="e">
        <f t="shared" ca="1" si="69"/>
        <v>#N/A</v>
      </c>
      <c r="BH134" s="17" t="e">
        <f t="shared" ca="1" si="69"/>
        <v>#N/A</v>
      </c>
      <c r="BI134" s="17" t="e">
        <f t="shared" ca="1" si="69"/>
        <v>#N/A</v>
      </c>
      <c r="BJ134" s="17" t="e">
        <f t="shared" ca="1" si="69"/>
        <v>#N/A</v>
      </c>
      <c r="BK134" s="17" t="e">
        <f t="shared" ca="1" si="69"/>
        <v>#N/A</v>
      </c>
      <c r="BL134" s="17" t="e">
        <f t="shared" ca="1" si="69"/>
        <v>#N/A</v>
      </c>
      <c r="BM134" s="17" t="e">
        <f t="shared" ca="1" si="69"/>
        <v>#N/A</v>
      </c>
      <c r="BN134" s="17" t="e">
        <f t="shared" ca="1" si="69"/>
        <v>#N/A</v>
      </c>
      <c r="BO134" s="17" t="e">
        <f t="shared" ca="1" si="69"/>
        <v>#N/A</v>
      </c>
      <c r="BP134" s="17" t="e">
        <f t="shared" ca="1" si="69"/>
        <v>#N/A</v>
      </c>
      <c r="BQ134" s="17" t="e">
        <f t="shared" ref="BQ134:BV134" ca="1" si="70">BQ71/$D134*100000</f>
        <v>#N/A</v>
      </c>
      <c r="BR134" s="17" t="e">
        <f t="shared" ca="1" si="70"/>
        <v>#N/A</v>
      </c>
      <c r="BS134" s="17" t="e">
        <f t="shared" ca="1" si="70"/>
        <v>#N/A</v>
      </c>
      <c r="BT134" s="17" t="e">
        <f t="shared" ca="1" si="70"/>
        <v>#N/A</v>
      </c>
      <c r="BU134" s="17" t="e">
        <f t="shared" ca="1" si="70"/>
        <v>#N/A</v>
      </c>
      <c r="BV134" s="17" t="e">
        <f t="shared" ca="1" si="70"/>
        <v>#N/A</v>
      </c>
    </row>
    <row r="135" spans="2:74" x14ac:dyDescent="0.25">
      <c r="B135">
        <f t="shared" si="52"/>
        <v>30</v>
      </c>
      <c r="C135">
        <f t="shared" ca="1" si="52"/>
        <v>0</v>
      </c>
      <c r="D135" s="1" t="e">
        <f t="shared" ca="1" si="52"/>
        <v>#N/A</v>
      </c>
      <c r="E135" s="17" t="e">
        <f t="shared" ref="E135:BP135" ca="1" si="71">E72/$D135*100000</f>
        <v>#N/A</v>
      </c>
      <c r="F135" s="17" t="e">
        <f t="shared" ca="1" si="71"/>
        <v>#N/A</v>
      </c>
      <c r="G135" s="17" t="e">
        <f t="shared" ca="1" si="71"/>
        <v>#N/A</v>
      </c>
      <c r="H135" s="17" t="e">
        <f t="shared" ca="1" si="71"/>
        <v>#N/A</v>
      </c>
      <c r="I135" s="17" t="e">
        <f t="shared" ca="1" si="71"/>
        <v>#N/A</v>
      </c>
      <c r="J135" s="17" t="e">
        <f t="shared" ca="1" si="71"/>
        <v>#N/A</v>
      </c>
      <c r="K135" s="17" t="e">
        <f t="shared" ca="1" si="71"/>
        <v>#N/A</v>
      </c>
      <c r="L135" s="17" t="e">
        <f t="shared" ca="1" si="71"/>
        <v>#N/A</v>
      </c>
      <c r="M135" s="17" t="e">
        <f t="shared" ca="1" si="71"/>
        <v>#N/A</v>
      </c>
      <c r="N135" s="17" t="e">
        <f t="shared" ca="1" si="71"/>
        <v>#N/A</v>
      </c>
      <c r="O135" s="17" t="e">
        <f t="shared" ca="1" si="71"/>
        <v>#N/A</v>
      </c>
      <c r="P135" s="17" t="e">
        <f t="shared" ca="1" si="71"/>
        <v>#N/A</v>
      </c>
      <c r="Q135" s="17" t="e">
        <f t="shared" ca="1" si="71"/>
        <v>#N/A</v>
      </c>
      <c r="R135" s="17" t="e">
        <f t="shared" ca="1" si="71"/>
        <v>#N/A</v>
      </c>
      <c r="S135" s="17" t="e">
        <f t="shared" ca="1" si="71"/>
        <v>#N/A</v>
      </c>
      <c r="T135" s="17" t="e">
        <f t="shared" ca="1" si="71"/>
        <v>#N/A</v>
      </c>
      <c r="U135" s="17" t="e">
        <f t="shared" ca="1" si="71"/>
        <v>#N/A</v>
      </c>
      <c r="V135" s="17" t="e">
        <f t="shared" ca="1" si="71"/>
        <v>#N/A</v>
      </c>
      <c r="W135" s="17" t="e">
        <f t="shared" ca="1" si="71"/>
        <v>#N/A</v>
      </c>
      <c r="X135" s="17" t="e">
        <f t="shared" ca="1" si="71"/>
        <v>#N/A</v>
      </c>
      <c r="Y135" s="17" t="e">
        <f t="shared" ca="1" si="71"/>
        <v>#N/A</v>
      </c>
      <c r="Z135" s="17" t="e">
        <f t="shared" ca="1" si="71"/>
        <v>#N/A</v>
      </c>
      <c r="AA135" s="17" t="e">
        <f t="shared" ca="1" si="71"/>
        <v>#N/A</v>
      </c>
      <c r="AB135" s="17" t="e">
        <f t="shared" ca="1" si="71"/>
        <v>#N/A</v>
      </c>
      <c r="AC135" s="17" t="e">
        <f t="shared" ca="1" si="71"/>
        <v>#N/A</v>
      </c>
      <c r="AD135" s="17" t="e">
        <f t="shared" ca="1" si="71"/>
        <v>#N/A</v>
      </c>
      <c r="AE135" s="17" t="e">
        <f t="shared" ca="1" si="71"/>
        <v>#N/A</v>
      </c>
      <c r="AF135" s="17" t="e">
        <f t="shared" ca="1" si="71"/>
        <v>#N/A</v>
      </c>
      <c r="AG135" s="17" t="e">
        <f t="shared" ca="1" si="71"/>
        <v>#N/A</v>
      </c>
      <c r="AH135" s="17" t="e">
        <f t="shared" ca="1" si="71"/>
        <v>#N/A</v>
      </c>
      <c r="AI135" s="17" t="e">
        <f t="shared" ca="1" si="71"/>
        <v>#N/A</v>
      </c>
      <c r="AJ135" s="17" t="e">
        <f t="shared" ca="1" si="71"/>
        <v>#N/A</v>
      </c>
      <c r="AK135" s="17" t="e">
        <f t="shared" ca="1" si="71"/>
        <v>#N/A</v>
      </c>
      <c r="AL135" s="17" t="e">
        <f t="shared" ca="1" si="71"/>
        <v>#N/A</v>
      </c>
      <c r="AM135" s="17" t="e">
        <f t="shared" ca="1" si="71"/>
        <v>#N/A</v>
      </c>
      <c r="AN135" s="17" t="e">
        <f t="shared" ca="1" si="71"/>
        <v>#N/A</v>
      </c>
      <c r="AO135" s="17" t="e">
        <f t="shared" ca="1" si="71"/>
        <v>#N/A</v>
      </c>
      <c r="AP135" s="17" t="e">
        <f t="shared" ca="1" si="71"/>
        <v>#N/A</v>
      </c>
      <c r="AQ135" s="17" t="e">
        <f t="shared" ca="1" si="71"/>
        <v>#N/A</v>
      </c>
      <c r="AR135" s="17" t="e">
        <f t="shared" ca="1" si="71"/>
        <v>#N/A</v>
      </c>
      <c r="AS135" s="17" t="e">
        <f t="shared" ca="1" si="71"/>
        <v>#N/A</v>
      </c>
      <c r="AT135" s="17" t="e">
        <f t="shared" ca="1" si="71"/>
        <v>#N/A</v>
      </c>
      <c r="AU135" s="17" t="e">
        <f t="shared" ca="1" si="71"/>
        <v>#N/A</v>
      </c>
      <c r="AV135" s="17" t="e">
        <f t="shared" ca="1" si="71"/>
        <v>#N/A</v>
      </c>
      <c r="AW135" s="17" t="e">
        <f t="shared" ca="1" si="71"/>
        <v>#N/A</v>
      </c>
      <c r="AX135" s="17" t="e">
        <f t="shared" ca="1" si="71"/>
        <v>#N/A</v>
      </c>
      <c r="AY135" s="17" t="e">
        <f t="shared" ca="1" si="71"/>
        <v>#N/A</v>
      </c>
      <c r="AZ135" s="17" t="e">
        <f t="shared" ca="1" si="71"/>
        <v>#N/A</v>
      </c>
      <c r="BA135" s="17" t="e">
        <f t="shared" ca="1" si="71"/>
        <v>#N/A</v>
      </c>
      <c r="BB135" s="17" t="e">
        <f t="shared" ca="1" si="71"/>
        <v>#N/A</v>
      </c>
      <c r="BC135" s="17" t="e">
        <f t="shared" ca="1" si="71"/>
        <v>#N/A</v>
      </c>
      <c r="BD135" s="17" t="e">
        <f t="shared" ca="1" si="71"/>
        <v>#N/A</v>
      </c>
      <c r="BE135" s="17" t="e">
        <f t="shared" ca="1" si="71"/>
        <v>#N/A</v>
      </c>
      <c r="BF135" s="17" t="e">
        <f t="shared" ca="1" si="71"/>
        <v>#N/A</v>
      </c>
      <c r="BG135" s="17" t="e">
        <f t="shared" ca="1" si="71"/>
        <v>#N/A</v>
      </c>
      <c r="BH135" s="17" t="e">
        <f t="shared" ca="1" si="71"/>
        <v>#N/A</v>
      </c>
      <c r="BI135" s="17" t="e">
        <f t="shared" ca="1" si="71"/>
        <v>#N/A</v>
      </c>
      <c r="BJ135" s="17" t="e">
        <f t="shared" ca="1" si="71"/>
        <v>#N/A</v>
      </c>
      <c r="BK135" s="17" t="e">
        <f t="shared" ca="1" si="71"/>
        <v>#N/A</v>
      </c>
      <c r="BL135" s="17" t="e">
        <f t="shared" ca="1" si="71"/>
        <v>#N/A</v>
      </c>
      <c r="BM135" s="17" t="e">
        <f t="shared" ca="1" si="71"/>
        <v>#N/A</v>
      </c>
      <c r="BN135" s="17" t="e">
        <f t="shared" ca="1" si="71"/>
        <v>#N/A</v>
      </c>
      <c r="BO135" s="17" t="e">
        <f t="shared" ca="1" si="71"/>
        <v>#N/A</v>
      </c>
      <c r="BP135" s="17" t="e">
        <f t="shared" ca="1" si="71"/>
        <v>#N/A</v>
      </c>
      <c r="BQ135" s="17" t="e">
        <f t="shared" ref="BQ135:BV135" ca="1" si="72">BQ72/$D135*100000</f>
        <v>#N/A</v>
      </c>
      <c r="BR135" s="17" t="e">
        <f t="shared" ca="1" si="72"/>
        <v>#N/A</v>
      </c>
      <c r="BS135" s="17" t="e">
        <f t="shared" ca="1" si="72"/>
        <v>#N/A</v>
      </c>
      <c r="BT135" s="17" t="e">
        <f t="shared" ca="1" si="72"/>
        <v>#N/A</v>
      </c>
      <c r="BU135" s="17" t="e">
        <f t="shared" ca="1" si="72"/>
        <v>#N/A</v>
      </c>
      <c r="BV135" s="17" t="e">
        <f t="shared" ca="1" si="72"/>
        <v>#N/A</v>
      </c>
    </row>
    <row r="136" spans="2:74" x14ac:dyDescent="0.25">
      <c r="B136">
        <f t="shared" si="52"/>
        <v>31</v>
      </c>
      <c r="C136">
        <f t="shared" ca="1" si="52"/>
        <v>0</v>
      </c>
      <c r="D136" s="1" t="e">
        <f t="shared" ca="1" si="52"/>
        <v>#N/A</v>
      </c>
      <c r="E136" s="17" t="e">
        <f t="shared" ref="E136:BP136" ca="1" si="73">E73/$D136*100000</f>
        <v>#N/A</v>
      </c>
      <c r="F136" s="17" t="e">
        <f t="shared" ca="1" si="73"/>
        <v>#N/A</v>
      </c>
      <c r="G136" s="17" t="e">
        <f t="shared" ca="1" si="73"/>
        <v>#N/A</v>
      </c>
      <c r="H136" s="17" t="e">
        <f t="shared" ca="1" si="73"/>
        <v>#N/A</v>
      </c>
      <c r="I136" s="17" t="e">
        <f t="shared" ca="1" si="73"/>
        <v>#N/A</v>
      </c>
      <c r="J136" s="17" t="e">
        <f t="shared" ca="1" si="73"/>
        <v>#N/A</v>
      </c>
      <c r="K136" s="17" t="e">
        <f t="shared" ca="1" si="73"/>
        <v>#N/A</v>
      </c>
      <c r="L136" s="17" t="e">
        <f t="shared" ca="1" si="73"/>
        <v>#N/A</v>
      </c>
      <c r="M136" s="17" t="e">
        <f t="shared" ca="1" si="73"/>
        <v>#N/A</v>
      </c>
      <c r="N136" s="17" t="e">
        <f t="shared" ca="1" si="73"/>
        <v>#N/A</v>
      </c>
      <c r="O136" s="17" t="e">
        <f t="shared" ca="1" si="73"/>
        <v>#N/A</v>
      </c>
      <c r="P136" s="17" t="e">
        <f t="shared" ca="1" si="73"/>
        <v>#N/A</v>
      </c>
      <c r="Q136" s="17" t="e">
        <f t="shared" ca="1" si="73"/>
        <v>#N/A</v>
      </c>
      <c r="R136" s="17" t="e">
        <f t="shared" ca="1" si="73"/>
        <v>#N/A</v>
      </c>
      <c r="S136" s="17" t="e">
        <f t="shared" ca="1" si="73"/>
        <v>#N/A</v>
      </c>
      <c r="T136" s="17" t="e">
        <f t="shared" ca="1" si="73"/>
        <v>#N/A</v>
      </c>
      <c r="U136" s="17" t="e">
        <f t="shared" ca="1" si="73"/>
        <v>#N/A</v>
      </c>
      <c r="V136" s="17" t="e">
        <f t="shared" ca="1" si="73"/>
        <v>#N/A</v>
      </c>
      <c r="W136" s="17" t="e">
        <f t="shared" ca="1" si="73"/>
        <v>#N/A</v>
      </c>
      <c r="X136" s="17" t="e">
        <f t="shared" ca="1" si="73"/>
        <v>#N/A</v>
      </c>
      <c r="Y136" s="17" t="e">
        <f t="shared" ca="1" si="73"/>
        <v>#N/A</v>
      </c>
      <c r="Z136" s="17" t="e">
        <f t="shared" ca="1" si="73"/>
        <v>#N/A</v>
      </c>
      <c r="AA136" s="17" t="e">
        <f t="shared" ca="1" si="73"/>
        <v>#N/A</v>
      </c>
      <c r="AB136" s="17" t="e">
        <f t="shared" ca="1" si="73"/>
        <v>#N/A</v>
      </c>
      <c r="AC136" s="17" t="e">
        <f t="shared" ca="1" si="73"/>
        <v>#N/A</v>
      </c>
      <c r="AD136" s="17" t="e">
        <f t="shared" ca="1" si="73"/>
        <v>#N/A</v>
      </c>
      <c r="AE136" s="17" t="e">
        <f t="shared" ca="1" si="73"/>
        <v>#N/A</v>
      </c>
      <c r="AF136" s="17" t="e">
        <f t="shared" ca="1" si="73"/>
        <v>#N/A</v>
      </c>
      <c r="AG136" s="17" t="e">
        <f t="shared" ca="1" si="73"/>
        <v>#N/A</v>
      </c>
      <c r="AH136" s="17" t="e">
        <f t="shared" ca="1" si="73"/>
        <v>#N/A</v>
      </c>
      <c r="AI136" s="17" t="e">
        <f t="shared" ca="1" si="73"/>
        <v>#N/A</v>
      </c>
      <c r="AJ136" s="17" t="e">
        <f t="shared" ca="1" si="73"/>
        <v>#N/A</v>
      </c>
      <c r="AK136" s="17" t="e">
        <f t="shared" ca="1" si="73"/>
        <v>#N/A</v>
      </c>
      <c r="AL136" s="17" t="e">
        <f t="shared" ca="1" si="73"/>
        <v>#N/A</v>
      </c>
      <c r="AM136" s="17" t="e">
        <f t="shared" ca="1" si="73"/>
        <v>#N/A</v>
      </c>
      <c r="AN136" s="17" t="e">
        <f t="shared" ca="1" si="73"/>
        <v>#N/A</v>
      </c>
      <c r="AO136" s="17" t="e">
        <f t="shared" ca="1" si="73"/>
        <v>#N/A</v>
      </c>
      <c r="AP136" s="17" t="e">
        <f t="shared" ca="1" si="73"/>
        <v>#N/A</v>
      </c>
      <c r="AQ136" s="17" t="e">
        <f t="shared" ca="1" si="73"/>
        <v>#N/A</v>
      </c>
      <c r="AR136" s="17" t="e">
        <f t="shared" ca="1" si="73"/>
        <v>#N/A</v>
      </c>
      <c r="AS136" s="17" t="e">
        <f t="shared" ca="1" si="73"/>
        <v>#N/A</v>
      </c>
      <c r="AT136" s="17" t="e">
        <f t="shared" ca="1" si="73"/>
        <v>#N/A</v>
      </c>
      <c r="AU136" s="17" t="e">
        <f t="shared" ca="1" si="73"/>
        <v>#N/A</v>
      </c>
      <c r="AV136" s="17" t="e">
        <f t="shared" ca="1" si="73"/>
        <v>#N/A</v>
      </c>
      <c r="AW136" s="17" t="e">
        <f t="shared" ca="1" si="73"/>
        <v>#N/A</v>
      </c>
      <c r="AX136" s="17" t="e">
        <f t="shared" ca="1" si="73"/>
        <v>#N/A</v>
      </c>
      <c r="AY136" s="17" t="e">
        <f t="shared" ca="1" si="73"/>
        <v>#N/A</v>
      </c>
      <c r="AZ136" s="17" t="e">
        <f t="shared" ca="1" si="73"/>
        <v>#N/A</v>
      </c>
      <c r="BA136" s="17" t="e">
        <f t="shared" ca="1" si="73"/>
        <v>#N/A</v>
      </c>
      <c r="BB136" s="17" t="e">
        <f t="shared" ca="1" si="73"/>
        <v>#N/A</v>
      </c>
      <c r="BC136" s="17" t="e">
        <f t="shared" ca="1" si="73"/>
        <v>#N/A</v>
      </c>
      <c r="BD136" s="17" t="e">
        <f t="shared" ca="1" si="73"/>
        <v>#N/A</v>
      </c>
      <c r="BE136" s="17" t="e">
        <f t="shared" ca="1" si="73"/>
        <v>#N/A</v>
      </c>
      <c r="BF136" s="17" t="e">
        <f t="shared" ca="1" si="73"/>
        <v>#N/A</v>
      </c>
      <c r="BG136" s="17" t="e">
        <f t="shared" ca="1" si="73"/>
        <v>#N/A</v>
      </c>
      <c r="BH136" s="17" t="e">
        <f t="shared" ca="1" si="73"/>
        <v>#N/A</v>
      </c>
      <c r="BI136" s="17" t="e">
        <f t="shared" ca="1" si="73"/>
        <v>#N/A</v>
      </c>
      <c r="BJ136" s="17" t="e">
        <f t="shared" ca="1" si="73"/>
        <v>#N/A</v>
      </c>
      <c r="BK136" s="17" t="e">
        <f t="shared" ca="1" si="73"/>
        <v>#N/A</v>
      </c>
      <c r="BL136" s="17" t="e">
        <f t="shared" ca="1" si="73"/>
        <v>#N/A</v>
      </c>
      <c r="BM136" s="17" t="e">
        <f t="shared" ca="1" si="73"/>
        <v>#N/A</v>
      </c>
      <c r="BN136" s="17" t="e">
        <f t="shared" ca="1" si="73"/>
        <v>#N/A</v>
      </c>
      <c r="BO136" s="17" t="e">
        <f t="shared" ca="1" si="73"/>
        <v>#N/A</v>
      </c>
      <c r="BP136" s="17" t="e">
        <f t="shared" ca="1" si="73"/>
        <v>#N/A</v>
      </c>
      <c r="BQ136" s="17" t="e">
        <f t="shared" ref="BQ136:BV136" ca="1" si="74">BQ73/$D136*100000</f>
        <v>#N/A</v>
      </c>
      <c r="BR136" s="17" t="e">
        <f t="shared" ca="1" si="74"/>
        <v>#N/A</v>
      </c>
      <c r="BS136" s="17" t="e">
        <f t="shared" ca="1" si="74"/>
        <v>#N/A</v>
      </c>
      <c r="BT136" s="17" t="e">
        <f t="shared" ca="1" si="74"/>
        <v>#N/A</v>
      </c>
      <c r="BU136" s="17" t="e">
        <f t="shared" ca="1" si="74"/>
        <v>#N/A</v>
      </c>
      <c r="BV136" s="17" t="e">
        <f t="shared" ca="1" si="74"/>
        <v>#N/A</v>
      </c>
    </row>
    <row r="137" spans="2:74" x14ac:dyDescent="0.25">
      <c r="B137">
        <f t="shared" si="52"/>
        <v>32</v>
      </c>
      <c r="C137">
        <f t="shared" ca="1" si="52"/>
        <v>0</v>
      </c>
      <c r="D137" s="1" t="e">
        <f t="shared" ca="1" si="52"/>
        <v>#N/A</v>
      </c>
      <c r="E137" s="17" t="e">
        <f t="shared" ref="E137:BP137" ca="1" si="75">E74/$D137*100000</f>
        <v>#N/A</v>
      </c>
      <c r="F137" s="17" t="e">
        <f t="shared" ca="1" si="75"/>
        <v>#N/A</v>
      </c>
      <c r="G137" s="17" t="e">
        <f t="shared" ca="1" si="75"/>
        <v>#N/A</v>
      </c>
      <c r="H137" s="17" t="e">
        <f t="shared" ca="1" si="75"/>
        <v>#N/A</v>
      </c>
      <c r="I137" s="17" t="e">
        <f t="shared" ca="1" si="75"/>
        <v>#N/A</v>
      </c>
      <c r="J137" s="17" t="e">
        <f t="shared" ca="1" si="75"/>
        <v>#N/A</v>
      </c>
      <c r="K137" s="17" t="e">
        <f t="shared" ca="1" si="75"/>
        <v>#N/A</v>
      </c>
      <c r="L137" s="17" t="e">
        <f t="shared" ca="1" si="75"/>
        <v>#N/A</v>
      </c>
      <c r="M137" s="17" t="e">
        <f t="shared" ca="1" si="75"/>
        <v>#N/A</v>
      </c>
      <c r="N137" s="17" t="e">
        <f t="shared" ca="1" si="75"/>
        <v>#N/A</v>
      </c>
      <c r="O137" s="17" t="e">
        <f t="shared" ca="1" si="75"/>
        <v>#N/A</v>
      </c>
      <c r="P137" s="17" t="e">
        <f t="shared" ca="1" si="75"/>
        <v>#N/A</v>
      </c>
      <c r="Q137" s="17" t="e">
        <f t="shared" ca="1" si="75"/>
        <v>#N/A</v>
      </c>
      <c r="R137" s="17" t="e">
        <f t="shared" ca="1" si="75"/>
        <v>#N/A</v>
      </c>
      <c r="S137" s="17" t="e">
        <f t="shared" ca="1" si="75"/>
        <v>#N/A</v>
      </c>
      <c r="T137" s="17" t="e">
        <f t="shared" ca="1" si="75"/>
        <v>#N/A</v>
      </c>
      <c r="U137" s="17" t="e">
        <f t="shared" ca="1" si="75"/>
        <v>#N/A</v>
      </c>
      <c r="V137" s="17" t="e">
        <f t="shared" ca="1" si="75"/>
        <v>#N/A</v>
      </c>
      <c r="W137" s="17" t="e">
        <f t="shared" ca="1" si="75"/>
        <v>#N/A</v>
      </c>
      <c r="X137" s="17" t="e">
        <f t="shared" ca="1" si="75"/>
        <v>#N/A</v>
      </c>
      <c r="Y137" s="17" t="e">
        <f t="shared" ca="1" si="75"/>
        <v>#N/A</v>
      </c>
      <c r="Z137" s="17" t="e">
        <f t="shared" ca="1" si="75"/>
        <v>#N/A</v>
      </c>
      <c r="AA137" s="17" t="e">
        <f t="shared" ca="1" si="75"/>
        <v>#N/A</v>
      </c>
      <c r="AB137" s="17" t="e">
        <f t="shared" ca="1" si="75"/>
        <v>#N/A</v>
      </c>
      <c r="AC137" s="17" t="e">
        <f t="shared" ca="1" si="75"/>
        <v>#N/A</v>
      </c>
      <c r="AD137" s="17" t="e">
        <f t="shared" ca="1" si="75"/>
        <v>#N/A</v>
      </c>
      <c r="AE137" s="17" t="e">
        <f t="shared" ca="1" si="75"/>
        <v>#N/A</v>
      </c>
      <c r="AF137" s="17" t="e">
        <f t="shared" ca="1" si="75"/>
        <v>#N/A</v>
      </c>
      <c r="AG137" s="17" t="e">
        <f t="shared" ca="1" si="75"/>
        <v>#N/A</v>
      </c>
      <c r="AH137" s="17" t="e">
        <f t="shared" ca="1" si="75"/>
        <v>#N/A</v>
      </c>
      <c r="AI137" s="17" t="e">
        <f t="shared" ca="1" si="75"/>
        <v>#N/A</v>
      </c>
      <c r="AJ137" s="17" t="e">
        <f t="shared" ca="1" si="75"/>
        <v>#N/A</v>
      </c>
      <c r="AK137" s="17" t="e">
        <f t="shared" ca="1" si="75"/>
        <v>#N/A</v>
      </c>
      <c r="AL137" s="17" t="e">
        <f t="shared" ca="1" si="75"/>
        <v>#N/A</v>
      </c>
      <c r="AM137" s="17" t="e">
        <f t="shared" ca="1" si="75"/>
        <v>#N/A</v>
      </c>
      <c r="AN137" s="17" t="e">
        <f t="shared" ca="1" si="75"/>
        <v>#N/A</v>
      </c>
      <c r="AO137" s="17" t="e">
        <f t="shared" ca="1" si="75"/>
        <v>#N/A</v>
      </c>
      <c r="AP137" s="17" t="e">
        <f t="shared" ca="1" si="75"/>
        <v>#N/A</v>
      </c>
      <c r="AQ137" s="17" t="e">
        <f t="shared" ca="1" si="75"/>
        <v>#N/A</v>
      </c>
      <c r="AR137" s="17" t="e">
        <f t="shared" ca="1" si="75"/>
        <v>#N/A</v>
      </c>
      <c r="AS137" s="17" t="e">
        <f t="shared" ca="1" si="75"/>
        <v>#N/A</v>
      </c>
      <c r="AT137" s="17" t="e">
        <f t="shared" ca="1" si="75"/>
        <v>#N/A</v>
      </c>
      <c r="AU137" s="17" t="e">
        <f t="shared" ca="1" si="75"/>
        <v>#N/A</v>
      </c>
      <c r="AV137" s="17" t="e">
        <f t="shared" ca="1" si="75"/>
        <v>#N/A</v>
      </c>
      <c r="AW137" s="17" t="e">
        <f t="shared" ca="1" si="75"/>
        <v>#N/A</v>
      </c>
      <c r="AX137" s="17" t="e">
        <f t="shared" ca="1" si="75"/>
        <v>#N/A</v>
      </c>
      <c r="AY137" s="17" t="e">
        <f t="shared" ca="1" si="75"/>
        <v>#N/A</v>
      </c>
      <c r="AZ137" s="17" t="e">
        <f t="shared" ca="1" si="75"/>
        <v>#N/A</v>
      </c>
      <c r="BA137" s="17" t="e">
        <f t="shared" ca="1" si="75"/>
        <v>#N/A</v>
      </c>
      <c r="BB137" s="17" t="e">
        <f t="shared" ca="1" si="75"/>
        <v>#N/A</v>
      </c>
      <c r="BC137" s="17" t="e">
        <f t="shared" ca="1" si="75"/>
        <v>#N/A</v>
      </c>
      <c r="BD137" s="17" t="e">
        <f t="shared" ca="1" si="75"/>
        <v>#N/A</v>
      </c>
      <c r="BE137" s="17" t="e">
        <f t="shared" ca="1" si="75"/>
        <v>#N/A</v>
      </c>
      <c r="BF137" s="17" t="e">
        <f t="shared" ca="1" si="75"/>
        <v>#N/A</v>
      </c>
      <c r="BG137" s="17" t="e">
        <f t="shared" ca="1" si="75"/>
        <v>#N/A</v>
      </c>
      <c r="BH137" s="17" t="e">
        <f t="shared" ca="1" si="75"/>
        <v>#N/A</v>
      </c>
      <c r="BI137" s="17" t="e">
        <f t="shared" ca="1" si="75"/>
        <v>#N/A</v>
      </c>
      <c r="BJ137" s="17" t="e">
        <f t="shared" ca="1" si="75"/>
        <v>#N/A</v>
      </c>
      <c r="BK137" s="17" t="e">
        <f t="shared" ca="1" si="75"/>
        <v>#N/A</v>
      </c>
      <c r="BL137" s="17" t="e">
        <f t="shared" ca="1" si="75"/>
        <v>#N/A</v>
      </c>
      <c r="BM137" s="17" t="e">
        <f t="shared" ca="1" si="75"/>
        <v>#N/A</v>
      </c>
      <c r="BN137" s="17" t="e">
        <f t="shared" ca="1" si="75"/>
        <v>#N/A</v>
      </c>
      <c r="BO137" s="17" t="e">
        <f t="shared" ca="1" si="75"/>
        <v>#N/A</v>
      </c>
      <c r="BP137" s="17" t="e">
        <f t="shared" ca="1" si="75"/>
        <v>#N/A</v>
      </c>
      <c r="BQ137" s="17" t="e">
        <f t="shared" ref="BQ137:BV137" ca="1" si="76">BQ74/$D137*100000</f>
        <v>#N/A</v>
      </c>
      <c r="BR137" s="17" t="e">
        <f t="shared" ca="1" si="76"/>
        <v>#N/A</v>
      </c>
      <c r="BS137" s="17" t="e">
        <f t="shared" ca="1" si="76"/>
        <v>#N/A</v>
      </c>
      <c r="BT137" s="17" t="e">
        <f t="shared" ca="1" si="76"/>
        <v>#N/A</v>
      </c>
      <c r="BU137" s="17" t="e">
        <f t="shared" ca="1" si="76"/>
        <v>#N/A</v>
      </c>
      <c r="BV137" s="17" t="e">
        <f t="shared" ca="1" si="76"/>
        <v>#N/A</v>
      </c>
    </row>
    <row r="138" spans="2:74" x14ac:dyDescent="0.25">
      <c r="B138">
        <f t="shared" si="52"/>
        <v>33</v>
      </c>
      <c r="C138">
        <f t="shared" ca="1" si="52"/>
        <v>0</v>
      </c>
      <c r="D138" s="1" t="e">
        <f t="shared" ca="1" si="52"/>
        <v>#N/A</v>
      </c>
      <c r="E138" s="17" t="e">
        <f t="shared" ref="E138:BP138" ca="1" si="77">E75/$D138*100000</f>
        <v>#N/A</v>
      </c>
      <c r="F138" s="17" t="e">
        <f t="shared" ca="1" si="77"/>
        <v>#N/A</v>
      </c>
      <c r="G138" s="17" t="e">
        <f t="shared" ca="1" si="77"/>
        <v>#N/A</v>
      </c>
      <c r="H138" s="17" t="e">
        <f t="shared" ca="1" si="77"/>
        <v>#N/A</v>
      </c>
      <c r="I138" s="17" t="e">
        <f t="shared" ca="1" si="77"/>
        <v>#N/A</v>
      </c>
      <c r="J138" s="17" t="e">
        <f t="shared" ca="1" si="77"/>
        <v>#N/A</v>
      </c>
      <c r="K138" s="17" t="e">
        <f t="shared" ca="1" si="77"/>
        <v>#N/A</v>
      </c>
      <c r="L138" s="17" t="e">
        <f t="shared" ca="1" si="77"/>
        <v>#N/A</v>
      </c>
      <c r="M138" s="17" t="e">
        <f t="shared" ca="1" si="77"/>
        <v>#N/A</v>
      </c>
      <c r="N138" s="17" t="e">
        <f t="shared" ca="1" si="77"/>
        <v>#N/A</v>
      </c>
      <c r="O138" s="17" t="e">
        <f t="shared" ca="1" si="77"/>
        <v>#N/A</v>
      </c>
      <c r="P138" s="17" t="e">
        <f t="shared" ca="1" si="77"/>
        <v>#N/A</v>
      </c>
      <c r="Q138" s="17" t="e">
        <f t="shared" ca="1" si="77"/>
        <v>#N/A</v>
      </c>
      <c r="R138" s="17" t="e">
        <f t="shared" ca="1" si="77"/>
        <v>#N/A</v>
      </c>
      <c r="S138" s="17" t="e">
        <f t="shared" ca="1" si="77"/>
        <v>#N/A</v>
      </c>
      <c r="T138" s="17" t="e">
        <f t="shared" ca="1" si="77"/>
        <v>#N/A</v>
      </c>
      <c r="U138" s="17" t="e">
        <f t="shared" ca="1" si="77"/>
        <v>#N/A</v>
      </c>
      <c r="V138" s="17" t="e">
        <f t="shared" ca="1" si="77"/>
        <v>#N/A</v>
      </c>
      <c r="W138" s="17" t="e">
        <f t="shared" ca="1" si="77"/>
        <v>#N/A</v>
      </c>
      <c r="X138" s="17" t="e">
        <f t="shared" ca="1" si="77"/>
        <v>#N/A</v>
      </c>
      <c r="Y138" s="17" t="e">
        <f t="shared" ca="1" si="77"/>
        <v>#N/A</v>
      </c>
      <c r="Z138" s="17" t="e">
        <f t="shared" ca="1" si="77"/>
        <v>#N/A</v>
      </c>
      <c r="AA138" s="17" t="e">
        <f t="shared" ca="1" si="77"/>
        <v>#N/A</v>
      </c>
      <c r="AB138" s="17" t="e">
        <f t="shared" ca="1" si="77"/>
        <v>#N/A</v>
      </c>
      <c r="AC138" s="17" t="e">
        <f t="shared" ca="1" si="77"/>
        <v>#N/A</v>
      </c>
      <c r="AD138" s="17" t="e">
        <f t="shared" ca="1" si="77"/>
        <v>#N/A</v>
      </c>
      <c r="AE138" s="17" t="e">
        <f t="shared" ca="1" si="77"/>
        <v>#N/A</v>
      </c>
      <c r="AF138" s="17" t="e">
        <f t="shared" ca="1" si="77"/>
        <v>#N/A</v>
      </c>
      <c r="AG138" s="17" t="e">
        <f t="shared" ca="1" si="77"/>
        <v>#N/A</v>
      </c>
      <c r="AH138" s="17" t="e">
        <f t="shared" ca="1" si="77"/>
        <v>#N/A</v>
      </c>
      <c r="AI138" s="17" t="e">
        <f t="shared" ca="1" si="77"/>
        <v>#N/A</v>
      </c>
      <c r="AJ138" s="17" t="e">
        <f t="shared" ca="1" si="77"/>
        <v>#N/A</v>
      </c>
      <c r="AK138" s="17" t="e">
        <f t="shared" ca="1" si="77"/>
        <v>#N/A</v>
      </c>
      <c r="AL138" s="17" t="e">
        <f t="shared" ca="1" si="77"/>
        <v>#N/A</v>
      </c>
      <c r="AM138" s="17" t="e">
        <f t="shared" ca="1" si="77"/>
        <v>#N/A</v>
      </c>
      <c r="AN138" s="17" t="e">
        <f t="shared" ca="1" si="77"/>
        <v>#N/A</v>
      </c>
      <c r="AO138" s="17" t="e">
        <f t="shared" ca="1" si="77"/>
        <v>#N/A</v>
      </c>
      <c r="AP138" s="17" t="e">
        <f t="shared" ca="1" si="77"/>
        <v>#N/A</v>
      </c>
      <c r="AQ138" s="17" t="e">
        <f t="shared" ca="1" si="77"/>
        <v>#N/A</v>
      </c>
      <c r="AR138" s="17" t="e">
        <f t="shared" ca="1" si="77"/>
        <v>#N/A</v>
      </c>
      <c r="AS138" s="17" t="e">
        <f t="shared" ca="1" si="77"/>
        <v>#N/A</v>
      </c>
      <c r="AT138" s="17" t="e">
        <f t="shared" ca="1" si="77"/>
        <v>#N/A</v>
      </c>
      <c r="AU138" s="17" t="e">
        <f t="shared" ca="1" si="77"/>
        <v>#N/A</v>
      </c>
      <c r="AV138" s="17" t="e">
        <f t="shared" ca="1" si="77"/>
        <v>#N/A</v>
      </c>
      <c r="AW138" s="17" t="e">
        <f t="shared" ca="1" si="77"/>
        <v>#N/A</v>
      </c>
      <c r="AX138" s="17" t="e">
        <f t="shared" ca="1" si="77"/>
        <v>#N/A</v>
      </c>
      <c r="AY138" s="17" t="e">
        <f t="shared" ca="1" si="77"/>
        <v>#N/A</v>
      </c>
      <c r="AZ138" s="17" t="e">
        <f t="shared" ca="1" si="77"/>
        <v>#N/A</v>
      </c>
      <c r="BA138" s="17" t="e">
        <f t="shared" ca="1" si="77"/>
        <v>#N/A</v>
      </c>
      <c r="BB138" s="17" t="e">
        <f t="shared" ca="1" si="77"/>
        <v>#N/A</v>
      </c>
      <c r="BC138" s="17" t="e">
        <f t="shared" ca="1" si="77"/>
        <v>#N/A</v>
      </c>
      <c r="BD138" s="17" t="e">
        <f t="shared" ca="1" si="77"/>
        <v>#N/A</v>
      </c>
      <c r="BE138" s="17" t="e">
        <f t="shared" ca="1" si="77"/>
        <v>#N/A</v>
      </c>
      <c r="BF138" s="17" t="e">
        <f t="shared" ca="1" si="77"/>
        <v>#N/A</v>
      </c>
      <c r="BG138" s="17" t="e">
        <f t="shared" ca="1" si="77"/>
        <v>#N/A</v>
      </c>
      <c r="BH138" s="17" t="e">
        <f t="shared" ca="1" si="77"/>
        <v>#N/A</v>
      </c>
      <c r="BI138" s="17" t="e">
        <f t="shared" ca="1" si="77"/>
        <v>#N/A</v>
      </c>
      <c r="BJ138" s="17" t="e">
        <f t="shared" ca="1" si="77"/>
        <v>#N/A</v>
      </c>
      <c r="BK138" s="17" t="e">
        <f t="shared" ca="1" si="77"/>
        <v>#N/A</v>
      </c>
      <c r="BL138" s="17" t="e">
        <f t="shared" ca="1" si="77"/>
        <v>#N/A</v>
      </c>
      <c r="BM138" s="17" t="e">
        <f t="shared" ca="1" si="77"/>
        <v>#N/A</v>
      </c>
      <c r="BN138" s="17" t="e">
        <f t="shared" ca="1" si="77"/>
        <v>#N/A</v>
      </c>
      <c r="BO138" s="17" t="e">
        <f t="shared" ca="1" si="77"/>
        <v>#N/A</v>
      </c>
      <c r="BP138" s="17" t="e">
        <f t="shared" ca="1" si="77"/>
        <v>#N/A</v>
      </c>
      <c r="BQ138" s="17" t="e">
        <f t="shared" ref="BQ138:BV138" ca="1" si="78">BQ75/$D138*100000</f>
        <v>#N/A</v>
      </c>
      <c r="BR138" s="17" t="e">
        <f t="shared" ca="1" si="78"/>
        <v>#N/A</v>
      </c>
      <c r="BS138" s="17" t="e">
        <f t="shared" ca="1" si="78"/>
        <v>#N/A</v>
      </c>
      <c r="BT138" s="17" t="e">
        <f t="shared" ca="1" si="78"/>
        <v>#N/A</v>
      </c>
      <c r="BU138" s="17" t="e">
        <f t="shared" ca="1" si="78"/>
        <v>#N/A</v>
      </c>
      <c r="BV138" s="17" t="e">
        <f t="shared" ca="1" si="78"/>
        <v>#N/A</v>
      </c>
    </row>
    <row r="139" spans="2:74" x14ac:dyDescent="0.25">
      <c r="B139">
        <f t="shared" si="52"/>
        <v>34</v>
      </c>
      <c r="C139">
        <f t="shared" ca="1" si="52"/>
        <v>0</v>
      </c>
      <c r="D139" s="1" t="e">
        <f t="shared" ca="1" si="52"/>
        <v>#N/A</v>
      </c>
      <c r="E139" s="17" t="e">
        <f t="shared" ref="E139:BP139" ca="1" si="79">E76/$D139*100000</f>
        <v>#N/A</v>
      </c>
      <c r="F139" s="17" t="e">
        <f t="shared" ca="1" si="79"/>
        <v>#N/A</v>
      </c>
      <c r="G139" s="17" t="e">
        <f t="shared" ca="1" si="79"/>
        <v>#N/A</v>
      </c>
      <c r="H139" s="17" t="e">
        <f t="shared" ca="1" si="79"/>
        <v>#N/A</v>
      </c>
      <c r="I139" s="17" t="e">
        <f t="shared" ca="1" si="79"/>
        <v>#N/A</v>
      </c>
      <c r="J139" s="17" t="e">
        <f t="shared" ca="1" si="79"/>
        <v>#N/A</v>
      </c>
      <c r="K139" s="17" t="e">
        <f t="shared" ca="1" si="79"/>
        <v>#N/A</v>
      </c>
      <c r="L139" s="17" t="e">
        <f t="shared" ca="1" si="79"/>
        <v>#N/A</v>
      </c>
      <c r="M139" s="17" t="e">
        <f t="shared" ca="1" si="79"/>
        <v>#N/A</v>
      </c>
      <c r="N139" s="17" t="e">
        <f t="shared" ca="1" si="79"/>
        <v>#N/A</v>
      </c>
      <c r="O139" s="17" t="e">
        <f t="shared" ca="1" si="79"/>
        <v>#N/A</v>
      </c>
      <c r="P139" s="17" t="e">
        <f t="shared" ca="1" si="79"/>
        <v>#N/A</v>
      </c>
      <c r="Q139" s="17" t="e">
        <f t="shared" ca="1" si="79"/>
        <v>#N/A</v>
      </c>
      <c r="R139" s="17" t="e">
        <f t="shared" ca="1" si="79"/>
        <v>#N/A</v>
      </c>
      <c r="S139" s="17" t="e">
        <f t="shared" ca="1" si="79"/>
        <v>#N/A</v>
      </c>
      <c r="T139" s="17" t="e">
        <f t="shared" ca="1" si="79"/>
        <v>#N/A</v>
      </c>
      <c r="U139" s="17" t="e">
        <f t="shared" ca="1" si="79"/>
        <v>#N/A</v>
      </c>
      <c r="V139" s="17" t="e">
        <f t="shared" ca="1" si="79"/>
        <v>#N/A</v>
      </c>
      <c r="W139" s="17" t="e">
        <f t="shared" ca="1" si="79"/>
        <v>#N/A</v>
      </c>
      <c r="X139" s="17" t="e">
        <f t="shared" ca="1" si="79"/>
        <v>#N/A</v>
      </c>
      <c r="Y139" s="17" t="e">
        <f t="shared" ca="1" si="79"/>
        <v>#N/A</v>
      </c>
      <c r="Z139" s="17" t="e">
        <f t="shared" ca="1" si="79"/>
        <v>#N/A</v>
      </c>
      <c r="AA139" s="17" t="e">
        <f t="shared" ca="1" si="79"/>
        <v>#N/A</v>
      </c>
      <c r="AB139" s="17" t="e">
        <f t="shared" ca="1" si="79"/>
        <v>#N/A</v>
      </c>
      <c r="AC139" s="17" t="e">
        <f t="shared" ca="1" si="79"/>
        <v>#N/A</v>
      </c>
      <c r="AD139" s="17" t="e">
        <f t="shared" ca="1" si="79"/>
        <v>#N/A</v>
      </c>
      <c r="AE139" s="17" t="e">
        <f t="shared" ca="1" si="79"/>
        <v>#N/A</v>
      </c>
      <c r="AF139" s="17" t="e">
        <f t="shared" ca="1" si="79"/>
        <v>#N/A</v>
      </c>
      <c r="AG139" s="17" t="e">
        <f t="shared" ca="1" si="79"/>
        <v>#N/A</v>
      </c>
      <c r="AH139" s="17" t="e">
        <f t="shared" ca="1" si="79"/>
        <v>#N/A</v>
      </c>
      <c r="AI139" s="17" t="e">
        <f t="shared" ca="1" si="79"/>
        <v>#N/A</v>
      </c>
      <c r="AJ139" s="17" t="e">
        <f t="shared" ca="1" si="79"/>
        <v>#N/A</v>
      </c>
      <c r="AK139" s="17" t="e">
        <f t="shared" ca="1" si="79"/>
        <v>#N/A</v>
      </c>
      <c r="AL139" s="17" t="e">
        <f t="shared" ca="1" si="79"/>
        <v>#N/A</v>
      </c>
      <c r="AM139" s="17" t="e">
        <f t="shared" ca="1" si="79"/>
        <v>#N/A</v>
      </c>
      <c r="AN139" s="17" t="e">
        <f t="shared" ca="1" si="79"/>
        <v>#N/A</v>
      </c>
      <c r="AO139" s="17" t="e">
        <f t="shared" ca="1" si="79"/>
        <v>#N/A</v>
      </c>
      <c r="AP139" s="17" t="e">
        <f t="shared" ca="1" si="79"/>
        <v>#N/A</v>
      </c>
      <c r="AQ139" s="17" t="e">
        <f t="shared" ca="1" si="79"/>
        <v>#N/A</v>
      </c>
      <c r="AR139" s="17" t="e">
        <f t="shared" ca="1" si="79"/>
        <v>#N/A</v>
      </c>
      <c r="AS139" s="17" t="e">
        <f t="shared" ca="1" si="79"/>
        <v>#N/A</v>
      </c>
      <c r="AT139" s="17" t="e">
        <f t="shared" ca="1" si="79"/>
        <v>#N/A</v>
      </c>
      <c r="AU139" s="17" t="e">
        <f t="shared" ca="1" si="79"/>
        <v>#N/A</v>
      </c>
      <c r="AV139" s="17" t="e">
        <f t="shared" ca="1" si="79"/>
        <v>#N/A</v>
      </c>
      <c r="AW139" s="17" t="e">
        <f t="shared" ca="1" si="79"/>
        <v>#N/A</v>
      </c>
      <c r="AX139" s="17" t="e">
        <f t="shared" ca="1" si="79"/>
        <v>#N/A</v>
      </c>
      <c r="AY139" s="17" t="e">
        <f t="shared" ca="1" si="79"/>
        <v>#N/A</v>
      </c>
      <c r="AZ139" s="17" t="e">
        <f t="shared" ca="1" si="79"/>
        <v>#N/A</v>
      </c>
      <c r="BA139" s="17" t="e">
        <f t="shared" ca="1" si="79"/>
        <v>#N/A</v>
      </c>
      <c r="BB139" s="17" t="e">
        <f t="shared" ca="1" si="79"/>
        <v>#N/A</v>
      </c>
      <c r="BC139" s="17" t="e">
        <f t="shared" ca="1" si="79"/>
        <v>#N/A</v>
      </c>
      <c r="BD139" s="17" t="e">
        <f t="shared" ca="1" si="79"/>
        <v>#N/A</v>
      </c>
      <c r="BE139" s="17" t="e">
        <f t="shared" ca="1" si="79"/>
        <v>#N/A</v>
      </c>
      <c r="BF139" s="17" t="e">
        <f t="shared" ca="1" si="79"/>
        <v>#N/A</v>
      </c>
      <c r="BG139" s="17" t="e">
        <f t="shared" ca="1" si="79"/>
        <v>#N/A</v>
      </c>
      <c r="BH139" s="17" t="e">
        <f t="shared" ca="1" si="79"/>
        <v>#N/A</v>
      </c>
      <c r="BI139" s="17" t="e">
        <f t="shared" ca="1" si="79"/>
        <v>#N/A</v>
      </c>
      <c r="BJ139" s="17" t="e">
        <f t="shared" ca="1" si="79"/>
        <v>#N/A</v>
      </c>
      <c r="BK139" s="17" t="e">
        <f t="shared" ca="1" si="79"/>
        <v>#N/A</v>
      </c>
      <c r="BL139" s="17" t="e">
        <f t="shared" ca="1" si="79"/>
        <v>#N/A</v>
      </c>
      <c r="BM139" s="17" t="e">
        <f t="shared" ca="1" si="79"/>
        <v>#N/A</v>
      </c>
      <c r="BN139" s="17" t="e">
        <f t="shared" ca="1" si="79"/>
        <v>#N/A</v>
      </c>
      <c r="BO139" s="17" t="e">
        <f t="shared" ca="1" si="79"/>
        <v>#N/A</v>
      </c>
      <c r="BP139" s="17" t="e">
        <f t="shared" ca="1" si="79"/>
        <v>#N/A</v>
      </c>
      <c r="BQ139" s="17" t="e">
        <f t="shared" ref="BQ139:BV139" ca="1" si="80">BQ76/$D139*100000</f>
        <v>#N/A</v>
      </c>
      <c r="BR139" s="17" t="e">
        <f t="shared" ca="1" si="80"/>
        <v>#N/A</v>
      </c>
      <c r="BS139" s="17" t="e">
        <f t="shared" ca="1" si="80"/>
        <v>#N/A</v>
      </c>
      <c r="BT139" s="17" t="e">
        <f t="shared" ca="1" si="80"/>
        <v>#N/A</v>
      </c>
      <c r="BU139" s="17" t="e">
        <f t="shared" ca="1" si="80"/>
        <v>#N/A</v>
      </c>
      <c r="BV139" s="17" t="e">
        <f t="shared" ca="1" si="80"/>
        <v>#N/A</v>
      </c>
    </row>
    <row r="140" spans="2:74" x14ac:dyDescent="0.25">
      <c r="B140">
        <f t="shared" si="52"/>
        <v>35</v>
      </c>
      <c r="C140">
        <f t="shared" ca="1" si="52"/>
        <v>0</v>
      </c>
      <c r="D140" s="1" t="e">
        <f t="shared" ca="1" si="52"/>
        <v>#N/A</v>
      </c>
      <c r="E140" s="17" t="e">
        <f t="shared" ref="E140:BP140" ca="1" si="81">E77/$D140*100000</f>
        <v>#N/A</v>
      </c>
      <c r="F140" s="17" t="e">
        <f t="shared" ca="1" si="81"/>
        <v>#N/A</v>
      </c>
      <c r="G140" s="17" t="e">
        <f t="shared" ca="1" si="81"/>
        <v>#N/A</v>
      </c>
      <c r="H140" s="17" t="e">
        <f t="shared" ca="1" si="81"/>
        <v>#N/A</v>
      </c>
      <c r="I140" s="17" t="e">
        <f t="shared" ca="1" si="81"/>
        <v>#N/A</v>
      </c>
      <c r="J140" s="17" t="e">
        <f t="shared" ca="1" si="81"/>
        <v>#N/A</v>
      </c>
      <c r="K140" s="17" t="e">
        <f t="shared" ca="1" si="81"/>
        <v>#N/A</v>
      </c>
      <c r="L140" s="17" t="e">
        <f t="shared" ca="1" si="81"/>
        <v>#N/A</v>
      </c>
      <c r="M140" s="17" t="e">
        <f t="shared" ca="1" si="81"/>
        <v>#N/A</v>
      </c>
      <c r="N140" s="17" t="e">
        <f t="shared" ca="1" si="81"/>
        <v>#N/A</v>
      </c>
      <c r="O140" s="17" t="e">
        <f t="shared" ca="1" si="81"/>
        <v>#N/A</v>
      </c>
      <c r="P140" s="17" t="e">
        <f t="shared" ca="1" si="81"/>
        <v>#N/A</v>
      </c>
      <c r="Q140" s="17" t="e">
        <f t="shared" ca="1" si="81"/>
        <v>#N/A</v>
      </c>
      <c r="R140" s="17" t="e">
        <f t="shared" ca="1" si="81"/>
        <v>#N/A</v>
      </c>
      <c r="S140" s="17" t="e">
        <f t="shared" ca="1" si="81"/>
        <v>#N/A</v>
      </c>
      <c r="T140" s="17" t="e">
        <f t="shared" ca="1" si="81"/>
        <v>#N/A</v>
      </c>
      <c r="U140" s="17" t="e">
        <f t="shared" ca="1" si="81"/>
        <v>#N/A</v>
      </c>
      <c r="V140" s="17" t="e">
        <f t="shared" ca="1" si="81"/>
        <v>#N/A</v>
      </c>
      <c r="W140" s="17" t="e">
        <f t="shared" ca="1" si="81"/>
        <v>#N/A</v>
      </c>
      <c r="X140" s="17" t="e">
        <f t="shared" ca="1" si="81"/>
        <v>#N/A</v>
      </c>
      <c r="Y140" s="17" t="e">
        <f t="shared" ca="1" si="81"/>
        <v>#N/A</v>
      </c>
      <c r="Z140" s="17" t="e">
        <f t="shared" ca="1" si="81"/>
        <v>#N/A</v>
      </c>
      <c r="AA140" s="17" t="e">
        <f t="shared" ca="1" si="81"/>
        <v>#N/A</v>
      </c>
      <c r="AB140" s="17" t="e">
        <f t="shared" ca="1" si="81"/>
        <v>#N/A</v>
      </c>
      <c r="AC140" s="17" t="e">
        <f t="shared" ca="1" si="81"/>
        <v>#N/A</v>
      </c>
      <c r="AD140" s="17" t="e">
        <f t="shared" ca="1" si="81"/>
        <v>#N/A</v>
      </c>
      <c r="AE140" s="17" t="e">
        <f t="shared" ca="1" si="81"/>
        <v>#N/A</v>
      </c>
      <c r="AF140" s="17" t="e">
        <f t="shared" ca="1" si="81"/>
        <v>#N/A</v>
      </c>
      <c r="AG140" s="17" t="e">
        <f t="shared" ca="1" si="81"/>
        <v>#N/A</v>
      </c>
      <c r="AH140" s="17" t="e">
        <f t="shared" ca="1" si="81"/>
        <v>#N/A</v>
      </c>
      <c r="AI140" s="17" t="e">
        <f t="shared" ca="1" si="81"/>
        <v>#N/A</v>
      </c>
      <c r="AJ140" s="17" t="e">
        <f t="shared" ca="1" si="81"/>
        <v>#N/A</v>
      </c>
      <c r="AK140" s="17" t="e">
        <f t="shared" ca="1" si="81"/>
        <v>#N/A</v>
      </c>
      <c r="AL140" s="17" t="e">
        <f t="shared" ca="1" si="81"/>
        <v>#N/A</v>
      </c>
      <c r="AM140" s="17" t="e">
        <f t="shared" ca="1" si="81"/>
        <v>#N/A</v>
      </c>
      <c r="AN140" s="17" t="e">
        <f t="shared" ca="1" si="81"/>
        <v>#N/A</v>
      </c>
      <c r="AO140" s="17" t="e">
        <f t="shared" ca="1" si="81"/>
        <v>#N/A</v>
      </c>
      <c r="AP140" s="17" t="e">
        <f t="shared" ca="1" si="81"/>
        <v>#N/A</v>
      </c>
      <c r="AQ140" s="17" t="e">
        <f t="shared" ca="1" si="81"/>
        <v>#N/A</v>
      </c>
      <c r="AR140" s="17" t="e">
        <f t="shared" ca="1" si="81"/>
        <v>#N/A</v>
      </c>
      <c r="AS140" s="17" t="e">
        <f t="shared" ca="1" si="81"/>
        <v>#N/A</v>
      </c>
      <c r="AT140" s="17" t="e">
        <f t="shared" ca="1" si="81"/>
        <v>#N/A</v>
      </c>
      <c r="AU140" s="17" t="e">
        <f t="shared" ca="1" si="81"/>
        <v>#N/A</v>
      </c>
      <c r="AV140" s="17" t="e">
        <f t="shared" ca="1" si="81"/>
        <v>#N/A</v>
      </c>
      <c r="AW140" s="17" t="e">
        <f t="shared" ca="1" si="81"/>
        <v>#N/A</v>
      </c>
      <c r="AX140" s="17" t="e">
        <f t="shared" ca="1" si="81"/>
        <v>#N/A</v>
      </c>
      <c r="AY140" s="17" t="e">
        <f t="shared" ca="1" si="81"/>
        <v>#N/A</v>
      </c>
      <c r="AZ140" s="17" t="e">
        <f t="shared" ca="1" si="81"/>
        <v>#N/A</v>
      </c>
      <c r="BA140" s="17" t="e">
        <f t="shared" ca="1" si="81"/>
        <v>#N/A</v>
      </c>
      <c r="BB140" s="17" t="e">
        <f t="shared" ca="1" si="81"/>
        <v>#N/A</v>
      </c>
      <c r="BC140" s="17" t="e">
        <f t="shared" ca="1" si="81"/>
        <v>#N/A</v>
      </c>
      <c r="BD140" s="17" t="e">
        <f t="shared" ca="1" si="81"/>
        <v>#N/A</v>
      </c>
      <c r="BE140" s="17" t="e">
        <f t="shared" ca="1" si="81"/>
        <v>#N/A</v>
      </c>
      <c r="BF140" s="17" t="e">
        <f t="shared" ca="1" si="81"/>
        <v>#N/A</v>
      </c>
      <c r="BG140" s="17" t="e">
        <f t="shared" ca="1" si="81"/>
        <v>#N/A</v>
      </c>
      <c r="BH140" s="17" t="e">
        <f t="shared" ca="1" si="81"/>
        <v>#N/A</v>
      </c>
      <c r="BI140" s="17" t="e">
        <f t="shared" ca="1" si="81"/>
        <v>#N/A</v>
      </c>
      <c r="BJ140" s="17" t="e">
        <f t="shared" ca="1" si="81"/>
        <v>#N/A</v>
      </c>
      <c r="BK140" s="17" t="e">
        <f t="shared" ca="1" si="81"/>
        <v>#N/A</v>
      </c>
      <c r="BL140" s="17" t="e">
        <f t="shared" ca="1" si="81"/>
        <v>#N/A</v>
      </c>
      <c r="BM140" s="17" t="e">
        <f t="shared" ca="1" si="81"/>
        <v>#N/A</v>
      </c>
      <c r="BN140" s="17" t="e">
        <f t="shared" ca="1" si="81"/>
        <v>#N/A</v>
      </c>
      <c r="BO140" s="17" t="e">
        <f t="shared" ca="1" si="81"/>
        <v>#N/A</v>
      </c>
      <c r="BP140" s="17" t="e">
        <f t="shared" ca="1" si="81"/>
        <v>#N/A</v>
      </c>
      <c r="BQ140" s="17" t="e">
        <f t="shared" ref="BQ140:BV140" ca="1" si="82">BQ77/$D140*100000</f>
        <v>#N/A</v>
      </c>
      <c r="BR140" s="17" t="e">
        <f t="shared" ca="1" si="82"/>
        <v>#N/A</v>
      </c>
      <c r="BS140" s="17" t="e">
        <f t="shared" ca="1" si="82"/>
        <v>#N/A</v>
      </c>
      <c r="BT140" s="17" t="e">
        <f t="shared" ca="1" si="82"/>
        <v>#N/A</v>
      </c>
      <c r="BU140" s="17" t="e">
        <f t="shared" ca="1" si="82"/>
        <v>#N/A</v>
      </c>
      <c r="BV140" s="17" t="e">
        <f t="shared" ca="1" si="82"/>
        <v>#N/A</v>
      </c>
    </row>
    <row r="141" spans="2:74" x14ac:dyDescent="0.25">
      <c r="B141">
        <f t="shared" si="52"/>
        <v>36</v>
      </c>
      <c r="C141">
        <f t="shared" ca="1" si="52"/>
        <v>0</v>
      </c>
      <c r="D141" s="1" t="e">
        <f t="shared" ca="1" si="52"/>
        <v>#N/A</v>
      </c>
      <c r="E141" s="17" t="e">
        <f t="shared" ref="E141:BP141" ca="1" si="83">E78/$D141*100000</f>
        <v>#N/A</v>
      </c>
      <c r="F141" s="17" t="e">
        <f t="shared" ca="1" si="83"/>
        <v>#N/A</v>
      </c>
      <c r="G141" s="17" t="e">
        <f t="shared" ca="1" si="83"/>
        <v>#N/A</v>
      </c>
      <c r="H141" s="17" t="e">
        <f t="shared" ca="1" si="83"/>
        <v>#N/A</v>
      </c>
      <c r="I141" s="17" t="e">
        <f t="shared" ca="1" si="83"/>
        <v>#N/A</v>
      </c>
      <c r="J141" s="17" t="e">
        <f t="shared" ca="1" si="83"/>
        <v>#N/A</v>
      </c>
      <c r="K141" s="17" t="e">
        <f t="shared" ca="1" si="83"/>
        <v>#N/A</v>
      </c>
      <c r="L141" s="17" t="e">
        <f t="shared" ca="1" si="83"/>
        <v>#N/A</v>
      </c>
      <c r="M141" s="17" t="e">
        <f t="shared" ca="1" si="83"/>
        <v>#N/A</v>
      </c>
      <c r="N141" s="17" t="e">
        <f t="shared" ca="1" si="83"/>
        <v>#N/A</v>
      </c>
      <c r="O141" s="17" t="e">
        <f t="shared" ca="1" si="83"/>
        <v>#N/A</v>
      </c>
      <c r="P141" s="17" t="e">
        <f t="shared" ca="1" si="83"/>
        <v>#N/A</v>
      </c>
      <c r="Q141" s="17" t="e">
        <f t="shared" ca="1" si="83"/>
        <v>#N/A</v>
      </c>
      <c r="R141" s="17" t="e">
        <f t="shared" ca="1" si="83"/>
        <v>#N/A</v>
      </c>
      <c r="S141" s="17" t="e">
        <f t="shared" ca="1" si="83"/>
        <v>#N/A</v>
      </c>
      <c r="T141" s="17" t="e">
        <f t="shared" ca="1" si="83"/>
        <v>#N/A</v>
      </c>
      <c r="U141" s="17" t="e">
        <f t="shared" ca="1" si="83"/>
        <v>#N/A</v>
      </c>
      <c r="V141" s="17" t="e">
        <f t="shared" ca="1" si="83"/>
        <v>#N/A</v>
      </c>
      <c r="W141" s="17" t="e">
        <f t="shared" ca="1" si="83"/>
        <v>#N/A</v>
      </c>
      <c r="X141" s="17" t="e">
        <f t="shared" ca="1" si="83"/>
        <v>#N/A</v>
      </c>
      <c r="Y141" s="17" t="e">
        <f t="shared" ca="1" si="83"/>
        <v>#N/A</v>
      </c>
      <c r="Z141" s="17" t="e">
        <f t="shared" ca="1" si="83"/>
        <v>#N/A</v>
      </c>
      <c r="AA141" s="17" t="e">
        <f t="shared" ca="1" si="83"/>
        <v>#N/A</v>
      </c>
      <c r="AB141" s="17" t="e">
        <f t="shared" ca="1" si="83"/>
        <v>#N/A</v>
      </c>
      <c r="AC141" s="17" t="e">
        <f t="shared" ca="1" si="83"/>
        <v>#N/A</v>
      </c>
      <c r="AD141" s="17" t="e">
        <f t="shared" ca="1" si="83"/>
        <v>#N/A</v>
      </c>
      <c r="AE141" s="17" t="e">
        <f t="shared" ca="1" si="83"/>
        <v>#N/A</v>
      </c>
      <c r="AF141" s="17" t="e">
        <f t="shared" ca="1" si="83"/>
        <v>#N/A</v>
      </c>
      <c r="AG141" s="17" t="e">
        <f t="shared" ca="1" si="83"/>
        <v>#N/A</v>
      </c>
      <c r="AH141" s="17" t="e">
        <f t="shared" ca="1" si="83"/>
        <v>#N/A</v>
      </c>
      <c r="AI141" s="17" t="e">
        <f t="shared" ca="1" si="83"/>
        <v>#N/A</v>
      </c>
      <c r="AJ141" s="17" t="e">
        <f t="shared" ca="1" si="83"/>
        <v>#N/A</v>
      </c>
      <c r="AK141" s="17" t="e">
        <f t="shared" ca="1" si="83"/>
        <v>#N/A</v>
      </c>
      <c r="AL141" s="17" t="e">
        <f t="shared" ca="1" si="83"/>
        <v>#N/A</v>
      </c>
      <c r="AM141" s="17" t="e">
        <f t="shared" ca="1" si="83"/>
        <v>#N/A</v>
      </c>
      <c r="AN141" s="17" t="e">
        <f t="shared" ca="1" si="83"/>
        <v>#N/A</v>
      </c>
      <c r="AO141" s="17" t="e">
        <f t="shared" ca="1" si="83"/>
        <v>#N/A</v>
      </c>
      <c r="AP141" s="17" t="e">
        <f t="shared" ca="1" si="83"/>
        <v>#N/A</v>
      </c>
      <c r="AQ141" s="17" t="e">
        <f t="shared" ca="1" si="83"/>
        <v>#N/A</v>
      </c>
      <c r="AR141" s="17" t="e">
        <f t="shared" ca="1" si="83"/>
        <v>#N/A</v>
      </c>
      <c r="AS141" s="17" t="e">
        <f t="shared" ca="1" si="83"/>
        <v>#N/A</v>
      </c>
      <c r="AT141" s="17" t="e">
        <f t="shared" ca="1" si="83"/>
        <v>#N/A</v>
      </c>
      <c r="AU141" s="17" t="e">
        <f t="shared" ca="1" si="83"/>
        <v>#N/A</v>
      </c>
      <c r="AV141" s="17" t="e">
        <f t="shared" ca="1" si="83"/>
        <v>#N/A</v>
      </c>
      <c r="AW141" s="17" t="e">
        <f t="shared" ca="1" si="83"/>
        <v>#N/A</v>
      </c>
      <c r="AX141" s="17" t="e">
        <f t="shared" ca="1" si="83"/>
        <v>#N/A</v>
      </c>
      <c r="AY141" s="17" t="e">
        <f t="shared" ca="1" si="83"/>
        <v>#N/A</v>
      </c>
      <c r="AZ141" s="17" t="e">
        <f t="shared" ca="1" si="83"/>
        <v>#N/A</v>
      </c>
      <c r="BA141" s="17" t="e">
        <f t="shared" ca="1" si="83"/>
        <v>#N/A</v>
      </c>
      <c r="BB141" s="17" t="e">
        <f t="shared" ca="1" si="83"/>
        <v>#N/A</v>
      </c>
      <c r="BC141" s="17" t="e">
        <f t="shared" ca="1" si="83"/>
        <v>#N/A</v>
      </c>
      <c r="BD141" s="17" t="e">
        <f t="shared" ca="1" si="83"/>
        <v>#N/A</v>
      </c>
      <c r="BE141" s="17" t="e">
        <f t="shared" ca="1" si="83"/>
        <v>#N/A</v>
      </c>
      <c r="BF141" s="17" t="e">
        <f t="shared" ca="1" si="83"/>
        <v>#N/A</v>
      </c>
      <c r="BG141" s="17" t="e">
        <f t="shared" ca="1" si="83"/>
        <v>#N/A</v>
      </c>
      <c r="BH141" s="17" t="e">
        <f t="shared" ca="1" si="83"/>
        <v>#N/A</v>
      </c>
      <c r="BI141" s="17" t="e">
        <f t="shared" ca="1" si="83"/>
        <v>#N/A</v>
      </c>
      <c r="BJ141" s="17" t="e">
        <f t="shared" ca="1" si="83"/>
        <v>#N/A</v>
      </c>
      <c r="BK141" s="17" t="e">
        <f t="shared" ca="1" si="83"/>
        <v>#N/A</v>
      </c>
      <c r="BL141" s="17" t="e">
        <f t="shared" ca="1" si="83"/>
        <v>#N/A</v>
      </c>
      <c r="BM141" s="17" t="e">
        <f t="shared" ca="1" si="83"/>
        <v>#N/A</v>
      </c>
      <c r="BN141" s="17" t="e">
        <f t="shared" ca="1" si="83"/>
        <v>#N/A</v>
      </c>
      <c r="BO141" s="17" t="e">
        <f t="shared" ca="1" si="83"/>
        <v>#N/A</v>
      </c>
      <c r="BP141" s="17" t="e">
        <f t="shared" ca="1" si="83"/>
        <v>#N/A</v>
      </c>
      <c r="BQ141" s="17" t="e">
        <f t="shared" ref="BQ141:BV141" ca="1" si="84">BQ78/$D141*100000</f>
        <v>#N/A</v>
      </c>
      <c r="BR141" s="17" t="e">
        <f t="shared" ca="1" si="84"/>
        <v>#N/A</v>
      </c>
      <c r="BS141" s="17" t="e">
        <f t="shared" ca="1" si="84"/>
        <v>#N/A</v>
      </c>
      <c r="BT141" s="17" t="e">
        <f t="shared" ca="1" si="84"/>
        <v>#N/A</v>
      </c>
      <c r="BU141" s="17" t="e">
        <f t="shared" ca="1" si="84"/>
        <v>#N/A</v>
      </c>
      <c r="BV141" s="17" t="e">
        <f t="shared" ca="1" si="84"/>
        <v>#N/A</v>
      </c>
    </row>
    <row r="142" spans="2:74" x14ac:dyDescent="0.25">
      <c r="B142">
        <f t="shared" si="52"/>
        <v>37</v>
      </c>
      <c r="C142">
        <f t="shared" ca="1" si="52"/>
        <v>0</v>
      </c>
      <c r="D142" s="1" t="e">
        <f t="shared" ca="1" si="52"/>
        <v>#N/A</v>
      </c>
      <c r="E142" s="17" t="e">
        <f t="shared" ref="E142:BP142" ca="1" si="85">E79/$D142*100000</f>
        <v>#N/A</v>
      </c>
      <c r="F142" s="17" t="e">
        <f t="shared" ca="1" si="85"/>
        <v>#N/A</v>
      </c>
      <c r="G142" s="17" t="e">
        <f t="shared" ca="1" si="85"/>
        <v>#N/A</v>
      </c>
      <c r="H142" s="17" t="e">
        <f t="shared" ca="1" si="85"/>
        <v>#N/A</v>
      </c>
      <c r="I142" s="17" t="e">
        <f t="shared" ca="1" si="85"/>
        <v>#N/A</v>
      </c>
      <c r="J142" s="17" t="e">
        <f t="shared" ca="1" si="85"/>
        <v>#N/A</v>
      </c>
      <c r="K142" s="17" t="e">
        <f t="shared" ca="1" si="85"/>
        <v>#N/A</v>
      </c>
      <c r="L142" s="17" t="e">
        <f t="shared" ca="1" si="85"/>
        <v>#N/A</v>
      </c>
      <c r="M142" s="17" t="e">
        <f t="shared" ca="1" si="85"/>
        <v>#N/A</v>
      </c>
      <c r="N142" s="17" t="e">
        <f t="shared" ca="1" si="85"/>
        <v>#N/A</v>
      </c>
      <c r="O142" s="17" t="e">
        <f t="shared" ca="1" si="85"/>
        <v>#N/A</v>
      </c>
      <c r="P142" s="17" t="e">
        <f t="shared" ca="1" si="85"/>
        <v>#N/A</v>
      </c>
      <c r="Q142" s="17" t="e">
        <f t="shared" ca="1" si="85"/>
        <v>#N/A</v>
      </c>
      <c r="R142" s="17" t="e">
        <f t="shared" ca="1" si="85"/>
        <v>#N/A</v>
      </c>
      <c r="S142" s="17" t="e">
        <f t="shared" ca="1" si="85"/>
        <v>#N/A</v>
      </c>
      <c r="T142" s="17" t="e">
        <f t="shared" ca="1" si="85"/>
        <v>#N/A</v>
      </c>
      <c r="U142" s="17" t="e">
        <f t="shared" ca="1" si="85"/>
        <v>#N/A</v>
      </c>
      <c r="V142" s="17" t="e">
        <f t="shared" ca="1" si="85"/>
        <v>#N/A</v>
      </c>
      <c r="W142" s="17" t="e">
        <f t="shared" ca="1" si="85"/>
        <v>#N/A</v>
      </c>
      <c r="X142" s="17" t="e">
        <f t="shared" ca="1" si="85"/>
        <v>#N/A</v>
      </c>
      <c r="Y142" s="17" t="e">
        <f t="shared" ca="1" si="85"/>
        <v>#N/A</v>
      </c>
      <c r="Z142" s="17" t="e">
        <f t="shared" ca="1" si="85"/>
        <v>#N/A</v>
      </c>
      <c r="AA142" s="17" t="e">
        <f t="shared" ca="1" si="85"/>
        <v>#N/A</v>
      </c>
      <c r="AB142" s="17" t="e">
        <f t="shared" ca="1" si="85"/>
        <v>#N/A</v>
      </c>
      <c r="AC142" s="17" t="e">
        <f t="shared" ca="1" si="85"/>
        <v>#N/A</v>
      </c>
      <c r="AD142" s="17" t="e">
        <f t="shared" ca="1" si="85"/>
        <v>#N/A</v>
      </c>
      <c r="AE142" s="17" t="e">
        <f t="shared" ca="1" si="85"/>
        <v>#N/A</v>
      </c>
      <c r="AF142" s="17" t="e">
        <f t="shared" ca="1" si="85"/>
        <v>#N/A</v>
      </c>
      <c r="AG142" s="17" t="e">
        <f t="shared" ca="1" si="85"/>
        <v>#N/A</v>
      </c>
      <c r="AH142" s="17" t="e">
        <f t="shared" ca="1" si="85"/>
        <v>#N/A</v>
      </c>
      <c r="AI142" s="17" t="e">
        <f t="shared" ca="1" si="85"/>
        <v>#N/A</v>
      </c>
      <c r="AJ142" s="17" t="e">
        <f t="shared" ca="1" si="85"/>
        <v>#N/A</v>
      </c>
      <c r="AK142" s="17" t="e">
        <f t="shared" ca="1" si="85"/>
        <v>#N/A</v>
      </c>
      <c r="AL142" s="17" t="e">
        <f t="shared" ca="1" si="85"/>
        <v>#N/A</v>
      </c>
      <c r="AM142" s="17" t="e">
        <f t="shared" ca="1" si="85"/>
        <v>#N/A</v>
      </c>
      <c r="AN142" s="17" t="e">
        <f t="shared" ca="1" si="85"/>
        <v>#N/A</v>
      </c>
      <c r="AO142" s="17" t="e">
        <f t="shared" ca="1" si="85"/>
        <v>#N/A</v>
      </c>
      <c r="AP142" s="17" t="e">
        <f t="shared" ca="1" si="85"/>
        <v>#N/A</v>
      </c>
      <c r="AQ142" s="17" t="e">
        <f t="shared" ca="1" si="85"/>
        <v>#N/A</v>
      </c>
      <c r="AR142" s="17" t="e">
        <f t="shared" ca="1" si="85"/>
        <v>#N/A</v>
      </c>
      <c r="AS142" s="17" t="e">
        <f t="shared" ca="1" si="85"/>
        <v>#N/A</v>
      </c>
      <c r="AT142" s="17" t="e">
        <f t="shared" ca="1" si="85"/>
        <v>#N/A</v>
      </c>
      <c r="AU142" s="17" t="e">
        <f t="shared" ca="1" si="85"/>
        <v>#N/A</v>
      </c>
      <c r="AV142" s="17" t="e">
        <f t="shared" ca="1" si="85"/>
        <v>#N/A</v>
      </c>
      <c r="AW142" s="17" t="e">
        <f t="shared" ca="1" si="85"/>
        <v>#N/A</v>
      </c>
      <c r="AX142" s="17" t="e">
        <f t="shared" ca="1" si="85"/>
        <v>#N/A</v>
      </c>
      <c r="AY142" s="17" t="e">
        <f t="shared" ca="1" si="85"/>
        <v>#N/A</v>
      </c>
      <c r="AZ142" s="17" t="e">
        <f t="shared" ca="1" si="85"/>
        <v>#N/A</v>
      </c>
      <c r="BA142" s="17" t="e">
        <f t="shared" ca="1" si="85"/>
        <v>#N/A</v>
      </c>
      <c r="BB142" s="17" t="e">
        <f t="shared" ca="1" si="85"/>
        <v>#N/A</v>
      </c>
      <c r="BC142" s="17" t="e">
        <f t="shared" ca="1" si="85"/>
        <v>#N/A</v>
      </c>
      <c r="BD142" s="17" t="e">
        <f t="shared" ca="1" si="85"/>
        <v>#N/A</v>
      </c>
      <c r="BE142" s="17" t="e">
        <f t="shared" ca="1" si="85"/>
        <v>#N/A</v>
      </c>
      <c r="BF142" s="17" t="e">
        <f t="shared" ca="1" si="85"/>
        <v>#N/A</v>
      </c>
      <c r="BG142" s="17" t="e">
        <f t="shared" ca="1" si="85"/>
        <v>#N/A</v>
      </c>
      <c r="BH142" s="17" t="e">
        <f t="shared" ca="1" si="85"/>
        <v>#N/A</v>
      </c>
      <c r="BI142" s="17" t="e">
        <f t="shared" ca="1" si="85"/>
        <v>#N/A</v>
      </c>
      <c r="BJ142" s="17" t="e">
        <f t="shared" ca="1" si="85"/>
        <v>#N/A</v>
      </c>
      <c r="BK142" s="17" t="e">
        <f t="shared" ca="1" si="85"/>
        <v>#N/A</v>
      </c>
      <c r="BL142" s="17" t="e">
        <f t="shared" ca="1" si="85"/>
        <v>#N/A</v>
      </c>
      <c r="BM142" s="17" t="e">
        <f t="shared" ca="1" si="85"/>
        <v>#N/A</v>
      </c>
      <c r="BN142" s="17" t="e">
        <f t="shared" ca="1" si="85"/>
        <v>#N/A</v>
      </c>
      <c r="BO142" s="17" t="e">
        <f t="shared" ca="1" si="85"/>
        <v>#N/A</v>
      </c>
      <c r="BP142" s="17" t="e">
        <f t="shared" ca="1" si="85"/>
        <v>#N/A</v>
      </c>
      <c r="BQ142" s="17" t="e">
        <f t="shared" ref="BQ142:BV142" ca="1" si="86">BQ79/$D142*100000</f>
        <v>#N/A</v>
      </c>
      <c r="BR142" s="17" t="e">
        <f t="shared" ca="1" si="86"/>
        <v>#N/A</v>
      </c>
      <c r="BS142" s="17" t="e">
        <f t="shared" ca="1" si="86"/>
        <v>#N/A</v>
      </c>
      <c r="BT142" s="17" t="e">
        <f t="shared" ca="1" si="86"/>
        <v>#N/A</v>
      </c>
      <c r="BU142" s="17" t="e">
        <f t="shared" ca="1" si="86"/>
        <v>#N/A</v>
      </c>
      <c r="BV142" s="17" t="e">
        <f t="shared" ca="1" si="86"/>
        <v>#N/A</v>
      </c>
    </row>
    <row r="143" spans="2:74" x14ac:dyDescent="0.25">
      <c r="B143">
        <f t="shared" si="52"/>
        <v>38</v>
      </c>
      <c r="C143">
        <f t="shared" ca="1" si="52"/>
        <v>0</v>
      </c>
      <c r="D143" s="1" t="e">
        <f t="shared" ca="1" si="52"/>
        <v>#N/A</v>
      </c>
      <c r="E143" s="17" t="e">
        <f t="shared" ref="E143:BP143" ca="1" si="87">E80/$D143*100000</f>
        <v>#N/A</v>
      </c>
      <c r="F143" s="17" t="e">
        <f t="shared" ca="1" si="87"/>
        <v>#N/A</v>
      </c>
      <c r="G143" s="17" t="e">
        <f t="shared" ca="1" si="87"/>
        <v>#N/A</v>
      </c>
      <c r="H143" s="17" t="e">
        <f t="shared" ca="1" si="87"/>
        <v>#N/A</v>
      </c>
      <c r="I143" s="17" t="e">
        <f t="shared" ca="1" si="87"/>
        <v>#N/A</v>
      </c>
      <c r="J143" s="17" t="e">
        <f t="shared" ca="1" si="87"/>
        <v>#N/A</v>
      </c>
      <c r="K143" s="17" t="e">
        <f t="shared" ca="1" si="87"/>
        <v>#N/A</v>
      </c>
      <c r="L143" s="17" t="e">
        <f t="shared" ca="1" si="87"/>
        <v>#N/A</v>
      </c>
      <c r="M143" s="17" t="e">
        <f t="shared" ca="1" si="87"/>
        <v>#N/A</v>
      </c>
      <c r="N143" s="17" t="e">
        <f t="shared" ca="1" si="87"/>
        <v>#N/A</v>
      </c>
      <c r="O143" s="17" t="e">
        <f t="shared" ca="1" si="87"/>
        <v>#N/A</v>
      </c>
      <c r="P143" s="17" t="e">
        <f t="shared" ca="1" si="87"/>
        <v>#N/A</v>
      </c>
      <c r="Q143" s="17" t="e">
        <f t="shared" ca="1" si="87"/>
        <v>#N/A</v>
      </c>
      <c r="R143" s="17" t="e">
        <f t="shared" ca="1" si="87"/>
        <v>#N/A</v>
      </c>
      <c r="S143" s="17" t="e">
        <f t="shared" ca="1" si="87"/>
        <v>#N/A</v>
      </c>
      <c r="T143" s="17" t="e">
        <f t="shared" ca="1" si="87"/>
        <v>#N/A</v>
      </c>
      <c r="U143" s="17" t="e">
        <f t="shared" ca="1" si="87"/>
        <v>#N/A</v>
      </c>
      <c r="V143" s="17" t="e">
        <f t="shared" ca="1" si="87"/>
        <v>#N/A</v>
      </c>
      <c r="W143" s="17" t="e">
        <f t="shared" ca="1" si="87"/>
        <v>#N/A</v>
      </c>
      <c r="X143" s="17" t="e">
        <f t="shared" ca="1" si="87"/>
        <v>#N/A</v>
      </c>
      <c r="Y143" s="17" t="e">
        <f t="shared" ca="1" si="87"/>
        <v>#N/A</v>
      </c>
      <c r="Z143" s="17" t="e">
        <f t="shared" ca="1" si="87"/>
        <v>#N/A</v>
      </c>
      <c r="AA143" s="17" t="e">
        <f t="shared" ca="1" si="87"/>
        <v>#N/A</v>
      </c>
      <c r="AB143" s="17" t="e">
        <f t="shared" ca="1" si="87"/>
        <v>#N/A</v>
      </c>
      <c r="AC143" s="17" t="e">
        <f t="shared" ca="1" si="87"/>
        <v>#N/A</v>
      </c>
      <c r="AD143" s="17" t="e">
        <f t="shared" ca="1" si="87"/>
        <v>#N/A</v>
      </c>
      <c r="AE143" s="17" t="e">
        <f t="shared" ca="1" si="87"/>
        <v>#N/A</v>
      </c>
      <c r="AF143" s="17" t="e">
        <f t="shared" ca="1" si="87"/>
        <v>#N/A</v>
      </c>
      <c r="AG143" s="17" t="e">
        <f t="shared" ca="1" si="87"/>
        <v>#N/A</v>
      </c>
      <c r="AH143" s="17" t="e">
        <f t="shared" ca="1" si="87"/>
        <v>#N/A</v>
      </c>
      <c r="AI143" s="17" t="e">
        <f t="shared" ca="1" si="87"/>
        <v>#N/A</v>
      </c>
      <c r="AJ143" s="17" t="e">
        <f t="shared" ca="1" si="87"/>
        <v>#N/A</v>
      </c>
      <c r="AK143" s="17" t="e">
        <f t="shared" ca="1" si="87"/>
        <v>#N/A</v>
      </c>
      <c r="AL143" s="17" t="e">
        <f t="shared" ca="1" si="87"/>
        <v>#N/A</v>
      </c>
      <c r="AM143" s="17" t="e">
        <f t="shared" ca="1" si="87"/>
        <v>#N/A</v>
      </c>
      <c r="AN143" s="17" t="e">
        <f t="shared" ca="1" si="87"/>
        <v>#N/A</v>
      </c>
      <c r="AO143" s="17" t="e">
        <f t="shared" ca="1" si="87"/>
        <v>#N/A</v>
      </c>
      <c r="AP143" s="17" t="e">
        <f t="shared" ca="1" si="87"/>
        <v>#N/A</v>
      </c>
      <c r="AQ143" s="17" t="e">
        <f t="shared" ca="1" si="87"/>
        <v>#N/A</v>
      </c>
      <c r="AR143" s="17" t="e">
        <f t="shared" ca="1" si="87"/>
        <v>#N/A</v>
      </c>
      <c r="AS143" s="17" t="e">
        <f t="shared" ca="1" si="87"/>
        <v>#N/A</v>
      </c>
      <c r="AT143" s="17" t="e">
        <f t="shared" ca="1" si="87"/>
        <v>#N/A</v>
      </c>
      <c r="AU143" s="17" t="e">
        <f t="shared" ca="1" si="87"/>
        <v>#N/A</v>
      </c>
      <c r="AV143" s="17" t="e">
        <f t="shared" ca="1" si="87"/>
        <v>#N/A</v>
      </c>
      <c r="AW143" s="17" t="e">
        <f t="shared" ca="1" si="87"/>
        <v>#N/A</v>
      </c>
      <c r="AX143" s="17" t="e">
        <f t="shared" ca="1" si="87"/>
        <v>#N/A</v>
      </c>
      <c r="AY143" s="17" t="e">
        <f t="shared" ca="1" si="87"/>
        <v>#N/A</v>
      </c>
      <c r="AZ143" s="17" t="e">
        <f t="shared" ca="1" si="87"/>
        <v>#N/A</v>
      </c>
      <c r="BA143" s="17" t="e">
        <f t="shared" ca="1" si="87"/>
        <v>#N/A</v>
      </c>
      <c r="BB143" s="17" t="e">
        <f t="shared" ca="1" si="87"/>
        <v>#N/A</v>
      </c>
      <c r="BC143" s="17" t="e">
        <f t="shared" ca="1" si="87"/>
        <v>#N/A</v>
      </c>
      <c r="BD143" s="17" t="e">
        <f t="shared" ca="1" si="87"/>
        <v>#N/A</v>
      </c>
      <c r="BE143" s="17" t="e">
        <f t="shared" ca="1" si="87"/>
        <v>#N/A</v>
      </c>
      <c r="BF143" s="17" t="e">
        <f t="shared" ca="1" si="87"/>
        <v>#N/A</v>
      </c>
      <c r="BG143" s="17" t="e">
        <f t="shared" ca="1" si="87"/>
        <v>#N/A</v>
      </c>
      <c r="BH143" s="17" t="e">
        <f t="shared" ca="1" si="87"/>
        <v>#N/A</v>
      </c>
      <c r="BI143" s="17" t="e">
        <f t="shared" ca="1" si="87"/>
        <v>#N/A</v>
      </c>
      <c r="BJ143" s="17" t="e">
        <f t="shared" ca="1" si="87"/>
        <v>#N/A</v>
      </c>
      <c r="BK143" s="17" t="e">
        <f t="shared" ca="1" si="87"/>
        <v>#N/A</v>
      </c>
      <c r="BL143" s="17" t="e">
        <f t="shared" ca="1" si="87"/>
        <v>#N/A</v>
      </c>
      <c r="BM143" s="17" t="e">
        <f t="shared" ca="1" si="87"/>
        <v>#N/A</v>
      </c>
      <c r="BN143" s="17" t="e">
        <f t="shared" ca="1" si="87"/>
        <v>#N/A</v>
      </c>
      <c r="BO143" s="17" t="e">
        <f t="shared" ca="1" si="87"/>
        <v>#N/A</v>
      </c>
      <c r="BP143" s="17" t="e">
        <f t="shared" ca="1" si="87"/>
        <v>#N/A</v>
      </c>
      <c r="BQ143" s="17" t="e">
        <f t="shared" ref="BQ143:BV143" ca="1" si="88">BQ80/$D143*100000</f>
        <v>#N/A</v>
      </c>
      <c r="BR143" s="17" t="e">
        <f t="shared" ca="1" si="88"/>
        <v>#N/A</v>
      </c>
      <c r="BS143" s="17" t="e">
        <f t="shared" ca="1" si="88"/>
        <v>#N/A</v>
      </c>
      <c r="BT143" s="17" t="e">
        <f t="shared" ca="1" si="88"/>
        <v>#N/A</v>
      </c>
      <c r="BU143" s="17" t="e">
        <f t="shared" ca="1" si="88"/>
        <v>#N/A</v>
      </c>
      <c r="BV143" s="17" t="e">
        <f t="shared" ca="1" si="88"/>
        <v>#N/A</v>
      </c>
    </row>
    <row r="144" spans="2:74" x14ac:dyDescent="0.25">
      <c r="B144">
        <f t="shared" si="52"/>
        <v>39</v>
      </c>
      <c r="C144">
        <f t="shared" ca="1" si="52"/>
        <v>0</v>
      </c>
      <c r="D144" s="1" t="e">
        <f t="shared" ca="1" si="52"/>
        <v>#N/A</v>
      </c>
      <c r="E144" s="17" t="e">
        <f t="shared" ref="E144:BP144" ca="1" si="89">E81/$D144*100000</f>
        <v>#N/A</v>
      </c>
      <c r="F144" s="17" t="e">
        <f t="shared" ca="1" si="89"/>
        <v>#N/A</v>
      </c>
      <c r="G144" s="17" t="e">
        <f t="shared" ca="1" si="89"/>
        <v>#N/A</v>
      </c>
      <c r="H144" s="17" t="e">
        <f t="shared" ca="1" si="89"/>
        <v>#N/A</v>
      </c>
      <c r="I144" s="17" t="e">
        <f t="shared" ca="1" si="89"/>
        <v>#N/A</v>
      </c>
      <c r="J144" s="17" t="e">
        <f t="shared" ca="1" si="89"/>
        <v>#N/A</v>
      </c>
      <c r="K144" s="17" t="e">
        <f t="shared" ca="1" si="89"/>
        <v>#N/A</v>
      </c>
      <c r="L144" s="17" t="e">
        <f t="shared" ca="1" si="89"/>
        <v>#N/A</v>
      </c>
      <c r="M144" s="17" t="e">
        <f t="shared" ca="1" si="89"/>
        <v>#N/A</v>
      </c>
      <c r="N144" s="17" t="e">
        <f t="shared" ca="1" si="89"/>
        <v>#N/A</v>
      </c>
      <c r="O144" s="17" t="e">
        <f t="shared" ca="1" si="89"/>
        <v>#N/A</v>
      </c>
      <c r="P144" s="17" t="e">
        <f t="shared" ca="1" si="89"/>
        <v>#N/A</v>
      </c>
      <c r="Q144" s="17" t="e">
        <f t="shared" ca="1" si="89"/>
        <v>#N/A</v>
      </c>
      <c r="R144" s="17" t="e">
        <f t="shared" ca="1" si="89"/>
        <v>#N/A</v>
      </c>
      <c r="S144" s="17" t="e">
        <f t="shared" ca="1" si="89"/>
        <v>#N/A</v>
      </c>
      <c r="T144" s="17" t="e">
        <f t="shared" ca="1" si="89"/>
        <v>#N/A</v>
      </c>
      <c r="U144" s="17" t="e">
        <f t="shared" ca="1" si="89"/>
        <v>#N/A</v>
      </c>
      <c r="V144" s="17" t="e">
        <f t="shared" ca="1" si="89"/>
        <v>#N/A</v>
      </c>
      <c r="W144" s="17" t="e">
        <f t="shared" ca="1" si="89"/>
        <v>#N/A</v>
      </c>
      <c r="X144" s="17" t="e">
        <f t="shared" ca="1" si="89"/>
        <v>#N/A</v>
      </c>
      <c r="Y144" s="17" t="e">
        <f t="shared" ca="1" si="89"/>
        <v>#N/A</v>
      </c>
      <c r="Z144" s="17" t="e">
        <f t="shared" ca="1" si="89"/>
        <v>#N/A</v>
      </c>
      <c r="AA144" s="17" t="e">
        <f t="shared" ca="1" si="89"/>
        <v>#N/A</v>
      </c>
      <c r="AB144" s="17" t="e">
        <f t="shared" ca="1" si="89"/>
        <v>#N/A</v>
      </c>
      <c r="AC144" s="17" t="e">
        <f t="shared" ca="1" si="89"/>
        <v>#N/A</v>
      </c>
      <c r="AD144" s="17" t="e">
        <f t="shared" ca="1" si="89"/>
        <v>#N/A</v>
      </c>
      <c r="AE144" s="17" t="e">
        <f t="shared" ca="1" si="89"/>
        <v>#N/A</v>
      </c>
      <c r="AF144" s="17" t="e">
        <f t="shared" ca="1" si="89"/>
        <v>#N/A</v>
      </c>
      <c r="AG144" s="17" t="e">
        <f t="shared" ca="1" si="89"/>
        <v>#N/A</v>
      </c>
      <c r="AH144" s="17" t="e">
        <f t="shared" ca="1" si="89"/>
        <v>#N/A</v>
      </c>
      <c r="AI144" s="17" t="e">
        <f t="shared" ca="1" si="89"/>
        <v>#N/A</v>
      </c>
      <c r="AJ144" s="17" t="e">
        <f t="shared" ca="1" si="89"/>
        <v>#N/A</v>
      </c>
      <c r="AK144" s="17" t="e">
        <f t="shared" ca="1" si="89"/>
        <v>#N/A</v>
      </c>
      <c r="AL144" s="17" t="e">
        <f t="shared" ca="1" si="89"/>
        <v>#N/A</v>
      </c>
      <c r="AM144" s="17" t="e">
        <f t="shared" ca="1" si="89"/>
        <v>#N/A</v>
      </c>
      <c r="AN144" s="17" t="e">
        <f t="shared" ca="1" si="89"/>
        <v>#N/A</v>
      </c>
      <c r="AO144" s="17" t="e">
        <f t="shared" ca="1" si="89"/>
        <v>#N/A</v>
      </c>
      <c r="AP144" s="17" t="e">
        <f t="shared" ca="1" si="89"/>
        <v>#N/A</v>
      </c>
      <c r="AQ144" s="17" t="e">
        <f t="shared" ca="1" si="89"/>
        <v>#N/A</v>
      </c>
      <c r="AR144" s="17" t="e">
        <f t="shared" ca="1" si="89"/>
        <v>#N/A</v>
      </c>
      <c r="AS144" s="17" t="e">
        <f t="shared" ca="1" si="89"/>
        <v>#N/A</v>
      </c>
      <c r="AT144" s="17" t="e">
        <f t="shared" ca="1" si="89"/>
        <v>#N/A</v>
      </c>
      <c r="AU144" s="17" t="e">
        <f t="shared" ca="1" si="89"/>
        <v>#N/A</v>
      </c>
      <c r="AV144" s="17" t="e">
        <f t="shared" ca="1" si="89"/>
        <v>#N/A</v>
      </c>
      <c r="AW144" s="17" t="e">
        <f t="shared" ca="1" si="89"/>
        <v>#N/A</v>
      </c>
      <c r="AX144" s="17" t="e">
        <f t="shared" ca="1" si="89"/>
        <v>#N/A</v>
      </c>
      <c r="AY144" s="17" t="e">
        <f t="shared" ca="1" si="89"/>
        <v>#N/A</v>
      </c>
      <c r="AZ144" s="17" t="e">
        <f t="shared" ca="1" si="89"/>
        <v>#N/A</v>
      </c>
      <c r="BA144" s="17" t="e">
        <f t="shared" ca="1" si="89"/>
        <v>#N/A</v>
      </c>
      <c r="BB144" s="17" t="e">
        <f t="shared" ca="1" si="89"/>
        <v>#N/A</v>
      </c>
      <c r="BC144" s="17" t="e">
        <f t="shared" ca="1" si="89"/>
        <v>#N/A</v>
      </c>
      <c r="BD144" s="17" t="e">
        <f t="shared" ca="1" si="89"/>
        <v>#N/A</v>
      </c>
      <c r="BE144" s="17" t="e">
        <f t="shared" ca="1" si="89"/>
        <v>#N/A</v>
      </c>
      <c r="BF144" s="17" t="e">
        <f t="shared" ca="1" si="89"/>
        <v>#N/A</v>
      </c>
      <c r="BG144" s="17" t="e">
        <f t="shared" ca="1" si="89"/>
        <v>#N/A</v>
      </c>
      <c r="BH144" s="17" t="e">
        <f t="shared" ca="1" si="89"/>
        <v>#N/A</v>
      </c>
      <c r="BI144" s="17" t="e">
        <f t="shared" ca="1" si="89"/>
        <v>#N/A</v>
      </c>
      <c r="BJ144" s="17" t="e">
        <f t="shared" ca="1" si="89"/>
        <v>#N/A</v>
      </c>
      <c r="BK144" s="17" t="e">
        <f t="shared" ca="1" si="89"/>
        <v>#N/A</v>
      </c>
      <c r="BL144" s="17" t="e">
        <f t="shared" ca="1" si="89"/>
        <v>#N/A</v>
      </c>
      <c r="BM144" s="17" t="e">
        <f t="shared" ca="1" si="89"/>
        <v>#N/A</v>
      </c>
      <c r="BN144" s="17" t="e">
        <f t="shared" ca="1" si="89"/>
        <v>#N/A</v>
      </c>
      <c r="BO144" s="17" t="e">
        <f t="shared" ca="1" si="89"/>
        <v>#N/A</v>
      </c>
      <c r="BP144" s="17" t="e">
        <f t="shared" ca="1" si="89"/>
        <v>#N/A</v>
      </c>
      <c r="BQ144" s="17" t="e">
        <f t="shared" ref="BQ144:BV144" ca="1" si="90">BQ81/$D144*100000</f>
        <v>#N/A</v>
      </c>
      <c r="BR144" s="17" t="e">
        <f t="shared" ca="1" si="90"/>
        <v>#N/A</v>
      </c>
      <c r="BS144" s="17" t="e">
        <f t="shared" ca="1" si="90"/>
        <v>#N/A</v>
      </c>
      <c r="BT144" s="17" t="e">
        <f t="shared" ca="1" si="90"/>
        <v>#N/A</v>
      </c>
      <c r="BU144" s="17" t="e">
        <f t="shared" ca="1" si="90"/>
        <v>#N/A</v>
      </c>
      <c r="BV144" s="17" t="e">
        <f t="shared" ca="1" si="90"/>
        <v>#N/A</v>
      </c>
    </row>
    <row r="145" spans="2:74" x14ac:dyDescent="0.25">
      <c r="B145">
        <f t="shared" si="52"/>
        <v>40</v>
      </c>
      <c r="C145">
        <f t="shared" ca="1" si="52"/>
        <v>0</v>
      </c>
      <c r="D145" s="1" t="e">
        <f t="shared" ca="1" si="52"/>
        <v>#N/A</v>
      </c>
      <c r="E145" s="17" t="e">
        <f t="shared" ref="E145:BP145" ca="1" si="91">E82/$D145*100000</f>
        <v>#N/A</v>
      </c>
      <c r="F145" s="17" t="e">
        <f t="shared" ca="1" si="91"/>
        <v>#N/A</v>
      </c>
      <c r="G145" s="17" t="e">
        <f t="shared" ca="1" si="91"/>
        <v>#N/A</v>
      </c>
      <c r="H145" s="17" t="e">
        <f t="shared" ca="1" si="91"/>
        <v>#N/A</v>
      </c>
      <c r="I145" s="17" t="e">
        <f t="shared" ca="1" si="91"/>
        <v>#N/A</v>
      </c>
      <c r="J145" s="17" t="e">
        <f t="shared" ca="1" si="91"/>
        <v>#N/A</v>
      </c>
      <c r="K145" s="17" t="e">
        <f t="shared" ca="1" si="91"/>
        <v>#N/A</v>
      </c>
      <c r="L145" s="17" t="e">
        <f t="shared" ca="1" si="91"/>
        <v>#N/A</v>
      </c>
      <c r="M145" s="17" t="e">
        <f t="shared" ca="1" si="91"/>
        <v>#N/A</v>
      </c>
      <c r="N145" s="17" t="e">
        <f t="shared" ca="1" si="91"/>
        <v>#N/A</v>
      </c>
      <c r="O145" s="17" t="e">
        <f t="shared" ca="1" si="91"/>
        <v>#N/A</v>
      </c>
      <c r="P145" s="17" t="e">
        <f t="shared" ca="1" si="91"/>
        <v>#N/A</v>
      </c>
      <c r="Q145" s="17" t="e">
        <f t="shared" ca="1" si="91"/>
        <v>#N/A</v>
      </c>
      <c r="R145" s="17" t="e">
        <f t="shared" ca="1" si="91"/>
        <v>#N/A</v>
      </c>
      <c r="S145" s="17" t="e">
        <f t="shared" ca="1" si="91"/>
        <v>#N/A</v>
      </c>
      <c r="T145" s="17" t="e">
        <f t="shared" ca="1" si="91"/>
        <v>#N/A</v>
      </c>
      <c r="U145" s="17" t="e">
        <f t="shared" ca="1" si="91"/>
        <v>#N/A</v>
      </c>
      <c r="V145" s="17" t="e">
        <f t="shared" ca="1" si="91"/>
        <v>#N/A</v>
      </c>
      <c r="W145" s="17" t="e">
        <f t="shared" ca="1" si="91"/>
        <v>#N/A</v>
      </c>
      <c r="X145" s="17" t="e">
        <f t="shared" ca="1" si="91"/>
        <v>#N/A</v>
      </c>
      <c r="Y145" s="17" t="e">
        <f t="shared" ca="1" si="91"/>
        <v>#N/A</v>
      </c>
      <c r="Z145" s="17" t="e">
        <f t="shared" ca="1" si="91"/>
        <v>#N/A</v>
      </c>
      <c r="AA145" s="17" t="e">
        <f t="shared" ca="1" si="91"/>
        <v>#N/A</v>
      </c>
      <c r="AB145" s="17" t="e">
        <f t="shared" ca="1" si="91"/>
        <v>#N/A</v>
      </c>
      <c r="AC145" s="17" t="e">
        <f t="shared" ca="1" si="91"/>
        <v>#N/A</v>
      </c>
      <c r="AD145" s="17" t="e">
        <f t="shared" ca="1" si="91"/>
        <v>#N/A</v>
      </c>
      <c r="AE145" s="17" t="e">
        <f t="shared" ca="1" si="91"/>
        <v>#N/A</v>
      </c>
      <c r="AF145" s="17" t="e">
        <f t="shared" ca="1" si="91"/>
        <v>#N/A</v>
      </c>
      <c r="AG145" s="17" t="e">
        <f t="shared" ca="1" si="91"/>
        <v>#N/A</v>
      </c>
      <c r="AH145" s="17" t="e">
        <f t="shared" ca="1" si="91"/>
        <v>#N/A</v>
      </c>
      <c r="AI145" s="17" t="e">
        <f t="shared" ca="1" si="91"/>
        <v>#N/A</v>
      </c>
      <c r="AJ145" s="17" t="e">
        <f t="shared" ca="1" si="91"/>
        <v>#N/A</v>
      </c>
      <c r="AK145" s="17" t="e">
        <f t="shared" ca="1" si="91"/>
        <v>#N/A</v>
      </c>
      <c r="AL145" s="17" t="e">
        <f t="shared" ca="1" si="91"/>
        <v>#N/A</v>
      </c>
      <c r="AM145" s="17" t="e">
        <f t="shared" ca="1" si="91"/>
        <v>#N/A</v>
      </c>
      <c r="AN145" s="17" t="e">
        <f t="shared" ca="1" si="91"/>
        <v>#N/A</v>
      </c>
      <c r="AO145" s="17" t="e">
        <f t="shared" ca="1" si="91"/>
        <v>#N/A</v>
      </c>
      <c r="AP145" s="17" t="e">
        <f t="shared" ca="1" si="91"/>
        <v>#N/A</v>
      </c>
      <c r="AQ145" s="17" t="e">
        <f t="shared" ca="1" si="91"/>
        <v>#N/A</v>
      </c>
      <c r="AR145" s="17" t="e">
        <f t="shared" ca="1" si="91"/>
        <v>#N/A</v>
      </c>
      <c r="AS145" s="17" t="e">
        <f t="shared" ca="1" si="91"/>
        <v>#N/A</v>
      </c>
      <c r="AT145" s="17" t="e">
        <f t="shared" ca="1" si="91"/>
        <v>#N/A</v>
      </c>
      <c r="AU145" s="17" t="e">
        <f t="shared" ca="1" si="91"/>
        <v>#N/A</v>
      </c>
      <c r="AV145" s="17" t="e">
        <f t="shared" ca="1" si="91"/>
        <v>#N/A</v>
      </c>
      <c r="AW145" s="17" t="e">
        <f t="shared" ca="1" si="91"/>
        <v>#N/A</v>
      </c>
      <c r="AX145" s="17" t="e">
        <f t="shared" ca="1" si="91"/>
        <v>#N/A</v>
      </c>
      <c r="AY145" s="17" t="e">
        <f t="shared" ca="1" si="91"/>
        <v>#N/A</v>
      </c>
      <c r="AZ145" s="17" t="e">
        <f t="shared" ca="1" si="91"/>
        <v>#N/A</v>
      </c>
      <c r="BA145" s="17" t="e">
        <f t="shared" ca="1" si="91"/>
        <v>#N/A</v>
      </c>
      <c r="BB145" s="17" t="e">
        <f t="shared" ca="1" si="91"/>
        <v>#N/A</v>
      </c>
      <c r="BC145" s="17" t="e">
        <f t="shared" ca="1" si="91"/>
        <v>#N/A</v>
      </c>
      <c r="BD145" s="17" t="e">
        <f t="shared" ca="1" si="91"/>
        <v>#N/A</v>
      </c>
      <c r="BE145" s="17" t="e">
        <f t="shared" ca="1" si="91"/>
        <v>#N/A</v>
      </c>
      <c r="BF145" s="17" t="e">
        <f t="shared" ca="1" si="91"/>
        <v>#N/A</v>
      </c>
      <c r="BG145" s="17" t="e">
        <f t="shared" ca="1" si="91"/>
        <v>#N/A</v>
      </c>
      <c r="BH145" s="17" t="e">
        <f t="shared" ca="1" si="91"/>
        <v>#N/A</v>
      </c>
      <c r="BI145" s="17" t="e">
        <f t="shared" ca="1" si="91"/>
        <v>#N/A</v>
      </c>
      <c r="BJ145" s="17" t="e">
        <f t="shared" ca="1" si="91"/>
        <v>#N/A</v>
      </c>
      <c r="BK145" s="17" t="e">
        <f t="shared" ca="1" si="91"/>
        <v>#N/A</v>
      </c>
      <c r="BL145" s="17" t="e">
        <f t="shared" ca="1" si="91"/>
        <v>#N/A</v>
      </c>
      <c r="BM145" s="17" t="e">
        <f t="shared" ca="1" si="91"/>
        <v>#N/A</v>
      </c>
      <c r="BN145" s="17" t="e">
        <f t="shared" ca="1" si="91"/>
        <v>#N/A</v>
      </c>
      <c r="BO145" s="17" t="e">
        <f t="shared" ca="1" si="91"/>
        <v>#N/A</v>
      </c>
      <c r="BP145" s="17" t="e">
        <f t="shared" ca="1" si="91"/>
        <v>#N/A</v>
      </c>
      <c r="BQ145" s="17" t="e">
        <f t="shared" ref="BQ145:BV145" ca="1" si="92">BQ82/$D145*100000</f>
        <v>#N/A</v>
      </c>
      <c r="BR145" s="17" t="e">
        <f t="shared" ca="1" si="92"/>
        <v>#N/A</v>
      </c>
      <c r="BS145" s="17" t="e">
        <f t="shared" ca="1" si="92"/>
        <v>#N/A</v>
      </c>
      <c r="BT145" s="17" t="e">
        <f t="shared" ca="1" si="92"/>
        <v>#N/A</v>
      </c>
      <c r="BU145" s="17" t="e">
        <f t="shared" ca="1" si="92"/>
        <v>#N/A</v>
      </c>
      <c r="BV145" s="17" t="e">
        <f t="shared" ca="1" si="92"/>
        <v>#N/A</v>
      </c>
    </row>
    <row r="146" spans="2:74" x14ac:dyDescent="0.25">
      <c r="B146">
        <f t="shared" ref="B146:D161" si="93">B83</f>
        <v>41</v>
      </c>
      <c r="C146">
        <f t="shared" ca="1" si="93"/>
        <v>0</v>
      </c>
      <c r="D146" s="1" t="e">
        <f t="shared" ca="1" si="93"/>
        <v>#N/A</v>
      </c>
      <c r="E146" s="17" t="e">
        <f t="shared" ref="E146:BP146" ca="1" si="94">E83/$D146*100000</f>
        <v>#N/A</v>
      </c>
      <c r="F146" s="17" t="e">
        <f t="shared" ca="1" si="94"/>
        <v>#N/A</v>
      </c>
      <c r="G146" s="17" t="e">
        <f t="shared" ca="1" si="94"/>
        <v>#N/A</v>
      </c>
      <c r="H146" s="17" t="e">
        <f t="shared" ca="1" si="94"/>
        <v>#N/A</v>
      </c>
      <c r="I146" s="17" t="e">
        <f t="shared" ca="1" si="94"/>
        <v>#N/A</v>
      </c>
      <c r="J146" s="17" t="e">
        <f t="shared" ca="1" si="94"/>
        <v>#N/A</v>
      </c>
      <c r="K146" s="17" t="e">
        <f t="shared" ca="1" si="94"/>
        <v>#N/A</v>
      </c>
      <c r="L146" s="17" t="e">
        <f t="shared" ca="1" si="94"/>
        <v>#N/A</v>
      </c>
      <c r="M146" s="17" t="e">
        <f t="shared" ca="1" si="94"/>
        <v>#N/A</v>
      </c>
      <c r="N146" s="17" t="e">
        <f t="shared" ca="1" si="94"/>
        <v>#N/A</v>
      </c>
      <c r="O146" s="17" t="e">
        <f t="shared" ca="1" si="94"/>
        <v>#N/A</v>
      </c>
      <c r="P146" s="17" t="e">
        <f t="shared" ca="1" si="94"/>
        <v>#N/A</v>
      </c>
      <c r="Q146" s="17" t="e">
        <f t="shared" ca="1" si="94"/>
        <v>#N/A</v>
      </c>
      <c r="R146" s="17" t="e">
        <f t="shared" ca="1" si="94"/>
        <v>#N/A</v>
      </c>
      <c r="S146" s="17" t="e">
        <f t="shared" ca="1" si="94"/>
        <v>#N/A</v>
      </c>
      <c r="T146" s="17" t="e">
        <f t="shared" ca="1" si="94"/>
        <v>#N/A</v>
      </c>
      <c r="U146" s="17" t="e">
        <f t="shared" ca="1" si="94"/>
        <v>#N/A</v>
      </c>
      <c r="V146" s="17" t="e">
        <f t="shared" ca="1" si="94"/>
        <v>#N/A</v>
      </c>
      <c r="W146" s="17" t="e">
        <f t="shared" ca="1" si="94"/>
        <v>#N/A</v>
      </c>
      <c r="X146" s="17" t="e">
        <f t="shared" ca="1" si="94"/>
        <v>#N/A</v>
      </c>
      <c r="Y146" s="17" t="e">
        <f t="shared" ca="1" si="94"/>
        <v>#N/A</v>
      </c>
      <c r="Z146" s="17" t="e">
        <f t="shared" ca="1" si="94"/>
        <v>#N/A</v>
      </c>
      <c r="AA146" s="17" t="e">
        <f t="shared" ca="1" si="94"/>
        <v>#N/A</v>
      </c>
      <c r="AB146" s="17" t="e">
        <f t="shared" ca="1" si="94"/>
        <v>#N/A</v>
      </c>
      <c r="AC146" s="17" t="e">
        <f t="shared" ca="1" si="94"/>
        <v>#N/A</v>
      </c>
      <c r="AD146" s="17" t="e">
        <f t="shared" ca="1" si="94"/>
        <v>#N/A</v>
      </c>
      <c r="AE146" s="17" t="e">
        <f t="shared" ca="1" si="94"/>
        <v>#N/A</v>
      </c>
      <c r="AF146" s="17" t="e">
        <f t="shared" ca="1" si="94"/>
        <v>#N/A</v>
      </c>
      <c r="AG146" s="17" t="e">
        <f t="shared" ca="1" si="94"/>
        <v>#N/A</v>
      </c>
      <c r="AH146" s="17" t="e">
        <f t="shared" ca="1" si="94"/>
        <v>#N/A</v>
      </c>
      <c r="AI146" s="17" t="e">
        <f t="shared" ca="1" si="94"/>
        <v>#N/A</v>
      </c>
      <c r="AJ146" s="17" t="e">
        <f t="shared" ca="1" si="94"/>
        <v>#N/A</v>
      </c>
      <c r="AK146" s="17" t="e">
        <f t="shared" ca="1" si="94"/>
        <v>#N/A</v>
      </c>
      <c r="AL146" s="17" t="e">
        <f t="shared" ca="1" si="94"/>
        <v>#N/A</v>
      </c>
      <c r="AM146" s="17" t="e">
        <f t="shared" ca="1" si="94"/>
        <v>#N/A</v>
      </c>
      <c r="AN146" s="17" t="e">
        <f t="shared" ca="1" si="94"/>
        <v>#N/A</v>
      </c>
      <c r="AO146" s="17" t="e">
        <f t="shared" ca="1" si="94"/>
        <v>#N/A</v>
      </c>
      <c r="AP146" s="17" t="e">
        <f t="shared" ca="1" si="94"/>
        <v>#N/A</v>
      </c>
      <c r="AQ146" s="17" t="e">
        <f t="shared" ca="1" si="94"/>
        <v>#N/A</v>
      </c>
      <c r="AR146" s="17" t="e">
        <f t="shared" ca="1" si="94"/>
        <v>#N/A</v>
      </c>
      <c r="AS146" s="17" t="e">
        <f t="shared" ca="1" si="94"/>
        <v>#N/A</v>
      </c>
      <c r="AT146" s="17" t="e">
        <f t="shared" ca="1" si="94"/>
        <v>#N/A</v>
      </c>
      <c r="AU146" s="17" t="e">
        <f t="shared" ca="1" si="94"/>
        <v>#N/A</v>
      </c>
      <c r="AV146" s="17" t="e">
        <f t="shared" ca="1" si="94"/>
        <v>#N/A</v>
      </c>
      <c r="AW146" s="17" t="e">
        <f t="shared" ca="1" si="94"/>
        <v>#N/A</v>
      </c>
      <c r="AX146" s="17" t="e">
        <f t="shared" ca="1" si="94"/>
        <v>#N/A</v>
      </c>
      <c r="AY146" s="17" t="e">
        <f t="shared" ca="1" si="94"/>
        <v>#N/A</v>
      </c>
      <c r="AZ146" s="17" t="e">
        <f t="shared" ca="1" si="94"/>
        <v>#N/A</v>
      </c>
      <c r="BA146" s="17" t="e">
        <f t="shared" ca="1" si="94"/>
        <v>#N/A</v>
      </c>
      <c r="BB146" s="17" t="e">
        <f t="shared" ca="1" si="94"/>
        <v>#N/A</v>
      </c>
      <c r="BC146" s="17" t="e">
        <f t="shared" ca="1" si="94"/>
        <v>#N/A</v>
      </c>
      <c r="BD146" s="17" t="e">
        <f t="shared" ca="1" si="94"/>
        <v>#N/A</v>
      </c>
      <c r="BE146" s="17" t="e">
        <f t="shared" ca="1" si="94"/>
        <v>#N/A</v>
      </c>
      <c r="BF146" s="17" t="e">
        <f t="shared" ca="1" si="94"/>
        <v>#N/A</v>
      </c>
      <c r="BG146" s="17" t="e">
        <f t="shared" ca="1" si="94"/>
        <v>#N/A</v>
      </c>
      <c r="BH146" s="17" t="e">
        <f t="shared" ca="1" si="94"/>
        <v>#N/A</v>
      </c>
      <c r="BI146" s="17" t="e">
        <f t="shared" ca="1" si="94"/>
        <v>#N/A</v>
      </c>
      <c r="BJ146" s="17" t="e">
        <f t="shared" ca="1" si="94"/>
        <v>#N/A</v>
      </c>
      <c r="BK146" s="17" t="e">
        <f t="shared" ca="1" si="94"/>
        <v>#N/A</v>
      </c>
      <c r="BL146" s="17" t="e">
        <f t="shared" ca="1" si="94"/>
        <v>#N/A</v>
      </c>
      <c r="BM146" s="17" t="e">
        <f t="shared" ca="1" si="94"/>
        <v>#N/A</v>
      </c>
      <c r="BN146" s="17" t="e">
        <f t="shared" ca="1" si="94"/>
        <v>#N/A</v>
      </c>
      <c r="BO146" s="17" t="e">
        <f t="shared" ca="1" si="94"/>
        <v>#N/A</v>
      </c>
      <c r="BP146" s="17" t="e">
        <f t="shared" ca="1" si="94"/>
        <v>#N/A</v>
      </c>
      <c r="BQ146" s="17" t="e">
        <f t="shared" ref="BQ146:BV146" ca="1" si="95">BQ83/$D146*100000</f>
        <v>#N/A</v>
      </c>
      <c r="BR146" s="17" t="e">
        <f t="shared" ca="1" si="95"/>
        <v>#N/A</v>
      </c>
      <c r="BS146" s="17" t="e">
        <f t="shared" ca="1" si="95"/>
        <v>#N/A</v>
      </c>
      <c r="BT146" s="17" t="e">
        <f t="shared" ca="1" si="95"/>
        <v>#N/A</v>
      </c>
      <c r="BU146" s="17" t="e">
        <f t="shared" ca="1" si="95"/>
        <v>#N/A</v>
      </c>
      <c r="BV146" s="17" t="e">
        <f t="shared" ca="1" si="95"/>
        <v>#N/A</v>
      </c>
    </row>
    <row r="147" spans="2:74" x14ac:dyDescent="0.25">
      <c r="B147">
        <f t="shared" si="93"/>
        <v>42</v>
      </c>
      <c r="C147">
        <f t="shared" ca="1" si="93"/>
        <v>0</v>
      </c>
      <c r="D147" s="1" t="e">
        <f t="shared" ca="1" si="93"/>
        <v>#N/A</v>
      </c>
      <c r="E147" s="17" t="e">
        <f t="shared" ref="E147:BP147" ca="1" si="96">E84/$D147*100000</f>
        <v>#N/A</v>
      </c>
      <c r="F147" s="17" t="e">
        <f t="shared" ca="1" si="96"/>
        <v>#N/A</v>
      </c>
      <c r="G147" s="17" t="e">
        <f t="shared" ca="1" si="96"/>
        <v>#N/A</v>
      </c>
      <c r="H147" s="17" t="e">
        <f t="shared" ca="1" si="96"/>
        <v>#N/A</v>
      </c>
      <c r="I147" s="17" t="e">
        <f t="shared" ca="1" si="96"/>
        <v>#N/A</v>
      </c>
      <c r="J147" s="17" t="e">
        <f t="shared" ca="1" si="96"/>
        <v>#N/A</v>
      </c>
      <c r="K147" s="17" t="e">
        <f t="shared" ca="1" si="96"/>
        <v>#N/A</v>
      </c>
      <c r="L147" s="17" t="e">
        <f t="shared" ca="1" si="96"/>
        <v>#N/A</v>
      </c>
      <c r="M147" s="17" t="e">
        <f t="shared" ca="1" si="96"/>
        <v>#N/A</v>
      </c>
      <c r="N147" s="17" t="e">
        <f t="shared" ca="1" si="96"/>
        <v>#N/A</v>
      </c>
      <c r="O147" s="17" t="e">
        <f t="shared" ca="1" si="96"/>
        <v>#N/A</v>
      </c>
      <c r="P147" s="17" t="e">
        <f t="shared" ca="1" si="96"/>
        <v>#N/A</v>
      </c>
      <c r="Q147" s="17" t="e">
        <f t="shared" ca="1" si="96"/>
        <v>#N/A</v>
      </c>
      <c r="R147" s="17" t="e">
        <f t="shared" ca="1" si="96"/>
        <v>#N/A</v>
      </c>
      <c r="S147" s="17" t="e">
        <f t="shared" ca="1" si="96"/>
        <v>#N/A</v>
      </c>
      <c r="T147" s="17" t="e">
        <f t="shared" ca="1" si="96"/>
        <v>#N/A</v>
      </c>
      <c r="U147" s="17" t="e">
        <f t="shared" ca="1" si="96"/>
        <v>#N/A</v>
      </c>
      <c r="V147" s="17" t="e">
        <f t="shared" ca="1" si="96"/>
        <v>#N/A</v>
      </c>
      <c r="W147" s="17" t="e">
        <f t="shared" ca="1" si="96"/>
        <v>#N/A</v>
      </c>
      <c r="X147" s="17" t="e">
        <f t="shared" ca="1" si="96"/>
        <v>#N/A</v>
      </c>
      <c r="Y147" s="17" t="e">
        <f t="shared" ca="1" si="96"/>
        <v>#N/A</v>
      </c>
      <c r="Z147" s="17" t="e">
        <f t="shared" ca="1" si="96"/>
        <v>#N/A</v>
      </c>
      <c r="AA147" s="17" t="e">
        <f t="shared" ca="1" si="96"/>
        <v>#N/A</v>
      </c>
      <c r="AB147" s="17" t="e">
        <f t="shared" ca="1" si="96"/>
        <v>#N/A</v>
      </c>
      <c r="AC147" s="17" t="e">
        <f t="shared" ca="1" si="96"/>
        <v>#N/A</v>
      </c>
      <c r="AD147" s="17" t="e">
        <f t="shared" ca="1" si="96"/>
        <v>#N/A</v>
      </c>
      <c r="AE147" s="17" t="e">
        <f t="shared" ca="1" si="96"/>
        <v>#N/A</v>
      </c>
      <c r="AF147" s="17" t="e">
        <f t="shared" ca="1" si="96"/>
        <v>#N/A</v>
      </c>
      <c r="AG147" s="17" t="e">
        <f t="shared" ca="1" si="96"/>
        <v>#N/A</v>
      </c>
      <c r="AH147" s="17" t="e">
        <f t="shared" ca="1" si="96"/>
        <v>#N/A</v>
      </c>
      <c r="AI147" s="17" t="e">
        <f t="shared" ca="1" si="96"/>
        <v>#N/A</v>
      </c>
      <c r="AJ147" s="17" t="e">
        <f t="shared" ca="1" si="96"/>
        <v>#N/A</v>
      </c>
      <c r="AK147" s="17" t="e">
        <f t="shared" ca="1" si="96"/>
        <v>#N/A</v>
      </c>
      <c r="AL147" s="17" t="e">
        <f t="shared" ca="1" si="96"/>
        <v>#N/A</v>
      </c>
      <c r="AM147" s="17" t="e">
        <f t="shared" ca="1" si="96"/>
        <v>#N/A</v>
      </c>
      <c r="AN147" s="17" t="e">
        <f t="shared" ca="1" si="96"/>
        <v>#N/A</v>
      </c>
      <c r="AO147" s="17" t="e">
        <f t="shared" ca="1" si="96"/>
        <v>#N/A</v>
      </c>
      <c r="AP147" s="17" t="e">
        <f t="shared" ca="1" si="96"/>
        <v>#N/A</v>
      </c>
      <c r="AQ147" s="17" t="e">
        <f t="shared" ca="1" si="96"/>
        <v>#N/A</v>
      </c>
      <c r="AR147" s="17" t="e">
        <f t="shared" ca="1" si="96"/>
        <v>#N/A</v>
      </c>
      <c r="AS147" s="17" t="e">
        <f t="shared" ca="1" si="96"/>
        <v>#N/A</v>
      </c>
      <c r="AT147" s="17" t="e">
        <f t="shared" ca="1" si="96"/>
        <v>#N/A</v>
      </c>
      <c r="AU147" s="17" t="e">
        <f t="shared" ca="1" si="96"/>
        <v>#N/A</v>
      </c>
      <c r="AV147" s="17" t="e">
        <f t="shared" ca="1" si="96"/>
        <v>#N/A</v>
      </c>
      <c r="AW147" s="17" t="e">
        <f t="shared" ca="1" si="96"/>
        <v>#N/A</v>
      </c>
      <c r="AX147" s="17" t="e">
        <f t="shared" ca="1" si="96"/>
        <v>#N/A</v>
      </c>
      <c r="AY147" s="17" t="e">
        <f t="shared" ca="1" si="96"/>
        <v>#N/A</v>
      </c>
      <c r="AZ147" s="17" t="e">
        <f t="shared" ca="1" si="96"/>
        <v>#N/A</v>
      </c>
      <c r="BA147" s="17" t="e">
        <f t="shared" ca="1" si="96"/>
        <v>#N/A</v>
      </c>
      <c r="BB147" s="17" t="e">
        <f t="shared" ca="1" si="96"/>
        <v>#N/A</v>
      </c>
      <c r="BC147" s="17" t="e">
        <f t="shared" ca="1" si="96"/>
        <v>#N/A</v>
      </c>
      <c r="BD147" s="17" t="e">
        <f t="shared" ca="1" si="96"/>
        <v>#N/A</v>
      </c>
      <c r="BE147" s="17" t="e">
        <f t="shared" ca="1" si="96"/>
        <v>#N/A</v>
      </c>
      <c r="BF147" s="17" t="e">
        <f t="shared" ca="1" si="96"/>
        <v>#N/A</v>
      </c>
      <c r="BG147" s="17" t="e">
        <f t="shared" ca="1" si="96"/>
        <v>#N/A</v>
      </c>
      <c r="BH147" s="17" t="e">
        <f t="shared" ca="1" si="96"/>
        <v>#N/A</v>
      </c>
      <c r="BI147" s="17" t="e">
        <f t="shared" ca="1" si="96"/>
        <v>#N/A</v>
      </c>
      <c r="BJ147" s="17" t="e">
        <f t="shared" ca="1" si="96"/>
        <v>#N/A</v>
      </c>
      <c r="BK147" s="17" t="e">
        <f t="shared" ca="1" si="96"/>
        <v>#N/A</v>
      </c>
      <c r="BL147" s="17" t="e">
        <f t="shared" ca="1" si="96"/>
        <v>#N/A</v>
      </c>
      <c r="BM147" s="17" t="e">
        <f t="shared" ca="1" si="96"/>
        <v>#N/A</v>
      </c>
      <c r="BN147" s="17" t="e">
        <f t="shared" ca="1" si="96"/>
        <v>#N/A</v>
      </c>
      <c r="BO147" s="17" t="e">
        <f t="shared" ca="1" si="96"/>
        <v>#N/A</v>
      </c>
      <c r="BP147" s="17" t="e">
        <f t="shared" ca="1" si="96"/>
        <v>#N/A</v>
      </c>
      <c r="BQ147" s="17" t="e">
        <f t="shared" ref="BQ147:BV147" ca="1" si="97">BQ84/$D147*100000</f>
        <v>#N/A</v>
      </c>
      <c r="BR147" s="17" t="e">
        <f t="shared" ca="1" si="97"/>
        <v>#N/A</v>
      </c>
      <c r="BS147" s="17" t="e">
        <f t="shared" ca="1" si="97"/>
        <v>#N/A</v>
      </c>
      <c r="BT147" s="17" t="e">
        <f t="shared" ca="1" si="97"/>
        <v>#N/A</v>
      </c>
      <c r="BU147" s="17" t="e">
        <f t="shared" ca="1" si="97"/>
        <v>#N/A</v>
      </c>
      <c r="BV147" s="17" t="e">
        <f t="shared" ca="1" si="97"/>
        <v>#N/A</v>
      </c>
    </row>
    <row r="148" spans="2:74" x14ac:dyDescent="0.25">
      <c r="B148">
        <f t="shared" si="93"/>
        <v>43</v>
      </c>
      <c r="C148">
        <f t="shared" ca="1" si="93"/>
        <v>0</v>
      </c>
      <c r="D148" s="1" t="e">
        <f t="shared" ca="1" si="93"/>
        <v>#N/A</v>
      </c>
      <c r="E148" s="17" t="e">
        <f t="shared" ref="E148:BP148" ca="1" si="98">E85/$D148*100000</f>
        <v>#N/A</v>
      </c>
      <c r="F148" s="17" t="e">
        <f t="shared" ca="1" si="98"/>
        <v>#N/A</v>
      </c>
      <c r="G148" s="17" t="e">
        <f t="shared" ca="1" si="98"/>
        <v>#N/A</v>
      </c>
      <c r="H148" s="17" t="e">
        <f t="shared" ca="1" si="98"/>
        <v>#N/A</v>
      </c>
      <c r="I148" s="17" t="e">
        <f t="shared" ca="1" si="98"/>
        <v>#N/A</v>
      </c>
      <c r="J148" s="17" t="e">
        <f t="shared" ca="1" si="98"/>
        <v>#N/A</v>
      </c>
      <c r="K148" s="17" t="e">
        <f t="shared" ca="1" si="98"/>
        <v>#N/A</v>
      </c>
      <c r="L148" s="17" t="e">
        <f t="shared" ca="1" si="98"/>
        <v>#N/A</v>
      </c>
      <c r="M148" s="17" t="e">
        <f t="shared" ca="1" si="98"/>
        <v>#N/A</v>
      </c>
      <c r="N148" s="17" t="e">
        <f t="shared" ca="1" si="98"/>
        <v>#N/A</v>
      </c>
      <c r="O148" s="17" t="e">
        <f t="shared" ca="1" si="98"/>
        <v>#N/A</v>
      </c>
      <c r="P148" s="17" t="e">
        <f t="shared" ca="1" si="98"/>
        <v>#N/A</v>
      </c>
      <c r="Q148" s="17" t="e">
        <f t="shared" ca="1" si="98"/>
        <v>#N/A</v>
      </c>
      <c r="R148" s="17" t="e">
        <f t="shared" ca="1" si="98"/>
        <v>#N/A</v>
      </c>
      <c r="S148" s="17" t="e">
        <f t="shared" ca="1" si="98"/>
        <v>#N/A</v>
      </c>
      <c r="T148" s="17" t="e">
        <f t="shared" ca="1" si="98"/>
        <v>#N/A</v>
      </c>
      <c r="U148" s="17" t="e">
        <f t="shared" ca="1" si="98"/>
        <v>#N/A</v>
      </c>
      <c r="V148" s="17" t="e">
        <f t="shared" ca="1" si="98"/>
        <v>#N/A</v>
      </c>
      <c r="W148" s="17" t="e">
        <f t="shared" ca="1" si="98"/>
        <v>#N/A</v>
      </c>
      <c r="X148" s="17" t="e">
        <f t="shared" ca="1" si="98"/>
        <v>#N/A</v>
      </c>
      <c r="Y148" s="17" t="e">
        <f t="shared" ca="1" si="98"/>
        <v>#N/A</v>
      </c>
      <c r="Z148" s="17" t="e">
        <f t="shared" ca="1" si="98"/>
        <v>#N/A</v>
      </c>
      <c r="AA148" s="17" t="e">
        <f t="shared" ca="1" si="98"/>
        <v>#N/A</v>
      </c>
      <c r="AB148" s="17" t="e">
        <f t="shared" ca="1" si="98"/>
        <v>#N/A</v>
      </c>
      <c r="AC148" s="17" t="e">
        <f t="shared" ca="1" si="98"/>
        <v>#N/A</v>
      </c>
      <c r="AD148" s="17" t="e">
        <f t="shared" ca="1" si="98"/>
        <v>#N/A</v>
      </c>
      <c r="AE148" s="17" t="e">
        <f t="shared" ca="1" si="98"/>
        <v>#N/A</v>
      </c>
      <c r="AF148" s="17" t="e">
        <f t="shared" ca="1" si="98"/>
        <v>#N/A</v>
      </c>
      <c r="AG148" s="17" t="e">
        <f t="shared" ca="1" si="98"/>
        <v>#N/A</v>
      </c>
      <c r="AH148" s="17" t="e">
        <f t="shared" ca="1" si="98"/>
        <v>#N/A</v>
      </c>
      <c r="AI148" s="17" t="e">
        <f t="shared" ca="1" si="98"/>
        <v>#N/A</v>
      </c>
      <c r="AJ148" s="17" t="e">
        <f t="shared" ca="1" si="98"/>
        <v>#N/A</v>
      </c>
      <c r="AK148" s="17" t="e">
        <f t="shared" ca="1" si="98"/>
        <v>#N/A</v>
      </c>
      <c r="AL148" s="17" t="e">
        <f t="shared" ca="1" si="98"/>
        <v>#N/A</v>
      </c>
      <c r="AM148" s="17" t="e">
        <f t="shared" ca="1" si="98"/>
        <v>#N/A</v>
      </c>
      <c r="AN148" s="17" t="e">
        <f t="shared" ca="1" si="98"/>
        <v>#N/A</v>
      </c>
      <c r="AO148" s="17" t="e">
        <f t="shared" ca="1" si="98"/>
        <v>#N/A</v>
      </c>
      <c r="AP148" s="17" t="e">
        <f t="shared" ca="1" si="98"/>
        <v>#N/A</v>
      </c>
      <c r="AQ148" s="17" t="e">
        <f t="shared" ca="1" si="98"/>
        <v>#N/A</v>
      </c>
      <c r="AR148" s="17" t="e">
        <f t="shared" ca="1" si="98"/>
        <v>#N/A</v>
      </c>
      <c r="AS148" s="17" t="e">
        <f t="shared" ca="1" si="98"/>
        <v>#N/A</v>
      </c>
      <c r="AT148" s="17" t="e">
        <f t="shared" ca="1" si="98"/>
        <v>#N/A</v>
      </c>
      <c r="AU148" s="17" t="e">
        <f t="shared" ca="1" si="98"/>
        <v>#N/A</v>
      </c>
      <c r="AV148" s="17" t="e">
        <f t="shared" ca="1" si="98"/>
        <v>#N/A</v>
      </c>
      <c r="AW148" s="17" t="e">
        <f t="shared" ca="1" si="98"/>
        <v>#N/A</v>
      </c>
      <c r="AX148" s="17" t="e">
        <f t="shared" ca="1" si="98"/>
        <v>#N/A</v>
      </c>
      <c r="AY148" s="17" t="e">
        <f t="shared" ca="1" si="98"/>
        <v>#N/A</v>
      </c>
      <c r="AZ148" s="17" t="e">
        <f t="shared" ca="1" si="98"/>
        <v>#N/A</v>
      </c>
      <c r="BA148" s="17" t="e">
        <f t="shared" ca="1" si="98"/>
        <v>#N/A</v>
      </c>
      <c r="BB148" s="17" t="e">
        <f t="shared" ca="1" si="98"/>
        <v>#N/A</v>
      </c>
      <c r="BC148" s="17" t="e">
        <f t="shared" ca="1" si="98"/>
        <v>#N/A</v>
      </c>
      <c r="BD148" s="17" t="e">
        <f t="shared" ca="1" si="98"/>
        <v>#N/A</v>
      </c>
      <c r="BE148" s="17" t="e">
        <f t="shared" ca="1" si="98"/>
        <v>#N/A</v>
      </c>
      <c r="BF148" s="17" t="e">
        <f t="shared" ca="1" si="98"/>
        <v>#N/A</v>
      </c>
      <c r="BG148" s="17" t="e">
        <f t="shared" ca="1" si="98"/>
        <v>#N/A</v>
      </c>
      <c r="BH148" s="17" t="e">
        <f t="shared" ca="1" si="98"/>
        <v>#N/A</v>
      </c>
      <c r="BI148" s="17" t="e">
        <f t="shared" ca="1" si="98"/>
        <v>#N/A</v>
      </c>
      <c r="BJ148" s="17" t="e">
        <f t="shared" ca="1" si="98"/>
        <v>#N/A</v>
      </c>
      <c r="BK148" s="17" t="e">
        <f t="shared" ca="1" si="98"/>
        <v>#N/A</v>
      </c>
      <c r="BL148" s="17" t="e">
        <f t="shared" ca="1" si="98"/>
        <v>#N/A</v>
      </c>
      <c r="BM148" s="17" t="e">
        <f t="shared" ca="1" si="98"/>
        <v>#N/A</v>
      </c>
      <c r="BN148" s="17" t="e">
        <f t="shared" ca="1" si="98"/>
        <v>#N/A</v>
      </c>
      <c r="BO148" s="17" t="e">
        <f t="shared" ca="1" si="98"/>
        <v>#N/A</v>
      </c>
      <c r="BP148" s="17" t="e">
        <f t="shared" ca="1" si="98"/>
        <v>#N/A</v>
      </c>
      <c r="BQ148" s="17" t="e">
        <f t="shared" ref="BQ148:BV148" ca="1" si="99">BQ85/$D148*100000</f>
        <v>#N/A</v>
      </c>
      <c r="BR148" s="17" t="e">
        <f t="shared" ca="1" si="99"/>
        <v>#N/A</v>
      </c>
      <c r="BS148" s="17" t="e">
        <f t="shared" ca="1" si="99"/>
        <v>#N/A</v>
      </c>
      <c r="BT148" s="17" t="e">
        <f t="shared" ca="1" si="99"/>
        <v>#N/A</v>
      </c>
      <c r="BU148" s="17" t="e">
        <f t="shared" ca="1" si="99"/>
        <v>#N/A</v>
      </c>
      <c r="BV148" s="17" t="e">
        <f t="shared" ca="1" si="99"/>
        <v>#N/A</v>
      </c>
    </row>
    <row r="149" spans="2:74" x14ac:dyDescent="0.25">
      <c r="B149">
        <f t="shared" si="93"/>
        <v>44</v>
      </c>
      <c r="C149">
        <f t="shared" ca="1" si="93"/>
        <v>0</v>
      </c>
      <c r="D149" s="1" t="e">
        <f t="shared" ca="1" si="93"/>
        <v>#N/A</v>
      </c>
      <c r="E149" s="17" t="e">
        <f t="shared" ref="E149:BP149" ca="1" si="100">E86/$D149*100000</f>
        <v>#N/A</v>
      </c>
      <c r="F149" s="17" t="e">
        <f t="shared" ca="1" si="100"/>
        <v>#N/A</v>
      </c>
      <c r="G149" s="17" t="e">
        <f t="shared" ca="1" si="100"/>
        <v>#N/A</v>
      </c>
      <c r="H149" s="17" t="e">
        <f t="shared" ca="1" si="100"/>
        <v>#N/A</v>
      </c>
      <c r="I149" s="17" t="e">
        <f t="shared" ca="1" si="100"/>
        <v>#N/A</v>
      </c>
      <c r="J149" s="17" t="e">
        <f t="shared" ca="1" si="100"/>
        <v>#N/A</v>
      </c>
      <c r="K149" s="17" t="e">
        <f t="shared" ca="1" si="100"/>
        <v>#N/A</v>
      </c>
      <c r="L149" s="17" t="e">
        <f t="shared" ca="1" si="100"/>
        <v>#N/A</v>
      </c>
      <c r="M149" s="17" t="e">
        <f t="shared" ca="1" si="100"/>
        <v>#N/A</v>
      </c>
      <c r="N149" s="17" t="e">
        <f t="shared" ca="1" si="100"/>
        <v>#N/A</v>
      </c>
      <c r="O149" s="17" t="e">
        <f t="shared" ca="1" si="100"/>
        <v>#N/A</v>
      </c>
      <c r="P149" s="17" t="e">
        <f t="shared" ca="1" si="100"/>
        <v>#N/A</v>
      </c>
      <c r="Q149" s="17" t="e">
        <f t="shared" ca="1" si="100"/>
        <v>#N/A</v>
      </c>
      <c r="R149" s="17" t="e">
        <f t="shared" ca="1" si="100"/>
        <v>#N/A</v>
      </c>
      <c r="S149" s="17" t="e">
        <f t="shared" ca="1" si="100"/>
        <v>#N/A</v>
      </c>
      <c r="T149" s="17" t="e">
        <f t="shared" ca="1" si="100"/>
        <v>#N/A</v>
      </c>
      <c r="U149" s="17" t="e">
        <f t="shared" ca="1" si="100"/>
        <v>#N/A</v>
      </c>
      <c r="V149" s="17" t="e">
        <f t="shared" ca="1" si="100"/>
        <v>#N/A</v>
      </c>
      <c r="W149" s="17" t="e">
        <f t="shared" ca="1" si="100"/>
        <v>#N/A</v>
      </c>
      <c r="X149" s="17" t="e">
        <f t="shared" ca="1" si="100"/>
        <v>#N/A</v>
      </c>
      <c r="Y149" s="17" t="e">
        <f t="shared" ca="1" si="100"/>
        <v>#N/A</v>
      </c>
      <c r="Z149" s="17" t="e">
        <f t="shared" ca="1" si="100"/>
        <v>#N/A</v>
      </c>
      <c r="AA149" s="17" t="e">
        <f t="shared" ca="1" si="100"/>
        <v>#N/A</v>
      </c>
      <c r="AB149" s="17" t="e">
        <f t="shared" ca="1" si="100"/>
        <v>#N/A</v>
      </c>
      <c r="AC149" s="17" t="e">
        <f t="shared" ca="1" si="100"/>
        <v>#N/A</v>
      </c>
      <c r="AD149" s="17" t="e">
        <f t="shared" ca="1" si="100"/>
        <v>#N/A</v>
      </c>
      <c r="AE149" s="17" t="e">
        <f t="shared" ca="1" si="100"/>
        <v>#N/A</v>
      </c>
      <c r="AF149" s="17" t="e">
        <f t="shared" ca="1" si="100"/>
        <v>#N/A</v>
      </c>
      <c r="AG149" s="17" t="e">
        <f t="shared" ca="1" si="100"/>
        <v>#N/A</v>
      </c>
      <c r="AH149" s="17" t="e">
        <f t="shared" ca="1" si="100"/>
        <v>#N/A</v>
      </c>
      <c r="AI149" s="17" t="e">
        <f t="shared" ca="1" si="100"/>
        <v>#N/A</v>
      </c>
      <c r="AJ149" s="17" t="e">
        <f t="shared" ca="1" si="100"/>
        <v>#N/A</v>
      </c>
      <c r="AK149" s="17" t="e">
        <f t="shared" ca="1" si="100"/>
        <v>#N/A</v>
      </c>
      <c r="AL149" s="17" t="e">
        <f t="shared" ca="1" si="100"/>
        <v>#N/A</v>
      </c>
      <c r="AM149" s="17" t="e">
        <f t="shared" ca="1" si="100"/>
        <v>#N/A</v>
      </c>
      <c r="AN149" s="17" t="e">
        <f t="shared" ca="1" si="100"/>
        <v>#N/A</v>
      </c>
      <c r="AO149" s="17" t="e">
        <f t="shared" ca="1" si="100"/>
        <v>#N/A</v>
      </c>
      <c r="AP149" s="17" t="e">
        <f t="shared" ca="1" si="100"/>
        <v>#N/A</v>
      </c>
      <c r="AQ149" s="17" t="e">
        <f t="shared" ca="1" si="100"/>
        <v>#N/A</v>
      </c>
      <c r="AR149" s="17" t="e">
        <f t="shared" ca="1" si="100"/>
        <v>#N/A</v>
      </c>
      <c r="AS149" s="17" t="e">
        <f t="shared" ca="1" si="100"/>
        <v>#N/A</v>
      </c>
      <c r="AT149" s="17" t="e">
        <f t="shared" ca="1" si="100"/>
        <v>#N/A</v>
      </c>
      <c r="AU149" s="17" t="e">
        <f t="shared" ca="1" si="100"/>
        <v>#N/A</v>
      </c>
      <c r="AV149" s="17" t="e">
        <f t="shared" ca="1" si="100"/>
        <v>#N/A</v>
      </c>
      <c r="AW149" s="17" t="e">
        <f t="shared" ca="1" si="100"/>
        <v>#N/A</v>
      </c>
      <c r="AX149" s="17" t="e">
        <f t="shared" ca="1" si="100"/>
        <v>#N/A</v>
      </c>
      <c r="AY149" s="17" t="e">
        <f t="shared" ca="1" si="100"/>
        <v>#N/A</v>
      </c>
      <c r="AZ149" s="17" t="e">
        <f t="shared" ca="1" si="100"/>
        <v>#N/A</v>
      </c>
      <c r="BA149" s="17" t="e">
        <f t="shared" ca="1" si="100"/>
        <v>#N/A</v>
      </c>
      <c r="BB149" s="17" t="e">
        <f t="shared" ca="1" si="100"/>
        <v>#N/A</v>
      </c>
      <c r="BC149" s="17" t="e">
        <f t="shared" ca="1" si="100"/>
        <v>#N/A</v>
      </c>
      <c r="BD149" s="17" t="e">
        <f t="shared" ca="1" si="100"/>
        <v>#N/A</v>
      </c>
      <c r="BE149" s="17" t="e">
        <f t="shared" ca="1" si="100"/>
        <v>#N/A</v>
      </c>
      <c r="BF149" s="17" t="e">
        <f t="shared" ca="1" si="100"/>
        <v>#N/A</v>
      </c>
      <c r="BG149" s="17" t="e">
        <f t="shared" ca="1" si="100"/>
        <v>#N/A</v>
      </c>
      <c r="BH149" s="17" t="e">
        <f t="shared" ca="1" si="100"/>
        <v>#N/A</v>
      </c>
      <c r="BI149" s="17" t="e">
        <f t="shared" ca="1" si="100"/>
        <v>#N/A</v>
      </c>
      <c r="BJ149" s="17" t="e">
        <f t="shared" ca="1" si="100"/>
        <v>#N/A</v>
      </c>
      <c r="BK149" s="17" t="e">
        <f t="shared" ca="1" si="100"/>
        <v>#N/A</v>
      </c>
      <c r="BL149" s="17" t="e">
        <f t="shared" ca="1" si="100"/>
        <v>#N/A</v>
      </c>
      <c r="BM149" s="17" t="e">
        <f t="shared" ca="1" si="100"/>
        <v>#N/A</v>
      </c>
      <c r="BN149" s="17" t="e">
        <f t="shared" ca="1" si="100"/>
        <v>#N/A</v>
      </c>
      <c r="BO149" s="17" t="e">
        <f t="shared" ca="1" si="100"/>
        <v>#N/A</v>
      </c>
      <c r="BP149" s="17" t="e">
        <f t="shared" ca="1" si="100"/>
        <v>#N/A</v>
      </c>
      <c r="BQ149" s="17" t="e">
        <f t="shared" ref="BQ149:BV149" ca="1" si="101">BQ86/$D149*100000</f>
        <v>#N/A</v>
      </c>
      <c r="BR149" s="17" t="e">
        <f t="shared" ca="1" si="101"/>
        <v>#N/A</v>
      </c>
      <c r="BS149" s="17" t="e">
        <f t="shared" ca="1" si="101"/>
        <v>#N/A</v>
      </c>
      <c r="BT149" s="17" t="e">
        <f t="shared" ca="1" si="101"/>
        <v>#N/A</v>
      </c>
      <c r="BU149" s="17" t="e">
        <f t="shared" ca="1" si="101"/>
        <v>#N/A</v>
      </c>
      <c r="BV149" s="17" t="e">
        <f t="shared" ca="1" si="101"/>
        <v>#N/A</v>
      </c>
    </row>
    <row r="150" spans="2:74" x14ac:dyDescent="0.25">
      <c r="B150">
        <f t="shared" si="93"/>
        <v>45</v>
      </c>
      <c r="C150">
        <f t="shared" ca="1" si="93"/>
        <v>0</v>
      </c>
      <c r="D150" s="1" t="e">
        <f t="shared" ca="1" si="93"/>
        <v>#N/A</v>
      </c>
      <c r="E150" s="17" t="e">
        <f t="shared" ref="E150:BP150" ca="1" si="102">E87/$D150*100000</f>
        <v>#N/A</v>
      </c>
      <c r="F150" s="17" t="e">
        <f t="shared" ca="1" si="102"/>
        <v>#N/A</v>
      </c>
      <c r="G150" s="17" t="e">
        <f t="shared" ca="1" si="102"/>
        <v>#N/A</v>
      </c>
      <c r="H150" s="17" t="e">
        <f t="shared" ca="1" si="102"/>
        <v>#N/A</v>
      </c>
      <c r="I150" s="17" t="e">
        <f t="shared" ca="1" si="102"/>
        <v>#N/A</v>
      </c>
      <c r="J150" s="17" t="e">
        <f t="shared" ca="1" si="102"/>
        <v>#N/A</v>
      </c>
      <c r="K150" s="17" t="e">
        <f t="shared" ca="1" si="102"/>
        <v>#N/A</v>
      </c>
      <c r="L150" s="17" t="e">
        <f t="shared" ca="1" si="102"/>
        <v>#N/A</v>
      </c>
      <c r="M150" s="17" t="e">
        <f t="shared" ca="1" si="102"/>
        <v>#N/A</v>
      </c>
      <c r="N150" s="17" t="e">
        <f t="shared" ca="1" si="102"/>
        <v>#N/A</v>
      </c>
      <c r="O150" s="17" t="e">
        <f t="shared" ca="1" si="102"/>
        <v>#N/A</v>
      </c>
      <c r="P150" s="17" t="e">
        <f t="shared" ca="1" si="102"/>
        <v>#N/A</v>
      </c>
      <c r="Q150" s="17" t="e">
        <f t="shared" ca="1" si="102"/>
        <v>#N/A</v>
      </c>
      <c r="R150" s="17" t="e">
        <f t="shared" ca="1" si="102"/>
        <v>#N/A</v>
      </c>
      <c r="S150" s="17" t="e">
        <f t="shared" ca="1" si="102"/>
        <v>#N/A</v>
      </c>
      <c r="T150" s="17" t="e">
        <f t="shared" ca="1" si="102"/>
        <v>#N/A</v>
      </c>
      <c r="U150" s="17" t="e">
        <f t="shared" ca="1" si="102"/>
        <v>#N/A</v>
      </c>
      <c r="V150" s="17" t="e">
        <f t="shared" ca="1" si="102"/>
        <v>#N/A</v>
      </c>
      <c r="W150" s="17" t="e">
        <f t="shared" ca="1" si="102"/>
        <v>#N/A</v>
      </c>
      <c r="X150" s="17" t="e">
        <f t="shared" ca="1" si="102"/>
        <v>#N/A</v>
      </c>
      <c r="Y150" s="17" t="e">
        <f t="shared" ca="1" si="102"/>
        <v>#N/A</v>
      </c>
      <c r="Z150" s="17" t="e">
        <f t="shared" ca="1" si="102"/>
        <v>#N/A</v>
      </c>
      <c r="AA150" s="17" t="e">
        <f t="shared" ca="1" si="102"/>
        <v>#N/A</v>
      </c>
      <c r="AB150" s="17" t="e">
        <f t="shared" ca="1" si="102"/>
        <v>#N/A</v>
      </c>
      <c r="AC150" s="17" t="e">
        <f t="shared" ca="1" si="102"/>
        <v>#N/A</v>
      </c>
      <c r="AD150" s="17" t="e">
        <f t="shared" ca="1" si="102"/>
        <v>#N/A</v>
      </c>
      <c r="AE150" s="17" t="e">
        <f t="shared" ca="1" si="102"/>
        <v>#N/A</v>
      </c>
      <c r="AF150" s="17" t="e">
        <f t="shared" ca="1" si="102"/>
        <v>#N/A</v>
      </c>
      <c r="AG150" s="17" t="e">
        <f t="shared" ca="1" si="102"/>
        <v>#N/A</v>
      </c>
      <c r="AH150" s="17" t="e">
        <f t="shared" ca="1" si="102"/>
        <v>#N/A</v>
      </c>
      <c r="AI150" s="17" t="e">
        <f t="shared" ca="1" si="102"/>
        <v>#N/A</v>
      </c>
      <c r="AJ150" s="17" t="e">
        <f t="shared" ca="1" si="102"/>
        <v>#N/A</v>
      </c>
      <c r="AK150" s="17" t="e">
        <f t="shared" ca="1" si="102"/>
        <v>#N/A</v>
      </c>
      <c r="AL150" s="17" t="e">
        <f t="shared" ca="1" si="102"/>
        <v>#N/A</v>
      </c>
      <c r="AM150" s="17" t="e">
        <f t="shared" ca="1" si="102"/>
        <v>#N/A</v>
      </c>
      <c r="AN150" s="17" t="e">
        <f t="shared" ca="1" si="102"/>
        <v>#N/A</v>
      </c>
      <c r="AO150" s="17" t="e">
        <f t="shared" ca="1" si="102"/>
        <v>#N/A</v>
      </c>
      <c r="AP150" s="17" t="e">
        <f t="shared" ca="1" si="102"/>
        <v>#N/A</v>
      </c>
      <c r="AQ150" s="17" t="e">
        <f t="shared" ca="1" si="102"/>
        <v>#N/A</v>
      </c>
      <c r="AR150" s="17" t="e">
        <f t="shared" ca="1" si="102"/>
        <v>#N/A</v>
      </c>
      <c r="AS150" s="17" t="e">
        <f t="shared" ca="1" si="102"/>
        <v>#N/A</v>
      </c>
      <c r="AT150" s="17" t="e">
        <f t="shared" ca="1" si="102"/>
        <v>#N/A</v>
      </c>
      <c r="AU150" s="17" t="e">
        <f t="shared" ca="1" si="102"/>
        <v>#N/A</v>
      </c>
      <c r="AV150" s="17" t="e">
        <f t="shared" ca="1" si="102"/>
        <v>#N/A</v>
      </c>
      <c r="AW150" s="17" t="e">
        <f t="shared" ca="1" si="102"/>
        <v>#N/A</v>
      </c>
      <c r="AX150" s="17" t="e">
        <f t="shared" ca="1" si="102"/>
        <v>#N/A</v>
      </c>
      <c r="AY150" s="17" t="e">
        <f t="shared" ca="1" si="102"/>
        <v>#N/A</v>
      </c>
      <c r="AZ150" s="17" t="e">
        <f t="shared" ca="1" si="102"/>
        <v>#N/A</v>
      </c>
      <c r="BA150" s="17" t="e">
        <f t="shared" ca="1" si="102"/>
        <v>#N/A</v>
      </c>
      <c r="BB150" s="17" t="e">
        <f t="shared" ca="1" si="102"/>
        <v>#N/A</v>
      </c>
      <c r="BC150" s="17" t="e">
        <f t="shared" ca="1" si="102"/>
        <v>#N/A</v>
      </c>
      <c r="BD150" s="17" t="e">
        <f t="shared" ca="1" si="102"/>
        <v>#N/A</v>
      </c>
      <c r="BE150" s="17" t="e">
        <f t="shared" ca="1" si="102"/>
        <v>#N/A</v>
      </c>
      <c r="BF150" s="17" t="e">
        <f t="shared" ca="1" si="102"/>
        <v>#N/A</v>
      </c>
      <c r="BG150" s="17" t="e">
        <f t="shared" ca="1" si="102"/>
        <v>#N/A</v>
      </c>
      <c r="BH150" s="17" t="e">
        <f t="shared" ca="1" si="102"/>
        <v>#N/A</v>
      </c>
      <c r="BI150" s="17" t="e">
        <f t="shared" ca="1" si="102"/>
        <v>#N/A</v>
      </c>
      <c r="BJ150" s="17" t="e">
        <f t="shared" ca="1" si="102"/>
        <v>#N/A</v>
      </c>
      <c r="BK150" s="17" t="e">
        <f t="shared" ca="1" si="102"/>
        <v>#N/A</v>
      </c>
      <c r="BL150" s="17" t="e">
        <f t="shared" ca="1" si="102"/>
        <v>#N/A</v>
      </c>
      <c r="BM150" s="17" t="e">
        <f t="shared" ca="1" si="102"/>
        <v>#N/A</v>
      </c>
      <c r="BN150" s="17" t="e">
        <f t="shared" ca="1" si="102"/>
        <v>#N/A</v>
      </c>
      <c r="BO150" s="17" t="e">
        <f t="shared" ca="1" si="102"/>
        <v>#N/A</v>
      </c>
      <c r="BP150" s="17" t="e">
        <f t="shared" ca="1" si="102"/>
        <v>#N/A</v>
      </c>
      <c r="BQ150" s="17" t="e">
        <f t="shared" ref="BQ150:BV150" ca="1" si="103">BQ87/$D150*100000</f>
        <v>#N/A</v>
      </c>
      <c r="BR150" s="17" t="e">
        <f t="shared" ca="1" si="103"/>
        <v>#N/A</v>
      </c>
      <c r="BS150" s="17" t="e">
        <f t="shared" ca="1" si="103"/>
        <v>#N/A</v>
      </c>
      <c r="BT150" s="17" t="e">
        <f t="shared" ca="1" si="103"/>
        <v>#N/A</v>
      </c>
      <c r="BU150" s="17" t="e">
        <f t="shared" ca="1" si="103"/>
        <v>#N/A</v>
      </c>
      <c r="BV150" s="17" t="e">
        <f t="shared" ca="1" si="103"/>
        <v>#N/A</v>
      </c>
    </row>
    <row r="151" spans="2:74" x14ac:dyDescent="0.25">
      <c r="B151">
        <f t="shared" si="93"/>
        <v>46</v>
      </c>
      <c r="C151">
        <f t="shared" ca="1" si="93"/>
        <v>0</v>
      </c>
      <c r="D151" s="1" t="e">
        <f t="shared" ca="1" si="93"/>
        <v>#N/A</v>
      </c>
      <c r="E151" s="17" t="e">
        <f t="shared" ref="E151:BP151" ca="1" si="104">E88/$D151*100000</f>
        <v>#N/A</v>
      </c>
      <c r="F151" s="17" t="e">
        <f t="shared" ca="1" si="104"/>
        <v>#N/A</v>
      </c>
      <c r="G151" s="17" t="e">
        <f t="shared" ca="1" si="104"/>
        <v>#N/A</v>
      </c>
      <c r="H151" s="17" t="e">
        <f t="shared" ca="1" si="104"/>
        <v>#N/A</v>
      </c>
      <c r="I151" s="17" t="e">
        <f t="shared" ca="1" si="104"/>
        <v>#N/A</v>
      </c>
      <c r="J151" s="17" t="e">
        <f t="shared" ca="1" si="104"/>
        <v>#N/A</v>
      </c>
      <c r="K151" s="17" t="e">
        <f t="shared" ca="1" si="104"/>
        <v>#N/A</v>
      </c>
      <c r="L151" s="17" t="e">
        <f t="shared" ca="1" si="104"/>
        <v>#N/A</v>
      </c>
      <c r="M151" s="17" t="e">
        <f t="shared" ca="1" si="104"/>
        <v>#N/A</v>
      </c>
      <c r="N151" s="17" t="e">
        <f t="shared" ca="1" si="104"/>
        <v>#N/A</v>
      </c>
      <c r="O151" s="17" t="e">
        <f t="shared" ca="1" si="104"/>
        <v>#N/A</v>
      </c>
      <c r="P151" s="17" t="e">
        <f t="shared" ca="1" si="104"/>
        <v>#N/A</v>
      </c>
      <c r="Q151" s="17" t="e">
        <f t="shared" ca="1" si="104"/>
        <v>#N/A</v>
      </c>
      <c r="R151" s="17" t="e">
        <f t="shared" ca="1" si="104"/>
        <v>#N/A</v>
      </c>
      <c r="S151" s="17" t="e">
        <f t="shared" ca="1" si="104"/>
        <v>#N/A</v>
      </c>
      <c r="T151" s="17" t="e">
        <f t="shared" ca="1" si="104"/>
        <v>#N/A</v>
      </c>
      <c r="U151" s="17" t="e">
        <f t="shared" ca="1" si="104"/>
        <v>#N/A</v>
      </c>
      <c r="V151" s="17" t="e">
        <f t="shared" ca="1" si="104"/>
        <v>#N/A</v>
      </c>
      <c r="W151" s="17" t="e">
        <f t="shared" ca="1" si="104"/>
        <v>#N/A</v>
      </c>
      <c r="X151" s="17" t="e">
        <f t="shared" ca="1" si="104"/>
        <v>#N/A</v>
      </c>
      <c r="Y151" s="17" t="e">
        <f t="shared" ca="1" si="104"/>
        <v>#N/A</v>
      </c>
      <c r="Z151" s="17" t="e">
        <f t="shared" ca="1" si="104"/>
        <v>#N/A</v>
      </c>
      <c r="AA151" s="17" t="e">
        <f t="shared" ca="1" si="104"/>
        <v>#N/A</v>
      </c>
      <c r="AB151" s="17" t="e">
        <f t="shared" ca="1" si="104"/>
        <v>#N/A</v>
      </c>
      <c r="AC151" s="17" t="e">
        <f t="shared" ca="1" si="104"/>
        <v>#N/A</v>
      </c>
      <c r="AD151" s="17" t="e">
        <f t="shared" ca="1" si="104"/>
        <v>#N/A</v>
      </c>
      <c r="AE151" s="17" t="e">
        <f t="shared" ca="1" si="104"/>
        <v>#N/A</v>
      </c>
      <c r="AF151" s="17" t="e">
        <f t="shared" ca="1" si="104"/>
        <v>#N/A</v>
      </c>
      <c r="AG151" s="17" t="e">
        <f t="shared" ca="1" si="104"/>
        <v>#N/A</v>
      </c>
      <c r="AH151" s="17" t="e">
        <f t="shared" ca="1" si="104"/>
        <v>#N/A</v>
      </c>
      <c r="AI151" s="17" t="e">
        <f t="shared" ca="1" si="104"/>
        <v>#N/A</v>
      </c>
      <c r="AJ151" s="17" t="e">
        <f t="shared" ca="1" si="104"/>
        <v>#N/A</v>
      </c>
      <c r="AK151" s="17" t="e">
        <f t="shared" ca="1" si="104"/>
        <v>#N/A</v>
      </c>
      <c r="AL151" s="17" t="e">
        <f t="shared" ca="1" si="104"/>
        <v>#N/A</v>
      </c>
      <c r="AM151" s="17" t="e">
        <f t="shared" ca="1" si="104"/>
        <v>#N/A</v>
      </c>
      <c r="AN151" s="17" t="e">
        <f t="shared" ca="1" si="104"/>
        <v>#N/A</v>
      </c>
      <c r="AO151" s="17" t="e">
        <f t="shared" ca="1" si="104"/>
        <v>#N/A</v>
      </c>
      <c r="AP151" s="17" t="e">
        <f t="shared" ca="1" si="104"/>
        <v>#N/A</v>
      </c>
      <c r="AQ151" s="17" t="e">
        <f t="shared" ca="1" si="104"/>
        <v>#N/A</v>
      </c>
      <c r="AR151" s="17" t="e">
        <f t="shared" ca="1" si="104"/>
        <v>#N/A</v>
      </c>
      <c r="AS151" s="17" t="e">
        <f t="shared" ca="1" si="104"/>
        <v>#N/A</v>
      </c>
      <c r="AT151" s="17" t="e">
        <f t="shared" ca="1" si="104"/>
        <v>#N/A</v>
      </c>
      <c r="AU151" s="17" t="e">
        <f t="shared" ca="1" si="104"/>
        <v>#N/A</v>
      </c>
      <c r="AV151" s="17" t="e">
        <f t="shared" ca="1" si="104"/>
        <v>#N/A</v>
      </c>
      <c r="AW151" s="17" t="e">
        <f t="shared" ca="1" si="104"/>
        <v>#N/A</v>
      </c>
      <c r="AX151" s="17" t="e">
        <f t="shared" ca="1" si="104"/>
        <v>#N/A</v>
      </c>
      <c r="AY151" s="17" t="e">
        <f t="shared" ca="1" si="104"/>
        <v>#N/A</v>
      </c>
      <c r="AZ151" s="17" t="e">
        <f t="shared" ca="1" si="104"/>
        <v>#N/A</v>
      </c>
      <c r="BA151" s="17" t="e">
        <f t="shared" ca="1" si="104"/>
        <v>#N/A</v>
      </c>
      <c r="BB151" s="17" t="e">
        <f t="shared" ca="1" si="104"/>
        <v>#N/A</v>
      </c>
      <c r="BC151" s="17" t="e">
        <f t="shared" ca="1" si="104"/>
        <v>#N/A</v>
      </c>
      <c r="BD151" s="17" t="e">
        <f t="shared" ca="1" si="104"/>
        <v>#N/A</v>
      </c>
      <c r="BE151" s="17" t="e">
        <f t="shared" ca="1" si="104"/>
        <v>#N/A</v>
      </c>
      <c r="BF151" s="17" t="e">
        <f t="shared" ca="1" si="104"/>
        <v>#N/A</v>
      </c>
      <c r="BG151" s="17" t="e">
        <f t="shared" ca="1" si="104"/>
        <v>#N/A</v>
      </c>
      <c r="BH151" s="17" t="e">
        <f t="shared" ca="1" si="104"/>
        <v>#N/A</v>
      </c>
      <c r="BI151" s="17" t="e">
        <f t="shared" ca="1" si="104"/>
        <v>#N/A</v>
      </c>
      <c r="BJ151" s="17" t="e">
        <f t="shared" ca="1" si="104"/>
        <v>#N/A</v>
      </c>
      <c r="BK151" s="17" t="e">
        <f t="shared" ca="1" si="104"/>
        <v>#N/A</v>
      </c>
      <c r="BL151" s="17" t="e">
        <f t="shared" ca="1" si="104"/>
        <v>#N/A</v>
      </c>
      <c r="BM151" s="17" t="e">
        <f t="shared" ca="1" si="104"/>
        <v>#N/A</v>
      </c>
      <c r="BN151" s="17" t="e">
        <f t="shared" ca="1" si="104"/>
        <v>#N/A</v>
      </c>
      <c r="BO151" s="17" t="e">
        <f t="shared" ca="1" si="104"/>
        <v>#N/A</v>
      </c>
      <c r="BP151" s="17" t="e">
        <f t="shared" ca="1" si="104"/>
        <v>#N/A</v>
      </c>
      <c r="BQ151" s="17" t="e">
        <f t="shared" ref="BQ151:BV151" ca="1" si="105">BQ88/$D151*100000</f>
        <v>#N/A</v>
      </c>
      <c r="BR151" s="17" t="e">
        <f t="shared" ca="1" si="105"/>
        <v>#N/A</v>
      </c>
      <c r="BS151" s="17" t="e">
        <f t="shared" ca="1" si="105"/>
        <v>#N/A</v>
      </c>
      <c r="BT151" s="17" t="e">
        <f t="shared" ca="1" si="105"/>
        <v>#N/A</v>
      </c>
      <c r="BU151" s="17" t="e">
        <f t="shared" ca="1" si="105"/>
        <v>#N/A</v>
      </c>
      <c r="BV151" s="17" t="e">
        <f t="shared" ca="1" si="105"/>
        <v>#N/A</v>
      </c>
    </row>
    <row r="152" spans="2:74" x14ac:dyDescent="0.25">
      <c r="B152">
        <f t="shared" si="93"/>
        <v>47</v>
      </c>
      <c r="C152">
        <f t="shared" ca="1" si="93"/>
        <v>0</v>
      </c>
      <c r="D152" s="1" t="e">
        <f t="shared" ca="1" si="93"/>
        <v>#N/A</v>
      </c>
      <c r="E152" s="17" t="e">
        <f t="shared" ref="E152:BP152" ca="1" si="106">E89/$D152*100000</f>
        <v>#N/A</v>
      </c>
      <c r="F152" s="17" t="e">
        <f t="shared" ca="1" si="106"/>
        <v>#N/A</v>
      </c>
      <c r="G152" s="17" t="e">
        <f t="shared" ca="1" si="106"/>
        <v>#N/A</v>
      </c>
      <c r="H152" s="17" t="e">
        <f t="shared" ca="1" si="106"/>
        <v>#N/A</v>
      </c>
      <c r="I152" s="17" t="e">
        <f t="shared" ca="1" si="106"/>
        <v>#N/A</v>
      </c>
      <c r="J152" s="17" t="e">
        <f t="shared" ca="1" si="106"/>
        <v>#N/A</v>
      </c>
      <c r="K152" s="17" t="e">
        <f t="shared" ca="1" si="106"/>
        <v>#N/A</v>
      </c>
      <c r="L152" s="17" t="e">
        <f t="shared" ca="1" si="106"/>
        <v>#N/A</v>
      </c>
      <c r="M152" s="17" t="e">
        <f t="shared" ca="1" si="106"/>
        <v>#N/A</v>
      </c>
      <c r="N152" s="17" t="e">
        <f t="shared" ca="1" si="106"/>
        <v>#N/A</v>
      </c>
      <c r="O152" s="17" t="e">
        <f t="shared" ca="1" si="106"/>
        <v>#N/A</v>
      </c>
      <c r="P152" s="17" t="e">
        <f t="shared" ca="1" si="106"/>
        <v>#N/A</v>
      </c>
      <c r="Q152" s="17" t="e">
        <f t="shared" ca="1" si="106"/>
        <v>#N/A</v>
      </c>
      <c r="R152" s="17" t="e">
        <f t="shared" ca="1" si="106"/>
        <v>#N/A</v>
      </c>
      <c r="S152" s="17" t="e">
        <f t="shared" ca="1" si="106"/>
        <v>#N/A</v>
      </c>
      <c r="T152" s="17" t="e">
        <f t="shared" ca="1" si="106"/>
        <v>#N/A</v>
      </c>
      <c r="U152" s="17" t="e">
        <f t="shared" ca="1" si="106"/>
        <v>#N/A</v>
      </c>
      <c r="V152" s="17" t="e">
        <f t="shared" ca="1" si="106"/>
        <v>#N/A</v>
      </c>
      <c r="W152" s="17" t="e">
        <f t="shared" ca="1" si="106"/>
        <v>#N/A</v>
      </c>
      <c r="X152" s="17" t="e">
        <f t="shared" ca="1" si="106"/>
        <v>#N/A</v>
      </c>
      <c r="Y152" s="17" t="e">
        <f t="shared" ca="1" si="106"/>
        <v>#N/A</v>
      </c>
      <c r="Z152" s="17" t="e">
        <f t="shared" ca="1" si="106"/>
        <v>#N/A</v>
      </c>
      <c r="AA152" s="17" t="e">
        <f t="shared" ca="1" si="106"/>
        <v>#N/A</v>
      </c>
      <c r="AB152" s="17" t="e">
        <f t="shared" ca="1" si="106"/>
        <v>#N/A</v>
      </c>
      <c r="AC152" s="17" t="e">
        <f t="shared" ca="1" si="106"/>
        <v>#N/A</v>
      </c>
      <c r="AD152" s="17" t="e">
        <f t="shared" ca="1" si="106"/>
        <v>#N/A</v>
      </c>
      <c r="AE152" s="17" t="e">
        <f t="shared" ca="1" si="106"/>
        <v>#N/A</v>
      </c>
      <c r="AF152" s="17" t="e">
        <f t="shared" ca="1" si="106"/>
        <v>#N/A</v>
      </c>
      <c r="AG152" s="17" t="e">
        <f t="shared" ca="1" si="106"/>
        <v>#N/A</v>
      </c>
      <c r="AH152" s="17" t="e">
        <f t="shared" ca="1" si="106"/>
        <v>#N/A</v>
      </c>
      <c r="AI152" s="17" t="e">
        <f t="shared" ca="1" si="106"/>
        <v>#N/A</v>
      </c>
      <c r="AJ152" s="17" t="e">
        <f t="shared" ca="1" si="106"/>
        <v>#N/A</v>
      </c>
      <c r="AK152" s="17" t="e">
        <f t="shared" ca="1" si="106"/>
        <v>#N/A</v>
      </c>
      <c r="AL152" s="17" t="e">
        <f t="shared" ca="1" si="106"/>
        <v>#N/A</v>
      </c>
      <c r="AM152" s="17" t="e">
        <f t="shared" ca="1" si="106"/>
        <v>#N/A</v>
      </c>
      <c r="AN152" s="17" t="e">
        <f t="shared" ca="1" si="106"/>
        <v>#N/A</v>
      </c>
      <c r="AO152" s="17" t="e">
        <f t="shared" ca="1" si="106"/>
        <v>#N/A</v>
      </c>
      <c r="AP152" s="17" t="e">
        <f t="shared" ca="1" si="106"/>
        <v>#N/A</v>
      </c>
      <c r="AQ152" s="17" t="e">
        <f t="shared" ca="1" si="106"/>
        <v>#N/A</v>
      </c>
      <c r="AR152" s="17" t="e">
        <f t="shared" ca="1" si="106"/>
        <v>#N/A</v>
      </c>
      <c r="AS152" s="17" t="e">
        <f t="shared" ca="1" si="106"/>
        <v>#N/A</v>
      </c>
      <c r="AT152" s="17" t="e">
        <f t="shared" ca="1" si="106"/>
        <v>#N/A</v>
      </c>
      <c r="AU152" s="17" t="e">
        <f t="shared" ca="1" si="106"/>
        <v>#N/A</v>
      </c>
      <c r="AV152" s="17" t="e">
        <f t="shared" ca="1" si="106"/>
        <v>#N/A</v>
      </c>
      <c r="AW152" s="17" t="e">
        <f t="shared" ca="1" si="106"/>
        <v>#N/A</v>
      </c>
      <c r="AX152" s="17" t="e">
        <f t="shared" ca="1" si="106"/>
        <v>#N/A</v>
      </c>
      <c r="AY152" s="17" t="e">
        <f t="shared" ca="1" si="106"/>
        <v>#N/A</v>
      </c>
      <c r="AZ152" s="17" t="e">
        <f t="shared" ca="1" si="106"/>
        <v>#N/A</v>
      </c>
      <c r="BA152" s="17" t="e">
        <f t="shared" ca="1" si="106"/>
        <v>#N/A</v>
      </c>
      <c r="BB152" s="17" t="e">
        <f t="shared" ca="1" si="106"/>
        <v>#N/A</v>
      </c>
      <c r="BC152" s="17" t="e">
        <f t="shared" ca="1" si="106"/>
        <v>#N/A</v>
      </c>
      <c r="BD152" s="17" t="e">
        <f t="shared" ca="1" si="106"/>
        <v>#N/A</v>
      </c>
      <c r="BE152" s="17" t="e">
        <f t="shared" ca="1" si="106"/>
        <v>#N/A</v>
      </c>
      <c r="BF152" s="17" t="e">
        <f t="shared" ca="1" si="106"/>
        <v>#N/A</v>
      </c>
      <c r="BG152" s="17" t="e">
        <f t="shared" ca="1" si="106"/>
        <v>#N/A</v>
      </c>
      <c r="BH152" s="17" t="e">
        <f t="shared" ca="1" si="106"/>
        <v>#N/A</v>
      </c>
      <c r="BI152" s="17" t="e">
        <f t="shared" ca="1" si="106"/>
        <v>#N/A</v>
      </c>
      <c r="BJ152" s="17" t="e">
        <f t="shared" ca="1" si="106"/>
        <v>#N/A</v>
      </c>
      <c r="BK152" s="17" t="e">
        <f t="shared" ca="1" si="106"/>
        <v>#N/A</v>
      </c>
      <c r="BL152" s="17" t="e">
        <f t="shared" ca="1" si="106"/>
        <v>#N/A</v>
      </c>
      <c r="BM152" s="17" t="e">
        <f t="shared" ca="1" si="106"/>
        <v>#N/A</v>
      </c>
      <c r="BN152" s="17" t="e">
        <f t="shared" ca="1" si="106"/>
        <v>#N/A</v>
      </c>
      <c r="BO152" s="17" t="e">
        <f t="shared" ca="1" si="106"/>
        <v>#N/A</v>
      </c>
      <c r="BP152" s="17" t="e">
        <f t="shared" ca="1" si="106"/>
        <v>#N/A</v>
      </c>
      <c r="BQ152" s="17" t="e">
        <f t="shared" ref="BQ152:BV152" ca="1" si="107">BQ89/$D152*100000</f>
        <v>#N/A</v>
      </c>
      <c r="BR152" s="17" t="e">
        <f t="shared" ca="1" si="107"/>
        <v>#N/A</v>
      </c>
      <c r="BS152" s="17" t="e">
        <f t="shared" ca="1" si="107"/>
        <v>#N/A</v>
      </c>
      <c r="BT152" s="17" t="e">
        <f t="shared" ca="1" si="107"/>
        <v>#N/A</v>
      </c>
      <c r="BU152" s="17" t="e">
        <f t="shared" ca="1" si="107"/>
        <v>#N/A</v>
      </c>
      <c r="BV152" s="17" t="e">
        <f t="shared" ca="1" si="107"/>
        <v>#N/A</v>
      </c>
    </row>
    <row r="153" spans="2:74" x14ac:dyDescent="0.25">
      <c r="B153">
        <f t="shared" si="93"/>
        <v>48</v>
      </c>
      <c r="C153">
        <f t="shared" ca="1" si="93"/>
        <v>0</v>
      </c>
      <c r="D153" s="1" t="e">
        <f t="shared" ca="1" si="93"/>
        <v>#N/A</v>
      </c>
      <c r="E153" s="17" t="e">
        <f t="shared" ref="E153:BP153" ca="1" si="108">E90/$D153*100000</f>
        <v>#N/A</v>
      </c>
      <c r="F153" s="17" t="e">
        <f t="shared" ca="1" si="108"/>
        <v>#N/A</v>
      </c>
      <c r="G153" s="17" t="e">
        <f t="shared" ca="1" si="108"/>
        <v>#N/A</v>
      </c>
      <c r="H153" s="17" t="e">
        <f t="shared" ca="1" si="108"/>
        <v>#N/A</v>
      </c>
      <c r="I153" s="17" t="e">
        <f t="shared" ca="1" si="108"/>
        <v>#N/A</v>
      </c>
      <c r="J153" s="17" t="e">
        <f t="shared" ca="1" si="108"/>
        <v>#N/A</v>
      </c>
      <c r="K153" s="17" t="e">
        <f t="shared" ca="1" si="108"/>
        <v>#N/A</v>
      </c>
      <c r="L153" s="17" t="e">
        <f t="shared" ca="1" si="108"/>
        <v>#N/A</v>
      </c>
      <c r="M153" s="17" t="e">
        <f t="shared" ca="1" si="108"/>
        <v>#N/A</v>
      </c>
      <c r="N153" s="17" t="e">
        <f t="shared" ca="1" si="108"/>
        <v>#N/A</v>
      </c>
      <c r="O153" s="17" t="e">
        <f t="shared" ca="1" si="108"/>
        <v>#N/A</v>
      </c>
      <c r="P153" s="17" t="e">
        <f t="shared" ca="1" si="108"/>
        <v>#N/A</v>
      </c>
      <c r="Q153" s="17" t="e">
        <f t="shared" ca="1" si="108"/>
        <v>#N/A</v>
      </c>
      <c r="R153" s="17" t="e">
        <f t="shared" ca="1" si="108"/>
        <v>#N/A</v>
      </c>
      <c r="S153" s="17" t="e">
        <f t="shared" ca="1" si="108"/>
        <v>#N/A</v>
      </c>
      <c r="T153" s="17" t="e">
        <f t="shared" ca="1" si="108"/>
        <v>#N/A</v>
      </c>
      <c r="U153" s="17" t="e">
        <f t="shared" ca="1" si="108"/>
        <v>#N/A</v>
      </c>
      <c r="V153" s="17" t="e">
        <f t="shared" ca="1" si="108"/>
        <v>#N/A</v>
      </c>
      <c r="W153" s="17" t="e">
        <f t="shared" ca="1" si="108"/>
        <v>#N/A</v>
      </c>
      <c r="X153" s="17" t="e">
        <f t="shared" ca="1" si="108"/>
        <v>#N/A</v>
      </c>
      <c r="Y153" s="17" t="e">
        <f t="shared" ca="1" si="108"/>
        <v>#N/A</v>
      </c>
      <c r="Z153" s="17" t="e">
        <f t="shared" ca="1" si="108"/>
        <v>#N/A</v>
      </c>
      <c r="AA153" s="17" t="e">
        <f t="shared" ca="1" si="108"/>
        <v>#N/A</v>
      </c>
      <c r="AB153" s="17" t="e">
        <f t="shared" ca="1" si="108"/>
        <v>#N/A</v>
      </c>
      <c r="AC153" s="17" t="e">
        <f t="shared" ca="1" si="108"/>
        <v>#N/A</v>
      </c>
      <c r="AD153" s="17" t="e">
        <f t="shared" ca="1" si="108"/>
        <v>#N/A</v>
      </c>
      <c r="AE153" s="17" t="e">
        <f t="shared" ca="1" si="108"/>
        <v>#N/A</v>
      </c>
      <c r="AF153" s="17" t="e">
        <f t="shared" ca="1" si="108"/>
        <v>#N/A</v>
      </c>
      <c r="AG153" s="17" t="e">
        <f t="shared" ca="1" si="108"/>
        <v>#N/A</v>
      </c>
      <c r="AH153" s="17" t="e">
        <f t="shared" ca="1" si="108"/>
        <v>#N/A</v>
      </c>
      <c r="AI153" s="17" t="e">
        <f t="shared" ca="1" si="108"/>
        <v>#N/A</v>
      </c>
      <c r="AJ153" s="17" t="e">
        <f t="shared" ca="1" si="108"/>
        <v>#N/A</v>
      </c>
      <c r="AK153" s="17" t="e">
        <f t="shared" ca="1" si="108"/>
        <v>#N/A</v>
      </c>
      <c r="AL153" s="17" t="e">
        <f t="shared" ca="1" si="108"/>
        <v>#N/A</v>
      </c>
      <c r="AM153" s="17" t="e">
        <f t="shared" ca="1" si="108"/>
        <v>#N/A</v>
      </c>
      <c r="AN153" s="17" t="e">
        <f t="shared" ca="1" si="108"/>
        <v>#N/A</v>
      </c>
      <c r="AO153" s="17" t="e">
        <f t="shared" ca="1" si="108"/>
        <v>#N/A</v>
      </c>
      <c r="AP153" s="17" t="e">
        <f t="shared" ca="1" si="108"/>
        <v>#N/A</v>
      </c>
      <c r="AQ153" s="17" t="e">
        <f t="shared" ca="1" si="108"/>
        <v>#N/A</v>
      </c>
      <c r="AR153" s="17" t="e">
        <f t="shared" ca="1" si="108"/>
        <v>#N/A</v>
      </c>
      <c r="AS153" s="17" t="e">
        <f t="shared" ca="1" si="108"/>
        <v>#N/A</v>
      </c>
      <c r="AT153" s="17" t="e">
        <f t="shared" ca="1" si="108"/>
        <v>#N/A</v>
      </c>
      <c r="AU153" s="17" t="e">
        <f t="shared" ca="1" si="108"/>
        <v>#N/A</v>
      </c>
      <c r="AV153" s="17" t="e">
        <f t="shared" ca="1" si="108"/>
        <v>#N/A</v>
      </c>
      <c r="AW153" s="17" t="e">
        <f t="shared" ca="1" si="108"/>
        <v>#N/A</v>
      </c>
      <c r="AX153" s="17" t="e">
        <f t="shared" ca="1" si="108"/>
        <v>#N/A</v>
      </c>
      <c r="AY153" s="17" t="e">
        <f t="shared" ca="1" si="108"/>
        <v>#N/A</v>
      </c>
      <c r="AZ153" s="17" t="e">
        <f t="shared" ca="1" si="108"/>
        <v>#N/A</v>
      </c>
      <c r="BA153" s="17" t="e">
        <f t="shared" ca="1" si="108"/>
        <v>#N/A</v>
      </c>
      <c r="BB153" s="17" t="e">
        <f t="shared" ca="1" si="108"/>
        <v>#N/A</v>
      </c>
      <c r="BC153" s="17" t="e">
        <f t="shared" ca="1" si="108"/>
        <v>#N/A</v>
      </c>
      <c r="BD153" s="17" t="e">
        <f t="shared" ca="1" si="108"/>
        <v>#N/A</v>
      </c>
      <c r="BE153" s="17" t="e">
        <f t="shared" ca="1" si="108"/>
        <v>#N/A</v>
      </c>
      <c r="BF153" s="17" t="e">
        <f t="shared" ca="1" si="108"/>
        <v>#N/A</v>
      </c>
      <c r="BG153" s="17" t="e">
        <f t="shared" ca="1" si="108"/>
        <v>#N/A</v>
      </c>
      <c r="BH153" s="17" t="e">
        <f t="shared" ca="1" si="108"/>
        <v>#N/A</v>
      </c>
      <c r="BI153" s="17" t="e">
        <f t="shared" ca="1" si="108"/>
        <v>#N/A</v>
      </c>
      <c r="BJ153" s="17" t="e">
        <f t="shared" ca="1" si="108"/>
        <v>#N/A</v>
      </c>
      <c r="BK153" s="17" t="e">
        <f t="shared" ca="1" si="108"/>
        <v>#N/A</v>
      </c>
      <c r="BL153" s="17" t="e">
        <f t="shared" ca="1" si="108"/>
        <v>#N/A</v>
      </c>
      <c r="BM153" s="17" t="e">
        <f t="shared" ca="1" si="108"/>
        <v>#N/A</v>
      </c>
      <c r="BN153" s="17" t="e">
        <f t="shared" ca="1" si="108"/>
        <v>#N/A</v>
      </c>
      <c r="BO153" s="17" t="e">
        <f t="shared" ca="1" si="108"/>
        <v>#N/A</v>
      </c>
      <c r="BP153" s="17" t="e">
        <f t="shared" ca="1" si="108"/>
        <v>#N/A</v>
      </c>
      <c r="BQ153" s="17" t="e">
        <f t="shared" ref="BQ153:BV153" ca="1" si="109">BQ90/$D153*100000</f>
        <v>#N/A</v>
      </c>
      <c r="BR153" s="17" t="e">
        <f t="shared" ca="1" si="109"/>
        <v>#N/A</v>
      </c>
      <c r="BS153" s="17" t="e">
        <f t="shared" ca="1" si="109"/>
        <v>#N/A</v>
      </c>
      <c r="BT153" s="17" t="e">
        <f t="shared" ca="1" si="109"/>
        <v>#N/A</v>
      </c>
      <c r="BU153" s="17" t="e">
        <f t="shared" ca="1" si="109"/>
        <v>#N/A</v>
      </c>
      <c r="BV153" s="17" t="e">
        <f t="shared" ca="1" si="109"/>
        <v>#N/A</v>
      </c>
    </row>
    <row r="154" spans="2:74" x14ac:dyDescent="0.25">
      <c r="B154">
        <f t="shared" si="93"/>
        <v>49</v>
      </c>
      <c r="C154">
        <f t="shared" ca="1" si="93"/>
        <v>0</v>
      </c>
      <c r="D154" s="1" t="e">
        <f t="shared" ca="1" si="93"/>
        <v>#N/A</v>
      </c>
      <c r="E154" s="17" t="e">
        <f t="shared" ref="E154:BP154" ca="1" si="110">E91/$D154*100000</f>
        <v>#N/A</v>
      </c>
      <c r="F154" s="17" t="e">
        <f t="shared" ca="1" si="110"/>
        <v>#N/A</v>
      </c>
      <c r="G154" s="17" t="e">
        <f t="shared" ca="1" si="110"/>
        <v>#N/A</v>
      </c>
      <c r="H154" s="17" t="e">
        <f t="shared" ca="1" si="110"/>
        <v>#N/A</v>
      </c>
      <c r="I154" s="17" t="e">
        <f t="shared" ca="1" si="110"/>
        <v>#N/A</v>
      </c>
      <c r="J154" s="17" t="e">
        <f t="shared" ca="1" si="110"/>
        <v>#N/A</v>
      </c>
      <c r="K154" s="17" t="e">
        <f t="shared" ca="1" si="110"/>
        <v>#N/A</v>
      </c>
      <c r="L154" s="17" t="e">
        <f t="shared" ca="1" si="110"/>
        <v>#N/A</v>
      </c>
      <c r="M154" s="17" t="e">
        <f t="shared" ca="1" si="110"/>
        <v>#N/A</v>
      </c>
      <c r="N154" s="17" t="e">
        <f t="shared" ca="1" si="110"/>
        <v>#N/A</v>
      </c>
      <c r="O154" s="17" t="e">
        <f t="shared" ca="1" si="110"/>
        <v>#N/A</v>
      </c>
      <c r="P154" s="17" t="e">
        <f t="shared" ca="1" si="110"/>
        <v>#N/A</v>
      </c>
      <c r="Q154" s="17" t="e">
        <f t="shared" ca="1" si="110"/>
        <v>#N/A</v>
      </c>
      <c r="R154" s="17" t="e">
        <f t="shared" ca="1" si="110"/>
        <v>#N/A</v>
      </c>
      <c r="S154" s="17" t="e">
        <f t="shared" ca="1" si="110"/>
        <v>#N/A</v>
      </c>
      <c r="T154" s="17" t="e">
        <f t="shared" ca="1" si="110"/>
        <v>#N/A</v>
      </c>
      <c r="U154" s="17" t="e">
        <f t="shared" ca="1" si="110"/>
        <v>#N/A</v>
      </c>
      <c r="V154" s="17" t="e">
        <f t="shared" ca="1" si="110"/>
        <v>#N/A</v>
      </c>
      <c r="W154" s="17" t="e">
        <f t="shared" ca="1" si="110"/>
        <v>#N/A</v>
      </c>
      <c r="X154" s="17" t="e">
        <f t="shared" ca="1" si="110"/>
        <v>#N/A</v>
      </c>
      <c r="Y154" s="17" t="e">
        <f t="shared" ca="1" si="110"/>
        <v>#N/A</v>
      </c>
      <c r="Z154" s="17" t="e">
        <f t="shared" ca="1" si="110"/>
        <v>#N/A</v>
      </c>
      <c r="AA154" s="17" t="e">
        <f t="shared" ca="1" si="110"/>
        <v>#N/A</v>
      </c>
      <c r="AB154" s="17" t="e">
        <f t="shared" ca="1" si="110"/>
        <v>#N/A</v>
      </c>
      <c r="AC154" s="17" t="e">
        <f t="shared" ca="1" si="110"/>
        <v>#N/A</v>
      </c>
      <c r="AD154" s="17" t="e">
        <f t="shared" ca="1" si="110"/>
        <v>#N/A</v>
      </c>
      <c r="AE154" s="17" t="e">
        <f t="shared" ca="1" si="110"/>
        <v>#N/A</v>
      </c>
      <c r="AF154" s="17" t="e">
        <f t="shared" ca="1" si="110"/>
        <v>#N/A</v>
      </c>
      <c r="AG154" s="17" t="e">
        <f t="shared" ca="1" si="110"/>
        <v>#N/A</v>
      </c>
      <c r="AH154" s="17" t="e">
        <f t="shared" ca="1" si="110"/>
        <v>#N/A</v>
      </c>
      <c r="AI154" s="17" t="e">
        <f t="shared" ca="1" si="110"/>
        <v>#N/A</v>
      </c>
      <c r="AJ154" s="17" t="e">
        <f t="shared" ca="1" si="110"/>
        <v>#N/A</v>
      </c>
      <c r="AK154" s="17" t="e">
        <f t="shared" ca="1" si="110"/>
        <v>#N/A</v>
      </c>
      <c r="AL154" s="17" t="e">
        <f t="shared" ca="1" si="110"/>
        <v>#N/A</v>
      </c>
      <c r="AM154" s="17" t="e">
        <f t="shared" ca="1" si="110"/>
        <v>#N/A</v>
      </c>
      <c r="AN154" s="17" t="e">
        <f t="shared" ca="1" si="110"/>
        <v>#N/A</v>
      </c>
      <c r="AO154" s="17" t="e">
        <f t="shared" ca="1" si="110"/>
        <v>#N/A</v>
      </c>
      <c r="AP154" s="17" t="e">
        <f t="shared" ca="1" si="110"/>
        <v>#N/A</v>
      </c>
      <c r="AQ154" s="17" t="e">
        <f t="shared" ca="1" si="110"/>
        <v>#N/A</v>
      </c>
      <c r="AR154" s="17" t="e">
        <f t="shared" ca="1" si="110"/>
        <v>#N/A</v>
      </c>
      <c r="AS154" s="17" t="e">
        <f t="shared" ca="1" si="110"/>
        <v>#N/A</v>
      </c>
      <c r="AT154" s="17" t="e">
        <f t="shared" ca="1" si="110"/>
        <v>#N/A</v>
      </c>
      <c r="AU154" s="17" t="e">
        <f t="shared" ca="1" si="110"/>
        <v>#N/A</v>
      </c>
      <c r="AV154" s="17" t="e">
        <f t="shared" ca="1" si="110"/>
        <v>#N/A</v>
      </c>
      <c r="AW154" s="17" t="e">
        <f t="shared" ca="1" si="110"/>
        <v>#N/A</v>
      </c>
      <c r="AX154" s="17" t="e">
        <f t="shared" ca="1" si="110"/>
        <v>#N/A</v>
      </c>
      <c r="AY154" s="17" t="e">
        <f t="shared" ca="1" si="110"/>
        <v>#N/A</v>
      </c>
      <c r="AZ154" s="17" t="e">
        <f t="shared" ca="1" si="110"/>
        <v>#N/A</v>
      </c>
      <c r="BA154" s="17" t="e">
        <f t="shared" ca="1" si="110"/>
        <v>#N/A</v>
      </c>
      <c r="BB154" s="17" t="e">
        <f t="shared" ca="1" si="110"/>
        <v>#N/A</v>
      </c>
      <c r="BC154" s="17" t="e">
        <f t="shared" ca="1" si="110"/>
        <v>#N/A</v>
      </c>
      <c r="BD154" s="17" t="e">
        <f t="shared" ca="1" si="110"/>
        <v>#N/A</v>
      </c>
      <c r="BE154" s="17" t="e">
        <f t="shared" ca="1" si="110"/>
        <v>#N/A</v>
      </c>
      <c r="BF154" s="17" t="e">
        <f t="shared" ca="1" si="110"/>
        <v>#N/A</v>
      </c>
      <c r="BG154" s="17" t="e">
        <f t="shared" ca="1" si="110"/>
        <v>#N/A</v>
      </c>
      <c r="BH154" s="17" t="e">
        <f t="shared" ca="1" si="110"/>
        <v>#N/A</v>
      </c>
      <c r="BI154" s="17" t="e">
        <f t="shared" ca="1" si="110"/>
        <v>#N/A</v>
      </c>
      <c r="BJ154" s="17" t="e">
        <f t="shared" ca="1" si="110"/>
        <v>#N/A</v>
      </c>
      <c r="BK154" s="17" t="e">
        <f t="shared" ca="1" si="110"/>
        <v>#N/A</v>
      </c>
      <c r="BL154" s="17" t="e">
        <f t="shared" ca="1" si="110"/>
        <v>#N/A</v>
      </c>
      <c r="BM154" s="17" t="e">
        <f t="shared" ca="1" si="110"/>
        <v>#N/A</v>
      </c>
      <c r="BN154" s="17" t="e">
        <f t="shared" ca="1" si="110"/>
        <v>#N/A</v>
      </c>
      <c r="BO154" s="17" t="e">
        <f t="shared" ca="1" si="110"/>
        <v>#N/A</v>
      </c>
      <c r="BP154" s="17" t="e">
        <f t="shared" ca="1" si="110"/>
        <v>#N/A</v>
      </c>
      <c r="BQ154" s="17" t="e">
        <f t="shared" ref="BQ154:BV154" ca="1" si="111">BQ91/$D154*100000</f>
        <v>#N/A</v>
      </c>
      <c r="BR154" s="17" t="e">
        <f t="shared" ca="1" si="111"/>
        <v>#N/A</v>
      </c>
      <c r="BS154" s="17" t="e">
        <f t="shared" ca="1" si="111"/>
        <v>#N/A</v>
      </c>
      <c r="BT154" s="17" t="e">
        <f t="shared" ca="1" si="111"/>
        <v>#N/A</v>
      </c>
      <c r="BU154" s="17" t="e">
        <f t="shared" ca="1" si="111"/>
        <v>#N/A</v>
      </c>
      <c r="BV154" s="17" t="e">
        <f t="shared" ca="1" si="111"/>
        <v>#N/A</v>
      </c>
    </row>
    <row r="155" spans="2:74" x14ac:dyDescent="0.25">
      <c r="B155">
        <f t="shared" si="93"/>
        <v>50</v>
      </c>
      <c r="C155">
        <f t="shared" ca="1" si="93"/>
        <v>0</v>
      </c>
      <c r="D155" s="1" t="e">
        <f t="shared" ca="1" si="93"/>
        <v>#N/A</v>
      </c>
      <c r="E155" s="17" t="e">
        <f t="shared" ref="E155:BP155" ca="1" si="112">E92/$D155*100000</f>
        <v>#N/A</v>
      </c>
      <c r="F155" s="17" t="e">
        <f t="shared" ca="1" si="112"/>
        <v>#N/A</v>
      </c>
      <c r="G155" s="17" t="e">
        <f t="shared" ca="1" si="112"/>
        <v>#N/A</v>
      </c>
      <c r="H155" s="17" t="e">
        <f t="shared" ca="1" si="112"/>
        <v>#N/A</v>
      </c>
      <c r="I155" s="17" t="e">
        <f t="shared" ca="1" si="112"/>
        <v>#N/A</v>
      </c>
      <c r="J155" s="17" t="e">
        <f t="shared" ca="1" si="112"/>
        <v>#N/A</v>
      </c>
      <c r="K155" s="17" t="e">
        <f t="shared" ca="1" si="112"/>
        <v>#N/A</v>
      </c>
      <c r="L155" s="17" t="e">
        <f t="shared" ca="1" si="112"/>
        <v>#N/A</v>
      </c>
      <c r="M155" s="17" t="e">
        <f t="shared" ca="1" si="112"/>
        <v>#N/A</v>
      </c>
      <c r="N155" s="17" t="e">
        <f t="shared" ca="1" si="112"/>
        <v>#N/A</v>
      </c>
      <c r="O155" s="17" t="e">
        <f t="shared" ca="1" si="112"/>
        <v>#N/A</v>
      </c>
      <c r="P155" s="17" t="e">
        <f t="shared" ca="1" si="112"/>
        <v>#N/A</v>
      </c>
      <c r="Q155" s="17" t="e">
        <f t="shared" ca="1" si="112"/>
        <v>#N/A</v>
      </c>
      <c r="R155" s="17" t="e">
        <f t="shared" ca="1" si="112"/>
        <v>#N/A</v>
      </c>
      <c r="S155" s="17" t="e">
        <f t="shared" ca="1" si="112"/>
        <v>#N/A</v>
      </c>
      <c r="T155" s="17" t="e">
        <f t="shared" ca="1" si="112"/>
        <v>#N/A</v>
      </c>
      <c r="U155" s="17" t="e">
        <f t="shared" ca="1" si="112"/>
        <v>#N/A</v>
      </c>
      <c r="V155" s="17" t="e">
        <f t="shared" ca="1" si="112"/>
        <v>#N/A</v>
      </c>
      <c r="W155" s="17" t="e">
        <f t="shared" ca="1" si="112"/>
        <v>#N/A</v>
      </c>
      <c r="X155" s="17" t="e">
        <f t="shared" ca="1" si="112"/>
        <v>#N/A</v>
      </c>
      <c r="Y155" s="17" t="e">
        <f t="shared" ca="1" si="112"/>
        <v>#N/A</v>
      </c>
      <c r="Z155" s="17" t="e">
        <f t="shared" ca="1" si="112"/>
        <v>#N/A</v>
      </c>
      <c r="AA155" s="17" t="e">
        <f t="shared" ca="1" si="112"/>
        <v>#N/A</v>
      </c>
      <c r="AB155" s="17" t="e">
        <f t="shared" ca="1" si="112"/>
        <v>#N/A</v>
      </c>
      <c r="AC155" s="17" t="e">
        <f t="shared" ca="1" si="112"/>
        <v>#N/A</v>
      </c>
      <c r="AD155" s="17" t="e">
        <f t="shared" ca="1" si="112"/>
        <v>#N/A</v>
      </c>
      <c r="AE155" s="17" t="e">
        <f t="shared" ca="1" si="112"/>
        <v>#N/A</v>
      </c>
      <c r="AF155" s="17" t="e">
        <f t="shared" ca="1" si="112"/>
        <v>#N/A</v>
      </c>
      <c r="AG155" s="17" t="e">
        <f t="shared" ca="1" si="112"/>
        <v>#N/A</v>
      </c>
      <c r="AH155" s="17" t="e">
        <f t="shared" ca="1" si="112"/>
        <v>#N/A</v>
      </c>
      <c r="AI155" s="17" t="e">
        <f t="shared" ca="1" si="112"/>
        <v>#N/A</v>
      </c>
      <c r="AJ155" s="17" t="e">
        <f t="shared" ca="1" si="112"/>
        <v>#N/A</v>
      </c>
      <c r="AK155" s="17" t="e">
        <f t="shared" ca="1" si="112"/>
        <v>#N/A</v>
      </c>
      <c r="AL155" s="17" t="e">
        <f t="shared" ca="1" si="112"/>
        <v>#N/A</v>
      </c>
      <c r="AM155" s="17" t="e">
        <f t="shared" ca="1" si="112"/>
        <v>#N/A</v>
      </c>
      <c r="AN155" s="17" t="e">
        <f t="shared" ca="1" si="112"/>
        <v>#N/A</v>
      </c>
      <c r="AO155" s="17" t="e">
        <f t="shared" ca="1" si="112"/>
        <v>#N/A</v>
      </c>
      <c r="AP155" s="17" t="e">
        <f t="shared" ca="1" si="112"/>
        <v>#N/A</v>
      </c>
      <c r="AQ155" s="17" t="e">
        <f t="shared" ca="1" si="112"/>
        <v>#N/A</v>
      </c>
      <c r="AR155" s="17" t="e">
        <f t="shared" ca="1" si="112"/>
        <v>#N/A</v>
      </c>
      <c r="AS155" s="17" t="e">
        <f t="shared" ca="1" si="112"/>
        <v>#N/A</v>
      </c>
      <c r="AT155" s="17" t="e">
        <f t="shared" ca="1" si="112"/>
        <v>#N/A</v>
      </c>
      <c r="AU155" s="17" t="e">
        <f t="shared" ca="1" si="112"/>
        <v>#N/A</v>
      </c>
      <c r="AV155" s="17" t="e">
        <f t="shared" ca="1" si="112"/>
        <v>#N/A</v>
      </c>
      <c r="AW155" s="17" t="e">
        <f t="shared" ca="1" si="112"/>
        <v>#N/A</v>
      </c>
      <c r="AX155" s="17" t="e">
        <f t="shared" ca="1" si="112"/>
        <v>#N/A</v>
      </c>
      <c r="AY155" s="17" t="e">
        <f t="shared" ca="1" si="112"/>
        <v>#N/A</v>
      </c>
      <c r="AZ155" s="17" t="e">
        <f t="shared" ca="1" si="112"/>
        <v>#N/A</v>
      </c>
      <c r="BA155" s="17" t="e">
        <f t="shared" ca="1" si="112"/>
        <v>#N/A</v>
      </c>
      <c r="BB155" s="17" t="e">
        <f t="shared" ca="1" si="112"/>
        <v>#N/A</v>
      </c>
      <c r="BC155" s="17" t="e">
        <f t="shared" ca="1" si="112"/>
        <v>#N/A</v>
      </c>
      <c r="BD155" s="17" t="e">
        <f t="shared" ca="1" si="112"/>
        <v>#N/A</v>
      </c>
      <c r="BE155" s="17" t="e">
        <f t="shared" ca="1" si="112"/>
        <v>#N/A</v>
      </c>
      <c r="BF155" s="17" t="e">
        <f t="shared" ca="1" si="112"/>
        <v>#N/A</v>
      </c>
      <c r="BG155" s="17" t="e">
        <f t="shared" ca="1" si="112"/>
        <v>#N/A</v>
      </c>
      <c r="BH155" s="17" t="e">
        <f t="shared" ca="1" si="112"/>
        <v>#N/A</v>
      </c>
      <c r="BI155" s="17" t="e">
        <f t="shared" ca="1" si="112"/>
        <v>#N/A</v>
      </c>
      <c r="BJ155" s="17" t="e">
        <f t="shared" ca="1" si="112"/>
        <v>#N/A</v>
      </c>
      <c r="BK155" s="17" t="e">
        <f t="shared" ca="1" si="112"/>
        <v>#N/A</v>
      </c>
      <c r="BL155" s="17" t="e">
        <f t="shared" ca="1" si="112"/>
        <v>#N/A</v>
      </c>
      <c r="BM155" s="17" t="e">
        <f t="shared" ca="1" si="112"/>
        <v>#N/A</v>
      </c>
      <c r="BN155" s="17" t="e">
        <f t="shared" ca="1" si="112"/>
        <v>#N/A</v>
      </c>
      <c r="BO155" s="17" t="e">
        <f t="shared" ca="1" si="112"/>
        <v>#N/A</v>
      </c>
      <c r="BP155" s="17" t="e">
        <f t="shared" ca="1" si="112"/>
        <v>#N/A</v>
      </c>
      <c r="BQ155" s="17" t="e">
        <f t="shared" ref="BQ155:BV155" ca="1" si="113">BQ92/$D155*100000</f>
        <v>#N/A</v>
      </c>
      <c r="BR155" s="17" t="e">
        <f t="shared" ca="1" si="113"/>
        <v>#N/A</v>
      </c>
      <c r="BS155" s="17" t="e">
        <f t="shared" ca="1" si="113"/>
        <v>#N/A</v>
      </c>
      <c r="BT155" s="17" t="e">
        <f t="shared" ca="1" si="113"/>
        <v>#N/A</v>
      </c>
      <c r="BU155" s="17" t="e">
        <f t="shared" ca="1" si="113"/>
        <v>#N/A</v>
      </c>
      <c r="BV155" s="17" t="e">
        <f t="shared" ca="1" si="113"/>
        <v>#N/A</v>
      </c>
    </row>
    <row r="156" spans="2:74" x14ac:dyDescent="0.25">
      <c r="B156">
        <f t="shared" si="93"/>
        <v>51</v>
      </c>
      <c r="C156">
        <f t="shared" ca="1" si="93"/>
        <v>0</v>
      </c>
      <c r="D156" s="1" t="e">
        <f t="shared" ca="1" si="93"/>
        <v>#N/A</v>
      </c>
      <c r="E156" s="17" t="e">
        <f t="shared" ref="E156:BP156" ca="1" si="114">E93/$D156*100000</f>
        <v>#N/A</v>
      </c>
      <c r="F156" s="17" t="e">
        <f t="shared" ca="1" si="114"/>
        <v>#N/A</v>
      </c>
      <c r="G156" s="17" t="e">
        <f t="shared" ca="1" si="114"/>
        <v>#N/A</v>
      </c>
      <c r="H156" s="17" t="e">
        <f t="shared" ca="1" si="114"/>
        <v>#N/A</v>
      </c>
      <c r="I156" s="17" t="e">
        <f t="shared" ca="1" si="114"/>
        <v>#N/A</v>
      </c>
      <c r="J156" s="17" t="e">
        <f t="shared" ca="1" si="114"/>
        <v>#N/A</v>
      </c>
      <c r="K156" s="17" t="e">
        <f t="shared" ca="1" si="114"/>
        <v>#N/A</v>
      </c>
      <c r="L156" s="17" t="e">
        <f t="shared" ca="1" si="114"/>
        <v>#N/A</v>
      </c>
      <c r="M156" s="17" t="e">
        <f t="shared" ca="1" si="114"/>
        <v>#N/A</v>
      </c>
      <c r="N156" s="17" t="e">
        <f t="shared" ca="1" si="114"/>
        <v>#N/A</v>
      </c>
      <c r="O156" s="17" t="e">
        <f t="shared" ca="1" si="114"/>
        <v>#N/A</v>
      </c>
      <c r="P156" s="17" t="e">
        <f t="shared" ca="1" si="114"/>
        <v>#N/A</v>
      </c>
      <c r="Q156" s="17" t="e">
        <f t="shared" ca="1" si="114"/>
        <v>#N/A</v>
      </c>
      <c r="R156" s="17" t="e">
        <f t="shared" ca="1" si="114"/>
        <v>#N/A</v>
      </c>
      <c r="S156" s="17" t="e">
        <f t="shared" ca="1" si="114"/>
        <v>#N/A</v>
      </c>
      <c r="T156" s="17" t="e">
        <f t="shared" ca="1" si="114"/>
        <v>#N/A</v>
      </c>
      <c r="U156" s="17" t="e">
        <f t="shared" ca="1" si="114"/>
        <v>#N/A</v>
      </c>
      <c r="V156" s="17" t="e">
        <f t="shared" ca="1" si="114"/>
        <v>#N/A</v>
      </c>
      <c r="W156" s="17" t="e">
        <f t="shared" ca="1" si="114"/>
        <v>#N/A</v>
      </c>
      <c r="X156" s="17" t="e">
        <f t="shared" ca="1" si="114"/>
        <v>#N/A</v>
      </c>
      <c r="Y156" s="17" t="e">
        <f t="shared" ca="1" si="114"/>
        <v>#N/A</v>
      </c>
      <c r="Z156" s="17" t="e">
        <f t="shared" ca="1" si="114"/>
        <v>#N/A</v>
      </c>
      <c r="AA156" s="17" t="e">
        <f t="shared" ca="1" si="114"/>
        <v>#N/A</v>
      </c>
      <c r="AB156" s="17" t="e">
        <f t="shared" ca="1" si="114"/>
        <v>#N/A</v>
      </c>
      <c r="AC156" s="17" t="e">
        <f t="shared" ca="1" si="114"/>
        <v>#N/A</v>
      </c>
      <c r="AD156" s="17" t="e">
        <f t="shared" ca="1" si="114"/>
        <v>#N/A</v>
      </c>
      <c r="AE156" s="17" t="e">
        <f t="shared" ca="1" si="114"/>
        <v>#N/A</v>
      </c>
      <c r="AF156" s="17" t="e">
        <f t="shared" ca="1" si="114"/>
        <v>#N/A</v>
      </c>
      <c r="AG156" s="17" t="e">
        <f t="shared" ca="1" si="114"/>
        <v>#N/A</v>
      </c>
      <c r="AH156" s="17" t="e">
        <f t="shared" ca="1" si="114"/>
        <v>#N/A</v>
      </c>
      <c r="AI156" s="17" t="e">
        <f t="shared" ca="1" si="114"/>
        <v>#N/A</v>
      </c>
      <c r="AJ156" s="17" t="e">
        <f t="shared" ca="1" si="114"/>
        <v>#N/A</v>
      </c>
      <c r="AK156" s="17" t="e">
        <f t="shared" ca="1" si="114"/>
        <v>#N/A</v>
      </c>
      <c r="AL156" s="17" t="e">
        <f t="shared" ca="1" si="114"/>
        <v>#N/A</v>
      </c>
      <c r="AM156" s="17" t="e">
        <f t="shared" ca="1" si="114"/>
        <v>#N/A</v>
      </c>
      <c r="AN156" s="17" t="e">
        <f t="shared" ca="1" si="114"/>
        <v>#N/A</v>
      </c>
      <c r="AO156" s="17" t="e">
        <f t="shared" ca="1" si="114"/>
        <v>#N/A</v>
      </c>
      <c r="AP156" s="17" t="e">
        <f t="shared" ca="1" si="114"/>
        <v>#N/A</v>
      </c>
      <c r="AQ156" s="17" t="e">
        <f t="shared" ca="1" si="114"/>
        <v>#N/A</v>
      </c>
      <c r="AR156" s="17" t="e">
        <f t="shared" ca="1" si="114"/>
        <v>#N/A</v>
      </c>
      <c r="AS156" s="17" t="e">
        <f t="shared" ca="1" si="114"/>
        <v>#N/A</v>
      </c>
      <c r="AT156" s="17" t="e">
        <f t="shared" ca="1" si="114"/>
        <v>#N/A</v>
      </c>
      <c r="AU156" s="17" t="e">
        <f t="shared" ca="1" si="114"/>
        <v>#N/A</v>
      </c>
      <c r="AV156" s="17" t="e">
        <f t="shared" ca="1" si="114"/>
        <v>#N/A</v>
      </c>
      <c r="AW156" s="17" t="e">
        <f t="shared" ca="1" si="114"/>
        <v>#N/A</v>
      </c>
      <c r="AX156" s="17" t="e">
        <f t="shared" ca="1" si="114"/>
        <v>#N/A</v>
      </c>
      <c r="AY156" s="17" t="e">
        <f t="shared" ca="1" si="114"/>
        <v>#N/A</v>
      </c>
      <c r="AZ156" s="17" t="e">
        <f t="shared" ca="1" si="114"/>
        <v>#N/A</v>
      </c>
      <c r="BA156" s="17" t="e">
        <f t="shared" ca="1" si="114"/>
        <v>#N/A</v>
      </c>
      <c r="BB156" s="17" t="e">
        <f t="shared" ca="1" si="114"/>
        <v>#N/A</v>
      </c>
      <c r="BC156" s="17" t="e">
        <f t="shared" ca="1" si="114"/>
        <v>#N/A</v>
      </c>
      <c r="BD156" s="17" t="e">
        <f t="shared" ca="1" si="114"/>
        <v>#N/A</v>
      </c>
      <c r="BE156" s="17" t="e">
        <f t="shared" ca="1" si="114"/>
        <v>#N/A</v>
      </c>
      <c r="BF156" s="17" t="e">
        <f t="shared" ca="1" si="114"/>
        <v>#N/A</v>
      </c>
      <c r="BG156" s="17" t="e">
        <f t="shared" ca="1" si="114"/>
        <v>#N/A</v>
      </c>
      <c r="BH156" s="17" t="e">
        <f t="shared" ca="1" si="114"/>
        <v>#N/A</v>
      </c>
      <c r="BI156" s="17" t="e">
        <f t="shared" ca="1" si="114"/>
        <v>#N/A</v>
      </c>
      <c r="BJ156" s="17" t="e">
        <f t="shared" ca="1" si="114"/>
        <v>#N/A</v>
      </c>
      <c r="BK156" s="17" t="e">
        <f t="shared" ca="1" si="114"/>
        <v>#N/A</v>
      </c>
      <c r="BL156" s="17" t="e">
        <f t="shared" ca="1" si="114"/>
        <v>#N/A</v>
      </c>
      <c r="BM156" s="17" t="e">
        <f t="shared" ca="1" si="114"/>
        <v>#N/A</v>
      </c>
      <c r="BN156" s="17" t="e">
        <f t="shared" ca="1" si="114"/>
        <v>#N/A</v>
      </c>
      <c r="BO156" s="17" t="e">
        <f t="shared" ca="1" si="114"/>
        <v>#N/A</v>
      </c>
      <c r="BP156" s="17" t="e">
        <f t="shared" ca="1" si="114"/>
        <v>#N/A</v>
      </c>
      <c r="BQ156" s="17" t="e">
        <f t="shared" ref="BQ156:BV156" ca="1" si="115">BQ93/$D156*100000</f>
        <v>#N/A</v>
      </c>
      <c r="BR156" s="17" t="e">
        <f t="shared" ca="1" si="115"/>
        <v>#N/A</v>
      </c>
      <c r="BS156" s="17" t="e">
        <f t="shared" ca="1" si="115"/>
        <v>#N/A</v>
      </c>
      <c r="BT156" s="17" t="e">
        <f t="shared" ca="1" si="115"/>
        <v>#N/A</v>
      </c>
      <c r="BU156" s="17" t="e">
        <f t="shared" ca="1" si="115"/>
        <v>#N/A</v>
      </c>
      <c r="BV156" s="17" t="e">
        <f t="shared" ca="1" si="115"/>
        <v>#N/A</v>
      </c>
    </row>
    <row r="157" spans="2:74" x14ac:dyDescent="0.25">
      <c r="B157">
        <f t="shared" si="93"/>
        <v>52</v>
      </c>
      <c r="C157">
        <f t="shared" ca="1" si="93"/>
        <v>0</v>
      </c>
      <c r="D157" s="1" t="e">
        <f t="shared" ca="1" si="93"/>
        <v>#N/A</v>
      </c>
      <c r="E157" s="17" t="e">
        <f t="shared" ref="E157:BP157" ca="1" si="116">E94/$D157*100000</f>
        <v>#N/A</v>
      </c>
      <c r="F157" s="17" t="e">
        <f t="shared" ca="1" si="116"/>
        <v>#N/A</v>
      </c>
      <c r="G157" s="17" t="e">
        <f t="shared" ca="1" si="116"/>
        <v>#N/A</v>
      </c>
      <c r="H157" s="17" t="e">
        <f t="shared" ca="1" si="116"/>
        <v>#N/A</v>
      </c>
      <c r="I157" s="17" t="e">
        <f t="shared" ca="1" si="116"/>
        <v>#N/A</v>
      </c>
      <c r="J157" s="17" t="e">
        <f t="shared" ca="1" si="116"/>
        <v>#N/A</v>
      </c>
      <c r="K157" s="17" t="e">
        <f t="shared" ca="1" si="116"/>
        <v>#N/A</v>
      </c>
      <c r="L157" s="17" t="e">
        <f t="shared" ca="1" si="116"/>
        <v>#N/A</v>
      </c>
      <c r="M157" s="17" t="e">
        <f t="shared" ca="1" si="116"/>
        <v>#N/A</v>
      </c>
      <c r="N157" s="17" t="e">
        <f t="shared" ca="1" si="116"/>
        <v>#N/A</v>
      </c>
      <c r="O157" s="17" t="e">
        <f t="shared" ca="1" si="116"/>
        <v>#N/A</v>
      </c>
      <c r="P157" s="17" t="e">
        <f t="shared" ca="1" si="116"/>
        <v>#N/A</v>
      </c>
      <c r="Q157" s="17" t="e">
        <f t="shared" ca="1" si="116"/>
        <v>#N/A</v>
      </c>
      <c r="R157" s="17" t="e">
        <f t="shared" ca="1" si="116"/>
        <v>#N/A</v>
      </c>
      <c r="S157" s="17" t="e">
        <f t="shared" ca="1" si="116"/>
        <v>#N/A</v>
      </c>
      <c r="T157" s="17" t="e">
        <f t="shared" ca="1" si="116"/>
        <v>#N/A</v>
      </c>
      <c r="U157" s="17" t="e">
        <f t="shared" ca="1" si="116"/>
        <v>#N/A</v>
      </c>
      <c r="V157" s="17" t="e">
        <f t="shared" ca="1" si="116"/>
        <v>#N/A</v>
      </c>
      <c r="W157" s="17" t="e">
        <f t="shared" ca="1" si="116"/>
        <v>#N/A</v>
      </c>
      <c r="X157" s="17" t="e">
        <f t="shared" ca="1" si="116"/>
        <v>#N/A</v>
      </c>
      <c r="Y157" s="17" t="e">
        <f t="shared" ca="1" si="116"/>
        <v>#N/A</v>
      </c>
      <c r="Z157" s="17" t="e">
        <f t="shared" ca="1" si="116"/>
        <v>#N/A</v>
      </c>
      <c r="AA157" s="17" t="e">
        <f t="shared" ca="1" si="116"/>
        <v>#N/A</v>
      </c>
      <c r="AB157" s="17" t="e">
        <f t="shared" ca="1" si="116"/>
        <v>#N/A</v>
      </c>
      <c r="AC157" s="17" t="e">
        <f t="shared" ca="1" si="116"/>
        <v>#N/A</v>
      </c>
      <c r="AD157" s="17" t="e">
        <f t="shared" ca="1" si="116"/>
        <v>#N/A</v>
      </c>
      <c r="AE157" s="17" t="e">
        <f t="shared" ca="1" si="116"/>
        <v>#N/A</v>
      </c>
      <c r="AF157" s="17" t="e">
        <f t="shared" ca="1" si="116"/>
        <v>#N/A</v>
      </c>
      <c r="AG157" s="17" t="e">
        <f t="shared" ca="1" si="116"/>
        <v>#N/A</v>
      </c>
      <c r="AH157" s="17" t="e">
        <f t="shared" ca="1" si="116"/>
        <v>#N/A</v>
      </c>
      <c r="AI157" s="17" t="e">
        <f t="shared" ca="1" si="116"/>
        <v>#N/A</v>
      </c>
      <c r="AJ157" s="17" t="e">
        <f t="shared" ca="1" si="116"/>
        <v>#N/A</v>
      </c>
      <c r="AK157" s="17" t="e">
        <f t="shared" ca="1" si="116"/>
        <v>#N/A</v>
      </c>
      <c r="AL157" s="17" t="e">
        <f t="shared" ca="1" si="116"/>
        <v>#N/A</v>
      </c>
      <c r="AM157" s="17" t="e">
        <f t="shared" ca="1" si="116"/>
        <v>#N/A</v>
      </c>
      <c r="AN157" s="17" t="e">
        <f t="shared" ca="1" si="116"/>
        <v>#N/A</v>
      </c>
      <c r="AO157" s="17" t="e">
        <f t="shared" ca="1" si="116"/>
        <v>#N/A</v>
      </c>
      <c r="AP157" s="17" t="e">
        <f t="shared" ca="1" si="116"/>
        <v>#N/A</v>
      </c>
      <c r="AQ157" s="17" t="e">
        <f t="shared" ca="1" si="116"/>
        <v>#N/A</v>
      </c>
      <c r="AR157" s="17" t="e">
        <f t="shared" ca="1" si="116"/>
        <v>#N/A</v>
      </c>
      <c r="AS157" s="17" t="e">
        <f t="shared" ca="1" si="116"/>
        <v>#N/A</v>
      </c>
      <c r="AT157" s="17" t="e">
        <f t="shared" ca="1" si="116"/>
        <v>#N/A</v>
      </c>
      <c r="AU157" s="17" t="e">
        <f t="shared" ca="1" si="116"/>
        <v>#N/A</v>
      </c>
      <c r="AV157" s="17" t="e">
        <f t="shared" ca="1" si="116"/>
        <v>#N/A</v>
      </c>
      <c r="AW157" s="17" t="e">
        <f t="shared" ca="1" si="116"/>
        <v>#N/A</v>
      </c>
      <c r="AX157" s="17" t="e">
        <f t="shared" ca="1" si="116"/>
        <v>#N/A</v>
      </c>
      <c r="AY157" s="17" t="e">
        <f t="shared" ca="1" si="116"/>
        <v>#N/A</v>
      </c>
      <c r="AZ157" s="17" t="e">
        <f t="shared" ca="1" si="116"/>
        <v>#N/A</v>
      </c>
      <c r="BA157" s="17" t="e">
        <f t="shared" ca="1" si="116"/>
        <v>#N/A</v>
      </c>
      <c r="BB157" s="17" t="e">
        <f t="shared" ca="1" si="116"/>
        <v>#N/A</v>
      </c>
      <c r="BC157" s="17" t="e">
        <f t="shared" ca="1" si="116"/>
        <v>#N/A</v>
      </c>
      <c r="BD157" s="17" t="e">
        <f t="shared" ca="1" si="116"/>
        <v>#N/A</v>
      </c>
      <c r="BE157" s="17" t="e">
        <f t="shared" ca="1" si="116"/>
        <v>#N/A</v>
      </c>
      <c r="BF157" s="17" t="e">
        <f t="shared" ca="1" si="116"/>
        <v>#N/A</v>
      </c>
      <c r="BG157" s="17" t="e">
        <f t="shared" ca="1" si="116"/>
        <v>#N/A</v>
      </c>
      <c r="BH157" s="17" t="e">
        <f t="shared" ca="1" si="116"/>
        <v>#N/A</v>
      </c>
      <c r="BI157" s="17" t="e">
        <f t="shared" ca="1" si="116"/>
        <v>#N/A</v>
      </c>
      <c r="BJ157" s="17" t="e">
        <f t="shared" ca="1" si="116"/>
        <v>#N/A</v>
      </c>
      <c r="BK157" s="17" t="e">
        <f t="shared" ca="1" si="116"/>
        <v>#N/A</v>
      </c>
      <c r="BL157" s="17" t="e">
        <f t="shared" ca="1" si="116"/>
        <v>#N/A</v>
      </c>
      <c r="BM157" s="17" t="e">
        <f t="shared" ca="1" si="116"/>
        <v>#N/A</v>
      </c>
      <c r="BN157" s="17" t="e">
        <f t="shared" ca="1" si="116"/>
        <v>#N/A</v>
      </c>
      <c r="BO157" s="17" t="e">
        <f t="shared" ca="1" si="116"/>
        <v>#N/A</v>
      </c>
      <c r="BP157" s="17" t="e">
        <f t="shared" ca="1" si="116"/>
        <v>#N/A</v>
      </c>
      <c r="BQ157" s="17" t="e">
        <f t="shared" ref="BQ157:BV157" ca="1" si="117">BQ94/$D157*100000</f>
        <v>#N/A</v>
      </c>
      <c r="BR157" s="17" t="e">
        <f t="shared" ca="1" si="117"/>
        <v>#N/A</v>
      </c>
      <c r="BS157" s="17" t="e">
        <f t="shared" ca="1" si="117"/>
        <v>#N/A</v>
      </c>
      <c r="BT157" s="17" t="e">
        <f t="shared" ca="1" si="117"/>
        <v>#N/A</v>
      </c>
      <c r="BU157" s="17" t="e">
        <f t="shared" ca="1" si="117"/>
        <v>#N/A</v>
      </c>
      <c r="BV157" s="17" t="e">
        <f t="shared" ca="1" si="117"/>
        <v>#N/A</v>
      </c>
    </row>
    <row r="158" spans="2:74" x14ac:dyDescent="0.25">
      <c r="B158">
        <f t="shared" si="93"/>
        <v>53</v>
      </c>
      <c r="C158">
        <f t="shared" ca="1" si="93"/>
        <v>0</v>
      </c>
      <c r="D158" s="1" t="e">
        <f t="shared" ca="1" si="93"/>
        <v>#N/A</v>
      </c>
      <c r="E158" s="17" t="e">
        <f t="shared" ref="E158:BP158" ca="1" si="118">E95/$D158*100000</f>
        <v>#N/A</v>
      </c>
      <c r="F158" s="17" t="e">
        <f t="shared" ca="1" si="118"/>
        <v>#N/A</v>
      </c>
      <c r="G158" s="17" t="e">
        <f t="shared" ca="1" si="118"/>
        <v>#N/A</v>
      </c>
      <c r="H158" s="17" t="e">
        <f t="shared" ca="1" si="118"/>
        <v>#N/A</v>
      </c>
      <c r="I158" s="17" t="e">
        <f t="shared" ca="1" si="118"/>
        <v>#N/A</v>
      </c>
      <c r="J158" s="17" t="e">
        <f t="shared" ca="1" si="118"/>
        <v>#N/A</v>
      </c>
      <c r="K158" s="17" t="e">
        <f t="shared" ca="1" si="118"/>
        <v>#N/A</v>
      </c>
      <c r="L158" s="17" t="e">
        <f t="shared" ca="1" si="118"/>
        <v>#N/A</v>
      </c>
      <c r="M158" s="17" t="e">
        <f t="shared" ca="1" si="118"/>
        <v>#N/A</v>
      </c>
      <c r="N158" s="17" t="e">
        <f t="shared" ca="1" si="118"/>
        <v>#N/A</v>
      </c>
      <c r="O158" s="17" t="e">
        <f t="shared" ca="1" si="118"/>
        <v>#N/A</v>
      </c>
      <c r="P158" s="17" t="e">
        <f t="shared" ca="1" si="118"/>
        <v>#N/A</v>
      </c>
      <c r="Q158" s="17" t="e">
        <f t="shared" ca="1" si="118"/>
        <v>#N/A</v>
      </c>
      <c r="R158" s="17" t="e">
        <f t="shared" ca="1" si="118"/>
        <v>#N/A</v>
      </c>
      <c r="S158" s="17" t="e">
        <f t="shared" ca="1" si="118"/>
        <v>#N/A</v>
      </c>
      <c r="T158" s="17" t="e">
        <f t="shared" ca="1" si="118"/>
        <v>#N/A</v>
      </c>
      <c r="U158" s="17" t="e">
        <f t="shared" ca="1" si="118"/>
        <v>#N/A</v>
      </c>
      <c r="V158" s="17" t="e">
        <f t="shared" ca="1" si="118"/>
        <v>#N/A</v>
      </c>
      <c r="W158" s="17" t="e">
        <f t="shared" ca="1" si="118"/>
        <v>#N/A</v>
      </c>
      <c r="X158" s="17" t="e">
        <f t="shared" ca="1" si="118"/>
        <v>#N/A</v>
      </c>
      <c r="Y158" s="17" t="e">
        <f t="shared" ca="1" si="118"/>
        <v>#N/A</v>
      </c>
      <c r="Z158" s="17" t="e">
        <f t="shared" ca="1" si="118"/>
        <v>#N/A</v>
      </c>
      <c r="AA158" s="17" t="e">
        <f t="shared" ca="1" si="118"/>
        <v>#N/A</v>
      </c>
      <c r="AB158" s="17" t="e">
        <f t="shared" ca="1" si="118"/>
        <v>#N/A</v>
      </c>
      <c r="AC158" s="17" t="e">
        <f t="shared" ca="1" si="118"/>
        <v>#N/A</v>
      </c>
      <c r="AD158" s="17" t="e">
        <f t="shared" ca="1" si="118"/>
        <v>#N/A</v>
      </c>
      <c r="AE158" s="17" t="e">
        <f t="shared" ca="1" si="118"/>
        <v>#N/A</v>
      </c>
      <c r="AF158" s="17" t="e">
        <f t="shared" ca="1" si="118"/>
        <v>#N/A</v>
      </c>
      <c r="AG158" s="17" t="e">
        <f t="shared" ca="1" si="118"/>
        <v>#N/A</v>
      </c>
      <c r="AH158" s="17" t="e">
        <f t="shared" ca="1" si="118"/>
        <v>#N/A</v>
      </c>
      <c r="AI158" s="17" t="e">
        <f t="shared" ca="1" si="118"/>
        <v>#N/A</v>
      </c>
      <c r="AJ158" s="17" t="e">
        <f t="shared" ca="1" si="118"/>
        <v>#N/A</v>
      </c>
      <c r="AK158" s="17" t="e">
        <f t="shared" ca="1" si="118"/>
        <v>#N/A</v>
      </c>
      <c r="AL158" s="17" t="e">
        <f t="shared" ca="1" si="118"/>
        <v>#N/A</v>
      </c>
      <c r="AM158" s="17" t="e">
        <f t="shared" ca="1" si="118"/>
        <v>#N/A</v>
      </c>
      <c r="AN158" s="17" t="e">
        <f t="shared" ca="1" si="118"/>
        <v>#N/A</v>
      </c>
      <c r="AO158" s="17" t="e">
        <f t="shared" ca="1" si="118"/>
        <v>#N/A</v>
      </c>
      <c r="AP158" s="17" t="e">
        <f t="shared" ca="1" si="118"/>
        <v>#N/A</v>
      </c>
      <c r="AQ158" s="17" t="e">
        <f t="shared" ca="1" si="118"/>
        <v>#N/A</v>
      </c>
      <c r="AR158" s="17" t="e">
        <f t="shared" ca="1" si="118"/>
        <v>#N/A</v>
      </c>
      <c r="AS158" s="17" t="e">
        <f t="shared" ca="1" si="118"/>
        <v>#N/A</v>
      </c>
      <c r="AT158" s="17" t="e">
        <f t="shared" ca="1" si="118"/>
        <v>#N/A</v>
      </c>
      <c r="AU158" s="17" t="e">
        <f t="shared" ca="1" si="118"/>
        <v>#N/A</v>
      </c>
      <c r="AV158" s="17" t="e">
        <f t="shared" ca="1" si="118"/>
        <v>#N/A</v>
      </c>
      <c r="AW158" s="17" t="e">
        <f t="shared" ca="1" si="118"/>
        <v>#N/A</v>
      </c>
      <c r="AX158" s="17" t="e">
        <f t="shared" ca="1" si="118"/>
        <v>#N/A</v>
      </c>
      <c r="AY158" s="17" t="e">
        <f t="shared" ca="1" si="118"/>
        <v>#N/A</v>
      </c>
      <c r="AZ158" s="17" t="e">
        <f t="shared" ca="1" si="118"/>
        <v>#N/A</v>
      </c>
      <c r="BA158" s="17" t="e">
        <f t="shared" ca="1" si="118"/>
        <v>#N/A</v>
      </c>
      <c r="BB158" s="17" t="e">
        <f t="shared" ca="1" si="118"/>
        <v>#N/A</v>
      </c>
      <c r="BC158" s="17" t="e">
        <f t="shared" ca="1" si="118"/>
        <v>#N/A</v>
      </c>
      <c r="BD158" s="17" t="e">
        <f t="shared" ca="1" si="118"/>
        <v>#N/A</v>
      </c>
      <c r="BE158" s="17" t="e">
        <f t="shared" ca="1" si="118"/>
        <v>#N/A</v>
      </c>
      <c r="BF158" s="17" t="e">
        <f t="shared" ca="1" si="118"/>
        <v>#N/A</v>
      </c>
      <c r="BG158" s="17" t="e">
        <f t="shared" ca="1" si="118"/>
        <v>#N/A</v>
      </c>
      <c r="BH158" s="17" t="e">
        <f t="shared" ca="1" si="118"/>
        <v>#N/A</v>
      </c>
      <c r="BI158" s="17" t="e">
        <f t="shared" ca="1" si="118"/>
        <v>#N/A</v>
      </c>
      <c r="BJ158" s="17" t="e">
        <f t="shared" ca="1" si="118"/>
        <v>#N/A</v>
      </c>
      <c r="BK158" s="17" t="e">
        <f t="shared" ca="1" si="118"/>
        <v>#N/A</v>
      </c>
      <c r="BL158" s="17" t="e">
        <f t="shared" ca="1" si="118"/>
        <v>#N/A</v>
      </c>
      <c r="BM158" s="17" t="e">
        <f t="shared" ca="1" si="118"/>
        <v>#N/A</v>
      </c>
      <c r="BN158" s="17" t="e">
        <f t="shared" ca="1" si="118"/>
        <v>#N/A</v>
      </c>
      <c r="BO158" s="17" t="e">
        <f t="shared" ca="1" si="118"/>
        <v>#N/A</v>
      </c>
      <c r="BP158" s="17" t="e">
        <f t="shared" ca="1" si="118"/>
        <v>#N/A</v>
      </c>
      <c r="BQ158" s="17" t="e">
        <f t="shared" ref="BQ158:BV158" ca="1" si="119">BQ95/$D158*100000</f>
        <v>#N/A</v>
      </c>
      <c r="BR158" s="17" t="e">
        <f t="shared" ca="1" si="119"/>
        <v>#N/A</v>
      </c>
      <c r="BS158" s="17" t="e">
        <f t="shared" ca="1" si="119"/>
        <v>#N/A</v>
      </c>
      <c r="BT158" s="17" t="e">
        <f t="shared" ca="1" si="119"/>
        <v>#N/A</v>
      </c>
      <c r="BU158" s="17" t="e">
        <f t="shared" ca="1" si="119"/>
        <v>#N/A</v>
      </c>
      <c r="BV158" s="17" t="e">
        <f t="shared" ca="1" si="119"/>
        <v>#N/A</v>
      </c>
    </row>
    <row r="159" spans="2:74" x14ac:dyDescent="0.25">
      <c r="B159">
        <f t="shared" si="93"/>
        <v>54</v>
      </c>
      <c r="C159">
        <f t="shared" ca="1" si="93"/>
        <v>0</v>
      </c>
      <c r="D159" s="1" t="e">
        <f t="shared" ca="1" si="93"/>
        <v>#N/A</v>
      </c>
      <c r="E159" s="17" t="e">
        <f t="shared" ref="E159:BP159" ca="1" si="120">E96/$D159*100000</f>
        <v>#N/A</v>
      </c>
      <c r="F159" s="17" t="e">
        <f t="shared" ca="1" si="120"/>
        <v>#N/A</v>
      </c>
      <c r="G159" s="17" t="e">
        <f t="shared" ca="1" si="120"/>
        <v>#N/A</v>
      </c>
      <c r="H159" s="17" t="e">
        <f t="shared" ca="1" si="120"/>
        <v>#N/A</v>
      </c>
      <c r="I159" s="17" t="e">
        <f t="shared" ca="1" si="120"/>
        <v>#N/A</v>
      </c>
      <c r="J159" s="17" t="e">
        <f t="shared" ca="1" si="120"/>
        <v>#N/A</v>
      </c>
      <c r="K159" s="17" t="e">
        <f t="shared" ca="1" si="120"/>
        <v>#N/A</v>
      </c>
      <c r="L159" s="17" t="e">
        <f t="shared" ca="1" si="120"/>
        <v>#N/A</v>
      </c>
      <c r="M159" s="17" t="e">
        <f t="shared" ca="1" si="120"/>
        <v>#N/A</v>
      </c>
      <c r="N159" s="17" t="e">
        <f t="shared" ca="1" si="120"/>
        <v>#N/A</v>
      </c>
      <c r="O159" s="17" t="e">
        <f t="shared" ca="1" si="120"/>
        <v>#N/A</v>
      </c>
      <c r="P159" s="17" t="e">
        <f t="shared" ca="1" si="120"/>
        <v>#N/A</v>
      </c>
      <c r="Q159" s="17" t="e">
        <f t="shared" ca="1" si="120"/>
        <v>#N/A</v>
      </c>
      <c r="R159" s="17" t="e">
        <f t="shared" ca="1" si="120"/>
        <v>#N/A</v>
      </c>
      <c r="S159" s="17" t="e">
        <f t="shared" ca="1" si="120"/>
        <v>#N/A</v>
      </c>
      <c r="T159" s="17" t="e">
        <f t="shared" ca="1" si="120"/>
        <v>#N/A</v>
      </c>
      <c r="U159" s="17" t="e">
        <f t="shared" ca="1" si="120"/>
        <v>#N/A</v>
      </c>
      <c r="V159" s="17" t="e">
        <f t="shared" ca="1" si="120"/>
        <v>#N/A</v>
      </c>
      <c r="W159" s="17" t="e">
        <f t="shared" ca="1" si="120"/>
        <v>#N/A</v>
      </c>
      <c r="X159" s="17" t="e">
        <f t="shared" ca="1" si="120"/>
        <v>#N/A</v>
      </c>
      <c r="Y159" s="17" t="e">
        <f t="shared" ca="1" si="120"/>
        <v>#N/A</v>
      </c>
      <c r="Z159" s="17" t="e">
        <f t="shared" ca="1" si="120"/>
        <v>#N/A</v>
      </c>
      <c r="AA159" s="17" t="e">
        <f t="shared" ca="1" si="120"/>
        <v>#N/A</v>
      </c>
      <c r="AB159" s="17" t="e">
        <f t="shared" ca="1" si="120"/>
        <v>#N/A</v>
      </c>
      <c r="AC159" s="17" t="e">
        <f t="shared" ca="1" si="120"/>
        <v>#N/A</v>
      </c>
      <c r="AD159" s="17" t="e">
        <f t="shared" ca="1" si="120"/>
        <v>#N/A</v>
      </c>
      <c r="AE159" s="17" t="e">
        <f t="shared" ca="1" si="120"/>
        <v>#N/A</v>
      </c>
      <c r="AF159" s="17" t="e">
        <f t="shared" ca="1" si="120"/>
        <v>#N/A</v>
      </c>
      <c r="AG159" s="17" t="e">
        <f t="shared" ca="1" si="120"/>
        <v>#N/A</v>
      </c>
      <c r="AH159" s="17" t="e">
        <f t="shared" ca="1" si="120"/>
        <v>#N/A</v>
      </c>
      <c r="AI159" s="17" t="e">
        <f t="shared" ca="1" si="120"/>
        <v>#N/A</v>
      </c>
      <c r="AJ159" s="17" t="e">
        <f t="shared" ca="1" si="120"/>
        <v>#N/A</v>
      </c>
      <c r="AK159" s="17" t="e">
        <f t="shared" ca="1" si="120"/>
        <v>#N/A</v>
      </c>
      <c r="AL159" s="17" t="e">
        <f t="shared" ca="1" si="120"/>
        <v>#N/A</v>
      </c>
      <c r="AM159" s="17" t="e">
        <f t="shared" ca="1" si="120"/>
        <v>#N/A</v>
      </c>
      <c r="AN159" s="17" t="e">
        <f t="shared" ca="1" si="120"/>
        <v>#N/A</v>
      </c>
      <c r="AO159" s="17" t="e">
        <f t="shared" ca="1" si="120"/>
        <v>#N/A</v>
      </c>
      <c r="AP159" s="17" t="e">
        <f t="shared" ca="1" si="120"/>
        <v>#N/A</v>
      </c>
      <c r="AQ159" s="17" t="e">
        <f t="shared" ca="1" si="120"/>
        <v>#N/A</v>
      </c>
      <c r="AR159" s="17" t="e">
        <f t="shared" ca="1" si="120"/>
        <v>#N/A</v>
      </c>
      <c r="AS159" s="17" t="e">
        <f t="shared" ca="1" si="120"/>
        <v>#N/A</v>
      </c>
      <c r="AT159" s="17" t="e">
        <f t="shared" ca="1" si="120"/>
        <v>#N/A</v>
      </c>
      <c r="AU159" s="17" t="e">
        <f t="shared" ca="1" si="120"/>
        <v>#N/A</v>
      </c>
      <c r="AV159" s="17" t="e">
        <f t="shared" ca="1" si="120"/>
        <v>#N/A</v>
      </c>
      <c r="AW159" s="17" t="e">
        <f t="shared" ca="1" si="120"/>
        <v>#N/A</v>
      </c>
      <c r="AX159" s="17" t="e">
        <f t="shared" ca="1" si="120"/>
        <v>#N/A</v>
      </c>
      <c r="AY159" s="17" t="e">
        <f t="shared" ca="1" si="120"/>
        <v>#N/A</v>
      </c>
      <c r="AZ159" s="17" t="e">
        <f t="shared" ca="1" si="120"/>
        <v>#N/A</v>
      </c>
      <c r="BA159" s="17" t="e">
        <f t="shared" ca="1" si="120"/>
        <v>#N/A</v>
      </c>
      <c r="BB159" s="17" t="e">
        <f t="shared" ca="1" si="120"/>
        <v>#N/A</v>
      </c>
      <c r="BC159" s="17" t="e">
        <f t="shared" ca="1" si="120"/>
        <v>#N/A</v>
      </c>
      <c r="BD159" s="17" t="e">
        <f t="shared" ca="1" si="120"/>
        <v>#N/A</v>
      </c>
      <c r="BE159" s="17" t="e">
        <f t="shared" ca="1" si="120"/>
        <v>#N/A</v>
      </c>
      <c r="BF159" s="17" t="e">
        <f t="shared" ca="1" si="120"/>
        <v>#N/A</v>
      </c>
      <c r="BG159" s="17" t="e">
        <f t="shared" ca="1" si="120"/>
        <v>#N/A</v>
      </c>
      <c r="BH159" s="17" t="e">
        <f t="shared" ca="1" si="120"/>
        <v>#N/A</v>
      </c>
      <c r="BI159" s="17" t="e">
        <f t="shared" ca="1" si="120"/>
        <v>#N/A</v>
      </c>
      <c r="BJ159" s="17" t="e">
        <f t="shared" ca="1" si="120"/>
        <v>#N/A</v>
      </c>
      <c r="BK159" s="17" t="e">
        <f t="shared" ca="1" si="120"/>
        <v>#N/A</v>
      </c>
      <c r="BL159" s="17" t="e">
        <f t="shared" ca="1" si="120"/>
        <v>#N/A</v>
      </c>
      <c r="BM159" s="17" t="e">
        <f t="shared" ca="1" si="120"/>
        <v>#N/A</v>
      </c>
      <c r="BN159" s="17" t="e">
        <f t="shared" ca="1" si="120"/>
        <v>#N/A</v>
      </c>
      <c r="BO159" s="17" t="e">
        <f t="shared" ca="1" si="120"/>
        <v>#N/A</v>
      </c>
      <c r="BP159" s="17" t="e">
        <f t="shared" ca="1" si="120"/>
        <v>#N/A</v>
      </c>
      <c r="BQ159" s="17" t="e">
        <f t="shared" ref="BQ159:BV159" ca="1" si="121">BQ96/$D159*100000</f>
        <v>#N/A</v>
      </c>
      <c r="BR159" s="17" t="e">
        <f t="shared" ca="1" si="121"/>
        <v>#N/A</v>
      </c>
      <c r="BS159" s="17" t="e">
        <f t="shared" ca="1" si="121"/>
        <v>#N/A</v>
      </c>
      <c r="BT159" s="17" t="e">
        <f t="shared" ca="1" si="121"/>
        <v>#N/A</v>
      </c>
      <c r="BU159" s="17" t="e">
        <f t="shared" ca="1" si="121"/>
        <v>#N/A</v>
      </c>
      <c r="BV159" s="17" t="e">
        <f t="shared" ca="1" si="121"/>
        <v>#N/A</v>
      </c>
    </row>
    <row r="160" spans="2:74" x14ac:dyDescent="0.25">
      <c r="B160">
        <f t="shared" si="93"/>
        <v>55</v>
      </c>
      <c r="C160">
        <f t="shared" ca="1" si="93"/>
        <v>0</v>
      </c>
      <c r="D160" s="1" t="e">
        <f t="shared" ca="1" si="93"/>
        <v>#N/A</v>
      </c>
      <c r="E160" s="17" t="e">
        <f t="shared" ref="E160:BP160" ca="1" si="122">E97/$D160*100000</f>
        <v>#N/A</v>
      </c>
      <c r="F160" s="17" t="e">
        <f t="shared" ca="1" si="122"/>
        <v>#N/A</v>
      </c>
      <c r="G160" s="17" t="e">
        <f t="shared" ca="1" si="122"/>
        <v>#N/A</v>
      </c>
      <c r="H160" s="17" t="e">
        <f t="shared" ca="1" si="122"/>
        <v>#N/A</v>
      </c>
      <c r="I160" s="17" t="e">
        <f t="shared" ca="1" si="122"/>
        <v>#N/A</v>
      </c>
      <c r="J160" s="17" t="e">
        <f t="shared" ca="1" si="122"/>
        <v>#N/A</v>
      </c>
      <c r="K160" s="17" t="e">
        <f t="shared" ca="1" si="122"/>
        <v>#N/A</v>
      </c>
      <c r="L160" s="17" t="e">
        <f t="shared" ca="1" si="122"/>
        <v>#N/A</v>
      </c>
      <c r="M160" s="17" t="e">
        <f t="shared" ca="1" si="122"/>
        <v>#N/A</v>
      </c>
      <c r="N160" s="17" t="e">
        <f t="shared" ca="1" si="122"/>
        <v>#N/A</v>
      </c>
      <c r="O160" s="17" t="e">
        <f t="shared" ca="1" si="122"/>
        <v>#N/A</v>
      </c>
      <c r="P160" s="17" t="e">
        <f t="shared" ca="1" si="122"/>
        <v>#N/A</v>
      </c>
      <c r="Q160" s="17" t="e">
        <f t="shared" ca="1" si="122"/>
        <v>#N/A</v>
      </c>
      <c r="R160" s="17" t="e">
        <f t="shared" ca="1" si="122"/>
        <v>#N/A</v>
      </c>
      <c r="S160" s="17" t="e">
        <f t="shared" ca="1" si="122"/>
        <v>#N/A</v>
      </c>
      <c r="T160" s="17" t="e">
        <f t="shared" ca="1" si="122"/>
        <v>#N/A</v>
      </c>
      <c r="U160" s="17" t="e">
        <f t="shared" ca="1" si="122"/>
        <v>#N/A</v>
      </c>
      <c r="V160" s="17" t="e">
        <f t="shared" ca="1" si="122"/>
        <v>#N/A</v>
      </c>
      <c r="W160" s="17" t="e">
        <f t="shared" ca="1" si="122"/>
        <v>#N/A</v>
      </c>
      <c r="X160" s="17" t="e">
        <f t="shared" ca="1" si="122"/>
        <v>#N/A</v>
      </c>
      <c r="Y160" s="17" t="e">
        <f t="shared" ca="1" si="122"/>
        <v>#N/A</v>
      </c>
      <c r="Z160" s="17" t="e">
        <f t="shared" ca="1" si="122"/>
        <v>#N/A</v>
      </c>
      <c r="AA160" s="17" t="e">
        <f t="shared" ca="1" si="122"/>
        <v>#N/A</v>
      </c>
      <c r="AB160" s="17" t="e">
        <f t="shared" ca="1" si="122"/>
        <v>#N/A</v>
      </c>
      <c r="AC160" s="17" t="e">
        <f t="shared" ca="1" si="122"/>
        <v>#N/A</v>
      </c>
      <c r="AD160" s="17" t="e">
        <f t="shared" ca="1" si="122"/>
        <v>#N/A</v>
      </c>
      <c r="AE160" s="17" t="e">
        <f t="shared" ca="1" si="122"/>
        <v>#N/A</v>
      </c>
      <c r="AF160" s="17" t="e">
        <f t="shared" ca="1" si="122"/>
        <v>#N/A</v>
      </c>
      <c r="AG160" s="17" t="e">
        <f t="shared" ca="1" si="122"/>
        <v>#N/A</v>
      </c>
      <c r="AH160" s="17" t="e">
        <f t="shared" ca="1" si="122"/>
        <v>#N/A</v>
      </c>
      <c r="AI160" s="17" t="e">
        <f t="shared" ca="1" si="122"/>
        <v>#N/A</v>
      </c>
      <c r="AJ160" s="17" t="e">
        <f t="shared" ca="1" si="122"/>
        <v>#N/A</v>
      </c>
      <c r="AK160" s="17" t="e">
        <f t="shared" ca="1" si="122"/>
        <v>#N/A</v>
      </c>
      <c r="AL160" s="17" t="e">
        <f t="shared" ca="1" si="122"/>
        <v>#N/A</v>
      </c>
      <c r="AM160" s="17" t="e">
        <f t="shared" ca="1" si="122"/>
        <v>#N/A</v>
      </c>
      <c r="AN160" s="17" t="e">
        <f t="shared" ca="1" si="122"/>
        <v>#N/A</v>
      </c>
      <c r="AO160" s="17" t="e">
        <f t="shared" ca="1" si="122"/>
        <v>#N/A</v>
      </c>
      <c r="AP160" s="17" t="e">
        <f t="shared" ca="1" si="122"/>
        <v>#N/A</v>
      </c>
      <c r="AQ160" s="17" t="e">
        <f t="shared" ca="1" si="122"/>
        <v>#N/A</v>
      </c>
      <c r="AR160" s="17" t="e">
        <f t="shared" ca="1" si="122"/>
        <v>#N/A</v>
      </c>
      <c r="AS160" s="17" t="e">
        <f t="shared" ca="1" si="122"/>
        <v>#N/A</v>
      </c>
      <c r="AT160" s="17" t="e">
        <f t="shared" ca="1" si="122"/>
        <v>#N/A</v>
      </c>
      <c r="AU160" s="17" t="e">
        <f t="shared" ca="1" si="122"/>
        <v>#N/A</v>
      </c>
      <c r="AV160" s="17" t="e">
        <f t="shared" ca="1" si="122"/>
        <v>#N/A</v>
      </c>
      <c r="AW160" s="17" t="e">
        <f t="shared" ca="1" si="122"/>
        <v>#N/A</v>
      </c>
      <c r="AX160" s="17" t="e">
        <f t="shared" ca="1" si="122"/>
        <v>#N/A</v>
      </c>
      <c r="AY160" s="17" t="e">
        <f t="shared" ca="1" si="122"/>
        <v>#N/A</v>
      </c>
      <c r="AZ160" s="17" t="e">
        <f t="shared" ca="1" si="122"/>
        <v>#N/A</v>
      </c>
      <c r="BA160" s="17" t="e">
        <f t="shared" ca="1" si="122"/>
        <v>#N/A</v>
      </c>
      <c r="BB160" s="17" t="e">
        <f t="shared" ca="1" si="122"/>
        <v>#N/A</v>
      </c>
      <c r="BC160" s="17" t="e">
        <f t="shared" ca="1" si="122"/>
        <v>#N/A</v>
      </c>
      <c r="BD160" s="17" t="e">
        <f t="shared" ca="1" si="122"/>
        <v>#N/A</v>
      </c>
      <c r="BE160" s="17" t="e">
        <f t="shared" ca="1" si="122"/>
        <v>#N/A</v>
      </c>
      <c r="BF160" s="17" t="e">
        <f t="shared" ca="1" si="122"/>
        <v>#N/A</v>
      </c>
      <c r="BG160" s="17" t="e">
        <f t="shared" ca="1" si="122"/>
        <v>#N/A</v>
      </c>
      <c r="BH160" s="17" t="e">
        <f t="shared" ca="1" si="122"/>
        <v>#N/A</v>
      </c>
      <c r="BI160" s="17" t="e">
        <f t="shared" ca="1" si="122"/>
        <v>#N/A</v>
      </c>
      <c r="BJ160" s="17" t="e">
        <f t="shared" ca="1" si="122"/>
        <v>#N/A</v>
      </c>
      <c r="BK160" s="17" t="e">
        <f t="shared" ca="1" si="122"/>
        <v>#N/A</v>
      </c>
      <c r="BL160" s="17" t="e">
        <f t="shared" ca="1" si="122"/>
        <v>#N/A</v>
      </c>
      <c r="BM160" s="17" t="e">
        <f t="shared" ca="1" si="122"/>
        <v>#N/A</v>
      </c>
      <c r="BN160" s="17" t="e">
        <f t="shared" ca="1" si="122"/>
        <v>#N/A</v>
      </c>
      <c r="BO160" s="17" t="e">
        <f t="shared" ca="1" si="122"/>
        <v>#N/A</v>
      </c>
      <c r="BP160" s="17" t="e">
        <f t="shared" ca="1" si="122"/>
        <v>#N/A</v>
      </c>
      <c r="BQ160" s="17" t="e">
        <f t="shared" ref="BQ160:BV160" ca="1" si="123">BQ97/$D160*100000</f>
        <v>#N/A</v>
      </c>
      <c r="BR160" s="17" t="e">
        <f t="shared" ca="1" si="123"/>
        <v>#N/A</v>
      </c>
      <c r="BS160" s="17" t="e">
        <f t="shared" ca="1" si="123"/>
        <v>#N/A</v>
      </c>
      <c r="BT160" s="17" t="e">
        <f t="shared" ca="1" si="123"/>
        <v>#N/A</v>
      </c>
      <c r="BU160" s="17" t="e">
        <f t="shared" ca="1" si="123"/>
        <v>#N/A</v>
      </c>
      <c r="BV160" s="17" t="e">
        <f t="shared" ca="1" si="123"/>
        <v>#N/A</v>
      </c>
    </row>
    <row r="161" spans="2:74" x14ac:dyDescent="0.25">
      <c r="B161">
        <f t="shared" si="93"/>
        <v>56</v>
      </c>
      <c r="C161">
        <f t="shared" ca="1" si="93"/>
        <v>0</v>
      </c>
      <c r="D161" s="1" t="e">
        <f t="shared" ca="1" si="93"/>
        <v>#N/A</v>
      </c>
      <c r="E161" s="17" t="e">
        <f t="shared" ref="E161:BP161" ca="1" si="124">E98/$D161*100000</f>
        <v>#N/A</v>
      </c>
      <c r="F161" s="17" t="e">
        <f t="shared" ca="1" si="124"/>
        <v>#N/A</v>
      </c>
      <c r="G161" s="17" t="e">
        <f t="shared" ca="1" si="124"/>
        <v>#N/A</v>
      </c>
      <c r="H161" s="17" t="e">
        <f t="shared" ca="1" si="124"/>
        <v>#N/A</v>
      </c>
      <c r="I161" s="17" t="e">
        <f t="shared" ca="1" si="124"/>
        <v>#N/A</v>
      </c>
      <c r="J161" s="17" t="e">
        <f t="shared" ca="1" si="124"/>
        <v>#N/A</v>
      </c>
      <c r="K161" s="17" t="e">
        <f t="shared" ca="1" si="124"/>
        <v>#N/A</v>
      </c>
      <c r="L161" s="17" t="e">
        <f t="shared" ca="1" si="124"/>
        <v>#N/A</v>
      </c>
      <c r="M161" s="17" t="e">
        <f t="shared" ca="1" si="124"/>
        <v>#N/A</v>
      </c>
      <c r="N161" s="17" t="e">
        <f t="shared" ca="1" si="124"/>
        <v>#N/A</v>
      </c>
      <c r="O161" s="17" t="e">
        <f t="shared" ca="1" si="124"/>
        <v>#N/A</v>
      </c>
      <c r="P161" s="17" t="e">
        <f t="shared" ca="1" si="124"/>
        <v>#N/A</v>
      </c>
      <c r="Q161" s="17" t="e">
        <f t="shared" ca="1" si="124"/>
        <v>#N/A</v>
      </c>
      <c r="R161" s="17" t="e">
        <f t="shared" ca="1" si="124"/>
        <v>#N/A</v>
      </c>
      <c r="S161" s="17" t="e">
        <f t="shared" ca="1" si="124"/>
        <v>#N/A</v>
      </c>
      <c r="T161" s="17" t="e">
        <f t="shared" ca="1" si="124"/>
        <v>#N/A</v>
      </c>
      <c r="U161" s="17" t="e">
        <f t="shared" ca="1" si="124"/>
        <v>#N/A</v>
      </c>
      <c r="V161" s="17" t="e">
        <f t="shared" ca="1" si="124"/>
        <v>#N/A</v>
      </c>
      <c r="W161" s="17" t="e">
        <f t="shared" ca="1" si="124"/>
        <v>#N/A</v>
      </c>
      <c r="X161" s="17" t="e">
        <f t="shared" ca="1" si="124"/>
        <v>#N/A</v>
      </c>
      <c r="Y161" s="17" t="e">
        <f t="shared" ca="1" si="124"/>
        <v>#N/A</v>
      </c>
      <c r="Z161" s="17" t="e">
        <f t="shared" ca="1" si="124"/>
        <v>#N/A</v>
      </c>
      <c r="AA161" s="17" t="e">
        <f t="shared" ca="1" si="124"/>
        <v>#N/A</v>
      </c>
      <c r="AB161" s="17" t="e">
        <f t="shared" ca="1" si="124"/>
        <v>#N/A</v>
      </c>
      <c r="AC161" s="17" t="e">
        <f t="shared" ca="1" si="124"/>
        <v>#N/A</v>
      </c>
      <c r="AD161" s="17" t="e">
        <f t="shared" ca="1" si="124"/>
        <v>#N/A</v>
      </c>
      <c r="AE161" s="17" t="e">
        <f t="shared" ca="1" si="124"/>
        <v>#N/A</v>
      </c>
      <c r="AF161" s="17" t="e">
        <f t="shared" ca="1" si="124"/>
        <v>#N/A</v>
      </c>
      <c r="AG161" s="17" t="e">
        <f t="shared" ca="1" si="124"/>
        <v>#N/A</v>
      </c>
      <c r="AH161" s="17" t="e">
        <f t="shared" ca="1" si="124"/>
        <v>#N/A</v>
      </c>
      <c r="AI161" s="17" t="e">
        <f t="shared" ca="1" si="124"/>
        <v>#N/A</v>
      </c>
      <c r="AJ161" s="17" t="e">
        <f t="shared" ca="1" si="124"/>
        <v>#N/A</v>
      </c>
      <c r="AK161" s="17" t="e">
        <f t="shared" ca="1" si="124"/>
        <v>#N/A</v>
      </c>
      <c r="AL161" s="17" t="e">
        <f t="shared" ca="1" si="124"/>
        <v>#N/A</v>
      </c>
      <c r="AM161" s="17" t="e">
        <f t="shared" ca="1" si="124"/>
        <v>#N/A</v>
      </c>
      <c r="AN161" s="17" t="e">
        <f t="shared" ca="1" si="124"/>
        <v>#N/A</v>
      </c>
      <c r="AO161" s="17" t="e">
        <f t="shared" ca="1" si="124"/>
        <v>#N/A</v>
      </c>
      <c r="AP161" s="17" t="e">
        <f t="shared" ca="1" si="124"/>
        <v>#N/A</v>
      </c>
      <c r="AQ161" s="17" t="e">
        <f t="shared" ca="1" si="124"/>
        <v>#N/A</v>
      </c>
      <c r="AR161" s="17" t="e">
        <f t="shared" ca="1" si="124"/>
        <v>#N/A</v>
      </c>
      <c r="AS161" s="17" t="e">
        <f t="shared" ca="1" si="124"/>
        <v>#N/A</v>
      </c>
      <c r="AT161" s="17" t="e">
        <f t="shared" ca="1" si="124"/>
        <v>#N/A</v>
      </c>
      <c r="AU161" s="17" t="e">
        <f t="shared" ca="1" si="124"/>
        <v>#N/A</v>
      </c>
      <c r="AV161" s="17" t="e">
        <f t="shared" ca="1" si="124"/>
        <v>#N/A</v>
      </c>
      <c r="AW161" s="17" t="e">
        <f t="shared" ca="1" si="124"/>
        <v>#N/A</v>
      </c>
      <c r="AX161" s="17" t="e">
        <f t="shared" ca="1" si="124"/>
        <v>#N/A</v>
      </c>
      <c r="AY161" s="17" t="e">
        <f t="shared" ca="1" si="124"/>
        <v>#N/A</v>
      </c>
      <c r="AZ161" s="17" t="e">
        <f t="shared" ca="1" si="124"/>
        <v>#N/A</v>
      </c>
      <c r="BA161" s="17" t="e">
        <f t="shared" ca="1" si="124"/>
        <v>#N/A</v>
      </c>
      <c r="BB161" s="17" t="e">
        <f t="shared" ca="1" si="124"/>
        <v>#N/A</v>
      </c>
      <c r="BC161" s="17" t="e">
        <f t="shared" ca="1" si="124"/>
        <v>#N/A</v>
      </c>
      <c r="BD161" s="17" t="e">
        <f t="shared" ca="1" si="124"/>
        <v>#N/A</v>
      </c>
      <c r="BE161" s="17" t="e">
        <f t="shared" ca="1" si="124"/>
        <v>#N/A</v>
      </c>
      <c r="BF161" s="17" t="e">
        <f t="shared" ca="1" si="124"/>
        <v>#N/A</v>
      </c>
      <c r="BG161" s="17" t="e">
        <f t="shared" ca="1" si="124"/>
        <v>#N/A</v>
      </c>
      <c r="BH161" s="17" t="e">
        <f t="shared" ca="1" si="124"/>
        <v>#N/A</v>
      </c>
      <c r="BI161" s="17" t="e">
        <f t="shared" ca="1" si="124"/>
        <v>#N/A</v>
      </c>
      <c r="BJ161" s="17" t="e">
        <f t="shared" ca="1" si="124"/>
        <v>#N/A</v>
      </c>
      <c r="BK161" s="17" t="e">
        <f t="shared" ca="1" si="124"/>
        <v>#N/A</v>
      </c>
      <c r="BL161" s="17" t="e">
        <f t="shared" ca="1" si="124"/>
        <v>#N/A</v>
      </c>
      <c r="BM161" s="17" t="e">
        <f t="shared" ca="1" si="124"/>
        <v>#N/A</v>
      </c>
      <c r="BN161" s="17" t="e">
        <f t="shared" ca="1" si="124"/>
        <v>#N/A</v>
      </c>
      <c r="BO161" s="17" t="e">
        <f t="shared" ca="1" si="124"/>
        <v>#N/A</v>
      </c>
      <c r="BP161" s="17" t="e">
        <f t="shared" ca="1" si="124"/>
        <v>#N/A</v>
      </c>
      <c r="BQ161" s="17" t="e">
        <f t="shared" ref="BQ161:BV161" ca="1" si="125">BQ98/$D161*100000</f>
        <v>#N/A</v>
      </c>
      <c r="BR161" s="17" t="e">
        <f t="shared" ca="1" si="125"/>
        <v>#N/A</v>
      </c>
      <c r="BS161" s="17" t="e">
        <f t="shared" ca="1" si="125"/>
        <v>#N/A</v>
      </c>
      <c r="BT161" s="17" t="e">
        <f t="shared" ca="1" si="125"/>
        <v>#N/A</v>
      </c>
      <c r="BU161" s="17" t="e">
        <f t="shared" ca="1" si="125"/>
        <v>#N/A</v>
      </c>
      <c r="BV161" s="17" t="e">
        <f t="shared" ca="1" si="125"/>
        <v>#N/A</v>
      </c>
    </row>
    <row r="162" spans="2:74" x14ac:dyDescent="0.25">
      <c r="B162">
        <f t="shared" ref="B162" si="126">B102</f>
        <v>60</v>
      </c>
      <c r="C162">
        <f t="shared" ref="C162:D162" ca="1" si="127">C102</f>
        <v>0</v>
      </c>
      <c r="D162" s="1" t="e">
        <f t="shared" ca="1" si="127"/>
        <v>#N/A</v>
      </c>
      <c r="E162" s="17" t="e">
        <f t="shared" ref="E162:BP162" ca="1" si="128">E102/$D162*100000</f>
        <v>#N/A</v>
      </c>
      <c r="F162" s="17" t="e">
        <f t="shared" ca="1" si="128"/>
        <v>#N/A</v>
      </c>
      <c r="G162" s="17" t="e">
        <f t="shared" ca="1" si="128"/>
        <v>#N/A</v>
      </c>
      <c r="H162" s="17" t="e">
        <f t="shared" ca="1" si="128"/>
        <v>#N/A</v>
      </c>
      <c r="I162" s="17" t="e">
        <f t="shared" ca="1" si="128"/>
        <v>#N/A</v>
      </c>
      <c r="J162" s="17" t="e">
        <f t="shared" ca="1" si="128"/>
        <v>#N/A</v>
      </c>
      <c r="K162" s="17" t="e">
        <f t="shared" ca="1" si="128"/>
        <v>#N/A</v>
      </c>
      <c r="L162" s="17" t="e">
        <f t="shared" ca="1" si="128"/>
        <v>#N/A</v>
      </c>
      <c r="M162" s="17" t="e">
        <f t="shared" ca="1" si="128"/>
        <v>#N/A</v>
      </c>
      <c r="N162" s="17" t="e">
        <f t="shared" ca="1" si="128"/>
        <v>#N/A</v>
      </c>
      <c r="O162" s="17" t="e">
        <f t="shared" ca="1" si="128"/>
        <v>#N/A</v>
      </c>
      <c r="P162" s="17" t="e">
        <f t="shared" ca="1" si="128"/>
        <v>#N/A</v>
      </c>
      <c r="Q162" s="17" t="e">
        <f t="shared" ca="1" si="128"/>
        <v>#N/A</v>
      </c>
      <c r="R162" s="17" t="e">
        <f t="shared" ca="1" si="128"/>
        <v>#N/A</v>
      </c>
      <c r="S162" s="17" t="e">
        <f t="shared" ca="1" si="128"/>
        <v>#N/A</v>
      </c>
      <c r="T162" s="17" t="e">
        <f t="shared" ca="1" si="128"/>
        <v>#N/A</v>
      </c>
      <c r="U162" s="17" t="e">
        <f t="shared" ca="1" si="128"/>
        <v>#N/A</v>
      </c>
      <c r="V162" s="17" t="e">
        <f t="shared" ca="1" si="128"/>
        <v>#N/A</v>
      </c>
      <c r="W162" s="17" t="e">
        <f t="shared" ca="1" si="128"/>
        <v>#N/A</v>
      </c>
      <c r="X162" s="17" t="e">
        <f t="shared" ca="1" si="128"/>
        <v>#N/A</v>
      </c>
      <c r="Y162" s="17" t="e">
        <f t="shared" ca="1" si="128"/>
        <v>#N/A</v>
      </c>
      <c r="Z162" s="17" t="e">
        <f t="shared" ca="1" si="128"/>
        <v>#N/A</v>
      </c>
      <c r="AA162" s="17" t="e">
        <f t="shared" ca="1" si="128"/>
        <v>#N/A</v>
      </c>
      <c r="AB162" s="17" t="e">
        <f t="shared" ca="1" si="128"/>
        <v>#N/A</v>
      </c>
      <c r="AC162" s="17" t="e">
        <f t="shared" ca="1" si="128"/>
        <v>#N/A</v>
      </c>
      <c r="AD162" s="17" t="e">
        <f t="shared" ca="1" si="128"/>
        <v>#N/A</v>
      </c>
      <c r="AE162" s="17" t="e">
        <f t="shared" ca="1" si="128"/>
        <v>#N/A</v>
      </c>
      <c r="AF162" s="17" t="e">
        <f t="shared" ca="1" si="128"/>
        <v>#N/A</v>
      </c>
      <c r="AG162" s="17" t="e">
        <f t="shared" ca="1" si="128"/>
        <v>#N/A</v>
      </c>
      <c r="AH162" s="17" t="e">
        <f t="shared" ca="1" si="128"/>
        <v>#N/A</v>
      </c>
      <c r="AI162" s="17" t="e">
        <f t="shared" ca="1" si="128"/>
        <v>#N/A</v>
      </c>
      <c r="AJ162" s="17" t="e">
        <f t="shared" ca="1" si="128"/>
        <v>#N/A</v>
      </c>
      <c r="AK162" s="17" t="e">
        <f t="shared" ca="1" si="128"/>
        <v>#N/A</v>
      </c>
      <c r="AL162" s="17" t="e">
        <f t="shared" ca="1" si="128"/>
        <v>#N/A</v>
      </c>
      <c r="AM162" s="17" t="e">
        <f t="shared" ca="1" si="128"/>
        <v>#N/A</v>
      </c>
      <c r="AN162" s="17" t="e">
        <f t="shared" ca="1" si="128"/>
        <v>#N/A</v>
      </c>
      <c r="AO162" s="17" t="e">
        <f t="shared" ca="1" si="128"/>
        <v>#N/A</v>
      </c>
      <c r="AP162" s="17" t="e">
        <f t="shared" ca="1" si="128"/>
        <v>#N/A</v>
      </c>
      <c r="AQ162" s="17" t="e">
        <f t="shared" ca="1" si="128"/>
        <v>#N/A</v>
      </c>
      <c r="AR162" s="17" t="e">
        <f t="shared" ca="1" si="128"/>
        <v>#N/A</v>
      </c>
      <c r="AS162" s="17" t="e">
        <f t="shared" ca="1" si="128"/>
        <v>#N/A</v>
      </c>
      <c r="AT162" s="17" t="e">
        <f t="shared" ca="1" si="128"/>
        <v>#N/A</v>
      </c>
      <c r="AU162" s="17" t="e">
        <f t="shared" ca="1" si="128"/>
        <v>#N/A</v>
      </c>
      <c r="AV162" s="17" t="e">
        <f t="shared" ca="1" si="128"/>
        <v>#N/A</v>
      </c>
      <c r="AW162" s="17" t="e">
        <f t="shared" ca="1" si="128"/>
        <v>#N/A</v>
      </c>
      <c r="AX162" s="17" t="e">
        <f t="shared" ca="1" si="128"/>
        <v>#N/A</v>
      </c>
      <c r="AY162" s="17" t="e">
        <f t="shared" ca="1" si="128"/>
        <v>#N/A</v>
      </c>
      <c r="AZ162" s="17" t="e">
        <f t="shared" ca="1" si="128"/>
        <v>#N/A</v>
      </c>
      <c r="BA162" s="17" t="e">
        <f t="shared" ca="1" si="128"/>
        <v>#N/A</v>
      </c>
      <c r="BB162" s="17" t="e">
        <f t="shared" ca="1" si="128"/>
        <v>#N/A</v>
      </c>
      <c r="BC162" s="17" t="e">
        <f t="shared" ca="1" si="128"/>
        <v>#N/A</v>
      </c>
      <c r="BD162" s="17" t="e">
        <f t="shared" ca="1" si="128"/>
        <v>#N/A</v>
      </c>
      <c r="BE162" s="17" t="e">
        <f t="shared" ca="1" si="128"/>
        <v>#N/A</v>
      </c>
      <c r="BF162" s="17" t="e">
        <f t="shared" ca="1" si="128"/>
        <v>#N/A</v>
      </c>
      <c r="BG162" s="17" t="e">
        <f t="shared" ca="1" si="128"/>
        <v>#N/A</v>
      </c>
      <c r="BH162" s="17" t="e">
        <f t="shared" ca="1" si="128"/>
        <v>#N/A</v>
      </c>
      <c r="BI162" s="17" t="e">
        <f t="shared" ca="1" si="128"/>
        <v>#N/A</v>
      </c>
      <c r="BJ162" s="17" t="e">
        <f t="shared" ca="1" si="128"/>
        <v>#N/A</v>
      </c>
      <c r="BK162" s="17" t="e">
        <f t="shared" ca="1" si="128"/>
        <v>#N/A</v>
      </c>
      <c r="BL162" s="17" t="e">
        <f t="shared" ca="1" si="128"/>
        <v>#N/A</v>
      </c>
      <c r="BM162" s="17" t="e">
        <f t="shared" ca="1" si="128"/>
        <v>#N/A</v>
      </c>
      <c r="BN162" s="17" t="e">
        <f t="shared" ca="1" si="128"/>
        <v>#N/A</v>
      </c>
      <c r="BO162" s="17" t="e">
        <f t="shared" ca="1" si="128"/>
        <v>#N/A</v>
      </c>
      <c r="BP162" s="17" t="e">
        <f t="shared" ca="1" si="128"/>
        <v>#N/A</v>
      </c>
      <c r="BQ162" s="17" t="e">
        <f t="shared" ref="BQ162:BV162" ca="1" si="129">BQ102/$D162*100000</f>
        <v>#N/A</v>
      </c>
      <c r="BR162" s="17" t="e">
        <f t="shared" ca="1" si="129"/>
        <v>#N/A</v>
      </c>
      <c r="BS162" s="17" t="e">
        <f t="shared" ca="1" si="129"/>
        <v>#N/A</v>
      </c>
      <c r="BT162" s="17" t="e">
        <f t="shared" ca="1" si="129"/>
        <v>#N/A</v>
      </c>
      <c r="BU162" s="17" t="e">
        <f t="shared" ca="1" si="129"/>
        <v>#N/A</v>
      </c>
      <c r="BV162" s="17" t="e">
        <f t="shared" ca="1" si="129"/>
        <v>#N/A</v>
      </c>
    </row>
    <row r="164" spans="2:74" x14ac:dyDescent="0.25">
      <c r="E164">
        <v>7</v>
      </c>
      <c r="F164">
        <f>E164+1</f>
        <v>8</v>
      </c>
      <c r="G164">
        <f t="shared" ref="G164:BR164" si="130">F164+1</f>
        <v>9</v>
      </c>
      <c r="H164">
        <f t="shared" si="130"/>
        <v>10</v>
      </c>
      <c r="I164">
        <f t="shared" si="130"/>
        <v>11</v>
      </c>
      <c r="J164">
        <f t="shared" si="130"/>
        <v>12</v>
      </c>
      <c r="K164">
        <f t="shared" si="130"/>
        <v>13</v>
      </c>
      <c r="L164">
        <f t="shared" si="130"/>
        <v>14</v>
      </c>
      <c r="M164">
        <f t="shared" si="130"/>
        <v>15</v>
      </c>
      <c r="N164">
        <f t="shared" si="130"/>
        <v>16</v>
      </c>
      <c r="O164">
        <f t="shared" si="130"/>
        <v>17</v>
      </c>
      <c r="P164">
        <f t="shared" si="130"/>
        <v>18</v>
      </c>
      <c r="Q164">
        <f t="shared" si="130"/>
        <v>19</v>
      </c>
      <c r="R164">
        <f t="shared" si="130"/>
        <v>20</v>
      </c>
      <c r="S164">
        <f t="shared" si="130"/>
        <v>21</v>
      </c>
      <c r="T164">
        <f t="shared" si="130"/>
        <v>22</v>
      </c>
      <c r="U164">
        <f t="shared" si="130"/>
        <v>23</v>
      </c>
      <c r="V164">
        <f t="shared" si="130"/>
        <v>24</v>
      </c>
      <c r="W164">
        <f t="shared" si="130"/>
        <v>25</v>
      </c>
      <c r="X164">
        <f t="shared" si="130"/>
        <v>26</v>
      </c>
      <c r="Y164">
        <f t="shared" si="130"/>
        <v>27</v>
      </c>
      <c r="Z164">
        <f t="shared" si="130"/>
        <v>28</v>
      </c>
      <c r="AA164">
        <f t="shared" si="130"/>
        <v>29</v>
      </c>
      <c r="AB164">
        <f t="shared" si="130"/>
        <v>30</v>
      </c>
      <c r="AC164">
        <f t="shared" si="130"/>
        <v>31</v>
      </c>
      <c r="AD164">
        <f t="shared" si="130"/>
        <v>32</v>
      </c>
      <c r="AE164">
        <f t="shared" si="130"/>
        <v>33</v>
      </c>
      <c r="AF164">
        <f t="shared" si="130"/>
        <v>34</v>
      </c>
      <c r="AG164">
        <f t="shared" si="130"/>
        <v>35</v>
      </c>
      <c r="AH164">
        <f t="shared" si="130"/>
        <v>36</v>
      </c>
      <c r="AI164">
        <f t="shared" si="130"/>
        <v>37</v>
      </c>
      <c r="AJ164">
        <f t="shared" si="130"/>
        <v>38</v>
      </c>
      <c r="AK164">
        <f t="shared" si="130"/>
        <v>39</v>
      </c>
      <c r="AL164">
        <f t="shared" si="130"/>
        <v>40</v>
      </c>
      <c r="AM164">
        <f t="shared" si="130"/>
        <v>41</v>
      </c>
      <c r="AN164">
        <f t="shared" si="130"/>
        <v>42</v>
      </c>
      <c r="AO164">
        <f t="shared" si="130"/>
        <v>43</v>
      </c>
      <c r="AP164">
        <f t="shared" si="130"/>
        <v>44</v>
      </c>
      <c r="AQ164">
        <f t="shared" si="130"/>
        <v>45</v>
      </c>
      <c r="AR164">
        <f t="shared" si="130"/>
        <v>46</v>
      </c>
      <c r="AS164">
        <f t="shared" si="130"/>
        <v>47</v>
      </c>
      <c r="AT164">
        <f t="shared" si="130"/>
        <v>48</v>
      </c>
      <c r="AU164">
        <f t="shared" si="130"/>
        <v>49</v>
      </c>
      <c r="AV164">
        <f t="shared" si="130"/>
        <v>50</v>
      </c>
      <c r="AW164">
        <f t="shared" si="130"/>
        <v>51</v>
      </c>
      <c r="AX164">
        <f t="shared" si="130"/>
        <v>52</v>
      </c>
      <c r="AY164">
        <f t="shared" si="130"/>
        <v>53</v>
      </c>
      <c r="AZ164">
        <f t="shared" si="130"/>
        <v>54</v>
      </c>
      <c r="BA164">
        <f t="shared" si="130"/>
        <v>55</v>
      </c>
      <c r="BB164">
        <f t="shared" si="130"/>
        <v>56</v>
      </c>
      <c r="BC164">
        <f t="shared" si="130"/>
        <v>57</v>
      </c>
      <c r="BD164">
        <f t="shared" si="130"/>
        <v>58</v>
      </c>
      <c r="BE164">
        <f t="shared" si="130"/>
        <v>59</v>
      </c>
      <c r="BF164">
        <f t="shared" si="130"/>
        <v>60</v>
      </c>
      <c r="BG164">
        <f t="shared" si="130"/>
        <v>61</v>
      </c>
      <c r="BH164">
        <f t="shared" si="130"/>
        <v>62</v>
      </c>
      <c r="BI164">
        <f t="shared" si="130"/>
        <v>63</v>
      </c>
      <c r="BJ164">
        <f t="shared" si="130"/>
        <v>64</v>
      </c>
      <c r="BK164">
        <f t="shared" si="130"/>
        <v>65</v>
      </c>
      <c r="BL164">
        <f t="shared" si="130"/>
        <v>66</v>
      </c>
      <c r="BM164">
        <f t="shared" si="130"/>
        <v>67</v>
      </c>
      <c r="BN164">
        <f t="shared" si="130"/>
        <v>68</v>
      </c>
      <c r="BO164">
        <f t="shared" si="130"/>
        <v>69</v>
      </c>
      <c r="BP164">
        <f t="shared" si="130"/>
        <v>70</v>
      </c>
      <c r="BQ164">
        <f t="shared" si="130"/>
        <v>71</v>
      </c>
      <c r="BR164">
        <f t="shared" si="130"/>
        <v>72</v>
      </c>
      <c r="BS164">
        <f t="shared" ref="BS164:BV164" si="131">BR164+1</f>
        <v>73</v>
      </c>
      <c r="BT164">
        <f t="shared" si="131"/>
        <v>74</v>
      </c>
      <c r="BU164">
        <f t="shared" si="131"/>
        <v>75</v>
      </c>
      <c r="BV164">
        <f t="shared" si="131"/>
        <v>76</v>
      </c>
    </row>
    <row r="165" spans="2:74" x14ac:dyDescent="0.25">
      <c r="C165" s="5" t="s">
        <v>137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Last Trend</v>
      </c>
    </row>
    <row r="166" spans="2:74" x14ac:dyDescent="0.25">
      <c r="B166">
        <f>B43</f>
        <v>1</v>
      </c>
      <c r="C166" t="str" cm="1">
        <f t="array" aca="1" ref="C166" ca="1">INDIRECT(ADDRESS($B166+1,1,1,1,"Confirmed Trend"))</f>
        <v>Austria</v>
      </c>
      <c r="E166" s="18" t="e" cm="1">
        <f t="array" aca="1" ref="E166" ca="1">IF(INDIRECT(ADDRESS($B166+1,E$164,1,1,"Confirmed Trend"))=0,#N/A,INDIRECT(ADDRESS($B166+1,E$164,1,1,"Confirmed Trend")))</f>
        <v>#N/A</v>
      </c>
      <c r="F166" s="18" t="e" cm="1">
        <f t="array" aca="1" ref="F166" ca="1">IF(INDIRECT(ADDRESS($B166+1,F$164,1,1,"Confirmed Trend"))=0,#N/A,INDIRECT(ADDRESS($B166+1,F$164,1,1,"Confirmed Trend")))</f>
        <v>#N/A</v>
      </c>
      <c r="G166" s="18" t="e" cm="1">
        <f t="array" aca="1" ref="G166" ca="1">IF(INDIRECT(ADDRESS($B166+1,G$164,1,1,"Confirmed Trend"))=0,#N/A,INDIRECT(ADDRESS($B166+1,G$164,1,1,"Confirmed Trend")))</f>
        <v>#N/A</v>
      </c>
      <c r="H166" s="18" t="e" cm="1">
        <f t="array" aca="1" ref="H166" ca="1">IF(INDIRECT(ADDRESS($B166+1,H$164,1,1,"Confirmed Trend"))=0,#N/A,INDIRECT(ADDRESS($B166+1,H$164,1,1,"Confirmed Trend")))</f>
        <v>#N/A</v>
      </c>
      <c r="I166" s="18" t="e" cm="1">
        <f t="array" aca="1" ref="I166" ca="1">IF(INDIRECT(ADDRESS($B166+1,I$164,1,1,"Confirmed Trend"))=0,#N/A,INDIRECT(ADDRESS($B166+1,I$164,1,1,"Confirmed Trend")))</f>
        <v>#N/A</v>
      </c>
      <c r="J166" s="18" t="e" cm="1">
        <f t="array" aca="1" ref="J166" ca="1">IF(INDIRECT(ADDRESS($B166+1,J$164,1,1,"Confirmed Trend"))=0,#N/A,INDIRECT(ADDRESS($B166+1,J$164,1,1,"Confirmed Trend")))</f>
        <v>#N/A</v>
      </c>
      <c r="K166" s="18" t="e" cm="1">
        <f t="array" aca="1" ref="K166" ca="1">IF(INDIRECT(ADDRESS($B166+1,K$164,1,1,"Confirmed Trend"))=0,#N/A,INDIRECT(ADDRESS($B166+1,K$164,1,1,"Confirmed Trend")))</f>
        <v>#N/A</v>
      </c>
      <c r="L166" s="18" t="e" cm="1">
        <f t="array" aca="1" ref="L166" ca="1">IF(INDIRECT(ADDRESS($B166+1,L$164,1,1,"Confirmed Trend"))=0,#N/A,INDIRECT(ADDRESS($B166+1,L$164,1,1,"Confirmed Trend")))</f>
        <v>#N/A</v>
      </c>
      <c r="M166" s="18" t="e" cm="1">
        <f t="array" aca="1" ref="M166" ca="1">IF(INDIRECT(ADDRESS($B166+1,M$164,1,1,"Confirmed Trend"))=0,#N/A,INDIRECT(ADDRESS($B166+1,M$164,1,1,"Confirmed Trend")))</f>
        <v>#N/A</v>
      </c>
      <c r="N166" s="18" t="e" cm="1">
        <f t="array" aca="1" ref="N166" ca="1">IF(INDIRECT(ADDRESS($B166+1,N$164,1,1,"Confirmed Trend"))=0,#N/A,INDIRECT(ADDRESS($B166+1,N$164,1,1,"Confirmed Trend")))</f>
        <v>#N/A</v>
      </c>
      <c r="O166" s="18" t="e" cm="1">
        <f t="array" aca="1" ref="O166" ca="1">IF(INDIRECT(ADDRESS($B166+1,O$164,1,1,"Confirmed Trend"))=0,#N/A,INDIRECT(ADDRESS($B166+1,O$164,1,1,"Confirmed Trend")))</f>
        <v>#N/A</v>
      </c>
      <c r="P166" s="18" t="e" cm="1">
        <f t="array" aca="1" ref="P166" ca="1">IF(INDIRECT(ADDRESS($B166+1,P$164,1,1,"Confirmed Trend"))=0,#N/A,INDIRECT(ADDRESS($B166+1,P$164,1,1,"Confirmed Trend")))</f>
        <v>#N/A</v>
      </c>
      <c r="Q166" s="18" t="e" cm="1">
        <f t="array" aca="1" ref="Q166" ca="1">IF(INDIRECT(ADDRESS($B166+1,Q$164,1,1,"Confirmed Trend"))=0,#N/A,INDIRECT(ADDRESS($B166+1,Q$164,1,1,"Confirmed Trend")))</f>
        <v>#N/A</v>
      </c>
      <c r="R166" s="18" t="e" cm="1">
        <f t="array" aca="1" ref="R166" ca="1">IF(INDIRECT(ADDRESS($B166+1,R$164,1,1,"Confirmed Trend"))=0,#N/A,INDIRECT(ADDRESS($B166+1,R$164,1,1,"Confirmed Trend")))</f>
        <v>#N/A</v>
      </c>
      <c r="S166" s="18" t="e" cm="1">
        <f t="array" aca="1" ref="S166" ca="1">IF(INDIRECT(ADDRESS($B166+1,S$164,1,1,"Confirmed Trend"))=0,#N/A,INDIRECT(ADDRESS($B166+1,S$164,1,1,"Confirmed Trend")))</f>
        <v>#N/A</v>
      </c>
      <c r="T166" s="18" t="e" cm="1">
        <f t="array" aca="1" ref="T166" ca="1">IF(INDIRECT(ADDRESS($B166+1,T$164,1,1,"Confirmed Trend"))=0,#N/A,INDIRECT(ADDRESS($B166+1,T$164,1,1,"Confirmed Trend")))</f>
        <v>#N/A</v>
      </c>
      <c r="U166" s="18" t="e" cm="1">
        <f t="array" aca="1" ref="U166" ca="1">IF(INDIRECT(ADDRESS($B166+1,U$164,1,1,"Confirmed Trend"))=0,#N/A,INDIRECT(ADDRESS($B166+1,U$164,1,1,"Confirmed Trend")))</f>
        <v>#N/A</v>
      </c>
      <c r="V166" s="18" t="e" cm="1">
        <f t="array" aca="1" ref="V166" ca="1">IF(INDIRECT(ADDRESS($B166+1,V$164,1,1,"Confirmed Trend"))=0,#N/A,INDIRECT(ADDRESS($B166+1,V$164,1,1,"Confirmed Trend")))</f>
        <v>#N/A</v>
      </c>
      <c r="W166" s="18" t="e" cm="1">
        <f t="array" aca="1" ref="W166" ca="1">IF(INDIRECT(ADDRESS($B166+1,W$164,1,1,"Confirmed Trend"))=0,#N/A,INDIRECT(ADDRESS($B166+1,W$164,1,1,"Confirmed Trend")))</f>
        <v>#N/A</v>
      </c>
      <c r="X166" s="18" t="e" cm="1">
        <f t="array" aca="1" ref="X166" ca="1">IF(INDIRECT(ADDRESS($B166+1,X$164,1,1,"Confirmed Trend"))=0,#N/A,INDIRECT(ADDRESS($B166+1,X$164,1,1,"Confirmed Trend")))</f>
        <v>#N/A</v>
      </c>
      <c r="Y166" s="18" t="e" cm="1">
        <f t="array" aca="1" ref="Y166" ca="1">IF(INDIRECT(ADDRESS($B166+1,Y$164,1,1,"Confirmed Trend"))=0,#N/A,INDIRECT(ADDRESS($B166+1,Y$164,1,1,"Confirmed Trend")))</f>
        <v>#N/A</v>
      </c>
      <c r="Z166" s="18" t="e" cm="1">
        <f t="array" aca="1" ref="Z166" ca="1">IF(INDIRECT(ADDRESS($B166+1,Z$164,1,1,"Confirmed Trend"))=0,#N/A,INDIRECT(ADDRESS($B166+1,Z$164,1,1,"Confirmed Trend")))</f>
        <v>#N/A</v>
      </c>
      <c r="AA166" s="18" t="e" cm="1">
        <f t="array" aca="1" ref="AA166" ca="1">IF(INDIRECT(ADDRESS($B166+1,AA$164,1,1,"Confirmed Trend"))=0,#N/A,INDIRECT(ADDRESS($B166+1,AA$164,1,1,"Confirmed Trend")))</f>
        <v>#N/A</v>
      </c>
      <c r="AB166" s="18" t="e" cm="1">
        <f t="array" aca="1" ref="AB166" ca="1">IF(INDIRECT(ADDRESS($B166+1,AB$164,1,1,"Confirmed Trend"))=0,#N/A,INDIRECT(ADDRESS($B166+1,AB$164,1,1,"Confirmed Trend")))</f>
        <v>#N/A</v>
      </c>
      <c r="AC166" s="18" t="e" cm="1">
        <f t="array" aca="1" ref="AC166" ca="1">IF(INDIRECT(ADDRESS($B166+1,AC$164,1,1,"Confirmed Trend"))=0,#N/A,INDIRECT(ADDRESS($B166+1,AC$164,1,1,"Confirmed Trend")))</f>
        <v>#N/A</v>
      </c>
      <c r="AD166" s="18" t="e" cm="1">
        <f t="array" aca="1" ref="AD166" ca="1">IF(INDIRECT(ADDRESS($B166+1,AD$164,1,1,"Confirmed Trend"))=0,#N/A,INDIRECT(ADDRESS($B166+1,AD$164,1,1,"Confirmed Trend")))</f>
        <v>#N/A</v>
      </c>
      <c r="AE166" s="18" t="e" cm="1">
        <f t="array" aca="1" ref="AE166" ca="1">IF(INDIRECT(ADDRESS($B166+1,AE$164,1,1,"Confirmed Trend"))=0,#N/A,INDIRECT(ADDRESS($B166+1,AE$164,1,1,"Confirmed Trend")))</f>
        <v>#N/A</v>
      </c>
      <c r="AF166" s="18" t="e" cm="1">
        <f t="array" aca="1" ref="AF166" ca="1">IF(INDIRECT(ADDRESS($B166+1,AF$164,1,1,"Confirmed Trend"))=0,#N/A,INDIRECT(ADDRESS($B166+1,AF$164,1,1,"Confirmed Trend")))</f>
        <v>#N/A</v>
      </c>
      <c r="AG166" s="18" t="e" cm="1">
        <f t="array" aca="1" ref="AG166" ca="1">IF(INDIRECT(ADDRESS($B166+1,AG$164,1,1,"Confirmed Trend"))=0,#N/A,INDIRECT(ADDRESS($B166+1,AG$164,1,1,"Confirmed Trend")))</f>
        <v>#N/A</v>
      </c>
      <c r="AH166" s="18" t="e" cm="1">
        <f t="array" aca="1" ref="AH166" ca="1">IF(INDIRECT(ADDRESS($B166+1,AH$164,1,1,"Confirmed Trend"))=0,#N/A,INDIRECT(ADDRESS($B166+1,AH$164,1,1,"Confirmed Trend")))</f>
        <v>#N/A</v>
      </c>
      <c r="AI166" s="18" t="e" cm="1">
        <f t="array" aca="1" ref="AI166" ca="1">IF(INDIRECT(ADDRESS($B166+1,AI$164,1,1,"Confirmed Trend"))=0,#N/A,INDIRECT(ADDRESS($B166+1,AI$164,1,1,"Confirmed Trend")))</f>
        <v>#N/A</v>
      </c>
      <c r="AJ166" s="18" t="e" cm="1">
        <f t="array" aca="1" ref="AJ166" ca="1">IF(INDIRECT(ADDRESS($B166+1,AJ$164,1,1,"Confirmed Trend"))=0,#N/A,INDIRECT(ADDRESS($B166+1,AJ$164,1,1,"Confirmed Trend")))</f>
        <v>#N/A</v>
      </c>
      <c r="AK166" s="18" t="e" cm="1">
        <f t="array" aca="1" ref="AK166" ca="1">IF(INDIRECT(ADDRESS($B166+1,AK$164,1,1,"Confirmed Trend"))=0,#N/A,INDIRECT(ADDRESS($B166+1,AK$164,1,1,"Confirmed Trend")))</f>
        <v>#N/A</v>
      </c>
      <c r="AL166" s="18" t="e" cm="1">
        <f t="array" aca="1" ref="AL166" ca="1">IF(INDIRECT(ADDRESS($B166+1,AL$164,1,1,"Confirmed Trend"))=0,#N/A,INDIRECT(ADDRESS($B166+1,AL$164,1,1,"Confirmed Trend")))</f>
        <v>#N/A</v>
      </c>
      <c r="AM166" s="18" t="e" cm="1">
        <f t="array" aca="1" ref="AM166" ca="1">IF(INDIRECT(ADDRESS($B166+1,AM$164,1,1,"Confirmed Trend"))=0,#N/A,INDIRECT(ADDRESS($B166+1,AM$164,1,1,"Confirmed Trend")))</f>
        <v>#N/A</v>
      </c>
      <c r="AN166" s="18" t="e" cm="1">
        <f t="array" aca="1" ref="AN166" ca="1">IF(INDIRECT(ADDRESS($B166+1,AN$164,1,1,"Confirmed Trend"))=0,#N/A,INDIRECT(ADDRESS($B166+1,AN$164,1,1,"Confirmed Trend")))</f>
        <v>#N/A</v>
      </c>
      <c r="AO166" s="18" t="e" cm="1">
        <f t="array" aca="1" ref="AO166" ca="1">IF(INDIRECT(ADDRESS($B166+1,AO$164,1,1,"Confirmed Trend"))=0,#N/A,INDIRECT(ADDRESS($B166+1,AO$164,1,1,"Confirmed Trend")))</f>
        <v>#N/A</v>
      </c>
      <c r="AP166" s="18" t="e" cm="1">
        <f t="array" aca="1" ref="AP166" ca="1">IF(INDIRECT(ADDRESS($B166+1,AP$164,1,1,"Confirmed Trend"))=0,#N/A,INDIRECT(ADDRESS($B166+1,AP$164,1,1,"Confirmed Trend")))</f>
        <v>#N/A</v>
      </c>
      <c r="AQ166" s="18" t="e" cm="1">
        <f t="array" aca="1" ref="AQ166" ca="1">IF(INDIRECT(ADDRESS($B166+1,AQ$164,1,1,"Confirmed Trend"))=0,#N/A,INDIRECT(ADDRESS($B166+1,AQ$164,1,1,"Confirmed Trend")))</f>
        <v>#N/A</v>
      </c>
      <c r="AR166" s="18" t="e" cm="1">
        <f t="array" aca="1" ref="AR166" ca="1">IF(INDIRECT(ADDRESS($B166+1,AR$164,1,1,"Confirmed Trend"))=0,#N/A,INDIRECT(ADDRESS($B166+1,AR$164,1,1,"Confirmed Trend")))</f>
        <v>#N/A</v>
      </c>
      <c r="AS166" s="18" t="e" cm="1">
        <f t="array" aca="1" ref="AS166" ca="1">IF(INDIRECT(ADDRESS($B166+1,AS$164,1,1,"Confirmed Trend"))=0,#N/A,INDIRECT(ADDRESS($B166+1,AS$164,1,1,"Confirmed Trend")))</f>
        <v>#N/A</v>
      </c>
      <c r="AT166" s="18" t="e" cm="1">
        <f t="array" aca="1" ref="AT166" ca="1">IF(INDIRECT(ADDRESS($B166+1,AT$164,1,1,"Confirmed Trend"))=0,#N/A,INDIRECT(ADDRESS($B166+1,AT$164,1,1,"Confirmed Trend")))</f>
        <v>#N/A</v>
      </c>
      <c r="AU166" s="18" t="e" cm="1">
        <f t="array" aca="1" ref="AU166" ca="1">IF(INDIRECT(ADDRESS($B166+1,AU$164,1,1,"Confirmed Trend"))=0,#N/A,INDIRECT(ADDRESS($B166+1,AU$164,1,1,"Confirmed Trend")))</f>
        <v>#N/A</v>
      </c>
      <c r="AV166" s="18" t="e" cm="1">
        <f t="array" aca="1" ref="AV166" ca="1">IF(INDIRECT(ADDRESS($B166+1,AV$164,1,1,"Confirmed Trend"))=0,#N/A,INDIRECT(ADDRESS($B166+1,AV$164,1,1,"Confirmed Trend")))</f>
        <v>#N/A</v>
      </c>
      <c r="AW166" s="18" t="e" cm="1">
        <f t="array" aca="1" ref="AW166" ca="1">IF(INDIRECT(ADDRESS($B166+1,AW$164,1,1,"Confirmed Trend"))=0,#N/A,INDIRECT(ADDRESS($B166+1,AW$164,1,1,"Confirmed Trend")))</f>
        <v>#N/A</v>
      </c>
      <c r="AX166" s="18" cm="1">
        <f t="array" aca="1" ref="AX166" ca="1">IF(INDIRECT(ADDRESS($B166+1,AX$164,1,1,"Confirmed Trend"))=0,#N/A,INDIRECT(ADDRESS($B166+1,AX$164,1,1,"Confirmed Trend")))</f>
        <v>0.34800202549999998</v>
      </c>
      <c r="AY166" s="18" cm="1">
        <f t="array" aca="1" ref="AY166" ca="1">IF(INDIRECT(ADDRESS($B166+1,AY$164,1,1,"Confirmed Trend"))=0,#N/A,INDIRECT(ADDRESS($B166+1,AY$164,1,1,"Confirmed Trend")))</f>
        <v>0.3677823999</v>
      </c>
      <c r="AZ166" s="18" cm="1">
        <f t="array" aca="1" ref="AZ166" ca="1">IF(INDIRECT(ADDRESS($B166+1,AZ$164,1,1,"Confirmed Trend"))=0,#N/A,INDIRECT(ADDRESS($B166+1,AZ$164,1,1,"Confirmed Trend")))</f>
        <v>0.36292533300000002</v>
      </c>
      <c r="BA166" s="18" cm="1">
        <f t="array" aca="1" ref="BA166" ca="1">IF(INDIRECT(ADDRESS($B166+1,BA$164,1,1,"Confirmed Trend"))=0,#N/A,INDIRECT(ADDRESS($B166+1,BA$164,1,1,"Confirmed Trend")))</f>
        <v>0.35147031379999999</v>
      </c>
      <c r="BB166" s="18" cm="1">
        <f t="array" aca="1" ref="BB166" ca="1">IF(INDIRECT(ADDRESS($B166+1,BB$164,1,1,"Confirmed Trend"))=0,#N/A,INDIRECT(ADDRESS($B166+1,BB$164,1,1,"Confirmed Trend")))</f>
        <v>0.33688312009999999</v>
      </c>
      <c r="BC166" s="18" cm="1">
        <f t="array" aca="1" ref="BC166" ca="1">IF(INDIRECT(ADDRESS($B166+1,BC$164,1,1,"Confirmed Trend"))=0,#N/A,INDIRECT(ADDRESS($B166+1,BC$164,1,1,"Confirmed Trend")))</f>
        <v>0.32338581659999999</v>
      </c>
      <c r="BD166" s="18" cm="1">
        <f t="array" aca="1" ref="BD166" ca="1">IF(INDIRECT(ADDRESS($B166+1,BD$164,1,1,"Confirmed Trend"))=0,#N/A,INDIRECT(ADDRESS($B166+1,BD$164,1,1,"Confirmed Trend")))</f>
        <v>0.35291814960000001</v>
      </c>
      <c r="BE166" s="18" cm="1">
        <f t="array" aca="1" ref="BE166" ca="1">IF(INDIRECT(ADDRESS($B166+1,BE$164,1,1,"Confirmed Trend"))=0,#N/A,INDIRECT(ADDRESS($B166+1,BE$164,1,1,"Confirmed Trend")))</f>
        <v>0.36813369880000002</v>
      </c>
      <c r="BF166" s="18" cm="1">
        <f t="array" aca="1" ref="BF166" ca="1">IF(INDIRECT(ADDRESS($B166+1,BF$164,1,1,"Confirmed Trend"))=0,#N/A,INDIRECT(ADDRESS($B166+1,BF$164,1,1,"Confirmed Trend")))</f>
        <v>0.37857731509999998</v>
      </c>
      <c r="BG166" s="18" cm="1">
        <f t="array" aca="1" ref="BG166" ca="1">IF(INDIRECT(ADDRESS($B166+1,BG$164,1,1,"Confirmed Trend"))=0,#N/A,INDIRECT(ADDRESS($B166+1,BG$164,1,1,"Confirmed Trend")))</f>
        <v>0.36482849899999997</v>
      </c>
      <c r="BH166" s="18" cm="1">
        <f t="array" aca="1" ref="BH166" ca="1">IF(INDIRECT(ADDRESS($B166+1,BH$164,1,1,"Confirmed Trend"))=0,#N/A,INDIRECT(ADDRESS($B166+1,BH$164,1,1,"Confirmed Trend")))</f>
        <v>0.32166784199999998</v>
      </c>
      <c r="BI166" s="18" cm="1">
        <f t="array" aca="1" ref="BI166" ca="1">IF(INDIRECT(ADDRESS($B166+1,BI$164,1,1,"Confirmed Trend"))=0,#N/A,INDIRECT(ADDRESS($B166+1,BI$164,1,1,"Confirmed Trend")))</f>
        <v>0.28600843129999998</v>
      </c>
      <c r="BJ166" s="18" cm="1">
        <f t="array" aca="1" ref="BJ166" ca="1">IF(INDIRECT(ADDRESS($B166+1,BJ$164,1,1,"Confirmed Trend"))=0,#N/A,INDIRECT(ADDRESS($B166+1,BJ$164,1,1,"Confirmed Trend")))</f>
        <v>0.25389974119999997</v>
      </c>
      <c r="BK166" s="18" cm="1">
        <f t="array" aca="1" ref="BK166" ca="1">IF(INDIRECT(ADDRESS($B166+1,BK$164,1,1,"Confirmed Trend"))=0,#N/A,INDIRECT(ADDRESS($B166+1,BK$164,1,1,"Confirmed Trend")))</f>
        <v>0.2430144997</v>
      </c>
      <c r="BL166" s="18" cm="1">
        <f t="array" aca="1" ref="BL166" ca="1">IF(INDIRECT(ADDRESS($B166+1,BL$164,1,1,"Confirmed Trend"))=0,#N/A,INDIRECT(ADDRESS($B166+1,BL$164,1,1,"Confirmed Trend")))</f>
        <v>0.22442679709999999</v>
      </c>
      <c r="BM166" s="18" cm="1">
        <f t="array" aca="1" ref="BM166" ca="1">IF(INDIRECT(ADDRESS($B166+1,BM$164,1,1,"Confirmed Trend"))=0,#N/A,INDIRECT(ADDRESS($B166+1,BM$164,1,1,"Confirmed Trend")))</f>
        <v>0.21763384720000001</v>
      </c>
      <c r="BN166" s="18" cm="1">
        <f t="array" aca="1" ref="BN166" ca="1">IF(INDIRECT(ADDRESS($B166+1,BN$164,1,1,"Confirmed Trend"))=0,#N/A,INDIRECT(ADDRESS($B166+1,BN$164,1,1,"Confirmed Trend")))</f>
        <v>0.21481597290000001</v>
      </c>
      <c r="BO166" s="18" cm="1">
        <f t="array" aca="1" ref="BO166" ca="1">IF(INDIRECT(ADDRESS($B166+1,BO$164,1,1,"Confirmed Trend"))=0,#N/A,INDIRECT(ADDRESS($B166+1,BO$164,1,1,"Confirmed Trend")))</f>
        <v>0.2186972355</v>
      </c>
      <c r="BP166" s="18" cm="1">
        <f t="array" aca="1" ref="BP166" ca="1">IF(INDIRECT(ADDRESS($B166+1,BP$164,1,1,"Confirmed Trend"))=0,#N/A,INDIRECT(ADDRESS($B166+1,BP$164,1,1,"Confirmed Trend")))</f>
        <v>0.20762651330000001</v>
      </c>
      <c r="BQ166" s="18" cm="1">
        <f t="array" aca="1" ref="BQ166" ca="1">IF(INDIRECT(ADDRESS($B166+1,BQ$164,1,1,"Confirmed Trend"))=0,#N/A,INDIRECT(ADDRESS($B166+1,BQ$164,1,1,"Confirmed Trend")))</f>
        <v>0.19277865129999999</v>
      </c>
      <c r="BR166" s="18" cm="1">
        <f t="array" aca="1" ref="BR166" ca="1">IF(INDIRECT(ADDRESS($B166+1,BR$164,1,1,"Confirmed Trend"))=0,#N/A,INDIRECT(ADDRESS($B166+1,BR$164,1,1,"Confirmed Trend")))</f>
        <v>0.16689808610000001</v>
      </c>
      <c r="BS166" s="18" cm="1">
        <f t="array" aca="1" ref="BS166" ca="1">IF(INDIRECT(ADDRESS($B166+1,BS$164,1,1,"Confirmed Trend"))=0,#N/A,INDIRECT(ADDRESS($B166+1,BS$164,1,1,"Confirmed Trend")))</f>
        <v>0.1438759916</v>
      </c>
      <c r="BT166" s="18" cm="1">
        <f t="array" aca="1" ref="BT166" ca="1">IF(INDIRECT(ADDRESS($B166+1,BT$164,1,1,"Confirmed Trend"))=0,#N/A,INDIRECT(ADDRESS($B166+1,BT$164,1,1,"Confirmed Trend")))</f>
        <v>0.12655609979999999</v>
      </c>
      <c r="BU166" s="18" cm="1">
        <f t="array" aca="1" ref="BU166" ca="1">IF(INDIRECT(ADDRESS($B166+1,BU$164,1,1,"Confirmed Trend"))=0,#N/A,INDIRECT(ADDRESS($B166+1,BU$164,1,1,"Confirmed Trend")))</f>
        <v>0.1067545295</v>
      </c>
      <c r="BV166" s="18" cm="1">
        <f t="array" aca="1" ref="BV166" ca="1">IF(INDIRECT(ADDRESS($B166+1,BV$164,1,1,"Confirmed Trend"))=0,#N/A,INDIRECT(ADDRESS($B166+1,BV$164,1,1,"Confirmed Trend")))</f>
        <v>9.4446973099999998E-2</v>
      </c>
    </row>
    <row r="167" spans="2:74" x14ac:dyDescent="0.25">
      <c r="B167">
        <f t="shared" ref="B167:B225" si="132">B44</f>
        <v>2</v>
      </c>
      <c r="C167" t="str" cm="1">
        <f t="array" aca="1" ref="C167" ca="1">INDIRECT(ADDRESS($B167+1,1,1,1,"Confirmed Trend"))</f>
        <v>Belgium</v>
      </c>
      <c r="E167" s="18" t="e" cm="1">
        <f t="array" aca="1" ref="E167" ca="1">IF(INDIRECT(ADDRESS($B167+1,E$164,1,1,"Confirmed Trend"))=0,#N/A,INDIRECT(ADDRESS($B167+1,E$164,1,1,"Confirmed Trend")))</f>
        <v>#N/A</v>
      </c>
      <c r="F167" s="18" t="e" cm="1">
        <f t="array" aca="1" ref="F167" ca="1">IF(INDIRECT(ADDRESS($B167+1,F$164,1,1,"Confirmed Trend"))=0,#N/A,INDIRECT(ADDRESS($B167+1,F$164,1,1,"Confirmed Trend")))</f>
        <v>#N/A</v>
      </c>
      <c r="G167" s="18" t="e" cm="1">
        <f t="array" aca="1" ref="G167" ca="1">IF(INDIRECT(ADDRESS($B167+1,G$164,1,1,"Confirmed Trend"))=0,#N/A,INDIRECT(ADDRESS($B167+1,G$164,1,1,"Confirmed Trend")))</f>
        <v>#N/A</v>
      </c>
      <c r="H167" s="18" t="e" cm="1">
        <f t="array" aca="1" ref="H167" ca="1">IF(INDIRECT(ADDRESS($B167+1,H$164,1,1,"Confirmed Trend"))=0,#N/A,INDIRECT(ADDRESS($B167+1,H$164,1,1,"Confirmed Trend")))</f>
        <v>#N/A</v>
      </c>
      <c r="I167" s="18" t="e" cm="1">
        <f t="array" aca="1" ref="I167" ca="1">IF(INDIRECT(ADDRESS($B167+1,I$164,1,1,"Confirmed Trend"))=0,#N/A,INDIRECT(ADDRESS($B167+1,I$164,1,1,"Confirmed Trend")))</f>
        <v>#N/A</v>
      </c>
      <c r="J167" s="18" t="e" cm="1">
        <f t="array" aca="1" ref="J167" ca="1">IF(INDIRECT(ADDRESS($B167+1,J$164,1,1,"Confirmed Trend"))=0,#N/A,INDIRECT(ADDRESS($B167+1,J$164,1,1,"Confirmed Trend")))</f>
        <v>#N/A</v>
      </c>
      <c r="K167" s="18" t="e" cm="1">
        <f t="array" aca="1" ref="K167" ca="1">IF(INDIRECT(ADDRESS($B167+1,K$164,1,1,"Confirmed Trend"))=0,#N/A,INDIRECT(ADDRESS($B167+1,K$164,1,1,"Confirmed Trend")))</f>
        <v>#N/A</v>
      </c>
      <c r="L167" s="18" t="e" cm="1">
        <f t="array" aca="1" ref="L167" ca="1">IF(INDIRECT(ADDRESS($B167+1,L$164,1,1,"Confirmed Trend"))=0,#N/A,INDIRECT(ADDRESS($B167+1,L$164,1,1,"Confirmed Trend")))</f>
        <v>#N/A</v>
      </c>
      <c r="M167" s="18" t="e" cm="1">
        <f t="array" aca="1" ref="M167" ca="1">IF(INDIRECT(ADDRESS($B167+1,M$164,1,1,"Confirmed Trend"))=0,#N/A,INDIRECT(ADDRESS($B167+1,M$164,1,1,"Confirmed Trend")))</f>
        <v>#N/A</v>
      </c>
      <c r="N167" s="18" t="e" cm="1">
        <f t="array" aca="1" ref="N167" ca="1">IF(INDIRECT(ADDRESS($B167+1,N$164,1,1,"Confirmed Trend"))=0,#N/A,INDIRECT(ADDRESS($B167+1,N$164,1,1,"Confirmed Trend")))</f>
        <v>#N/A</v>
      </c>
      <c r="O167" s="18" t="e" cm="1">
        <f t="array" aca="1" ref="O167" ca="1">IF(INDIRECT(ADDRESS($B167+1,O$164,1,1,"Confirmed Trend"))=0,#N/A,INDIRECT(ADDRESS($B167+1,O$164,1,1,"Confirmed Trend")))</f>
        <v>#N/A</v>
      </c>
      <c r="P167" s="18" t="e" cm="1">
        <f t="array" aca="1" ref="P167" ca="1">IF(INDIRECT(ADDRESS($B167+1,P$164,1,1,"Confirmed Trend"))=0,#N/A,INDIRECT(ADDRESS($B167+1,P$164,1,1,"Confirmed Trend")))</f>
        <v>#N/A</v>
      </c>
      <c r="Q167" s="18" t="e" cm="1">
        <f t="array" aca="1" ref="Q167" ca="1">IF(INDIRECT(ADDRESS($B167+1,Q$164,1,1,"Confirmed Trend"))=0,#N/A,INDIRECT(ADDRESS($B167+1,Q$164,1,1,"Confirmed Trend")))</f>
        <v>#N/A</v>
      </c>
      <c r="R167" s="18" t="e" cm="1">
        <f t="array" aca="1" ref="R167" ca="1">IF(INDIRECT(ADDRESS($B167+1,R$164,1,1,"Confirmed Trend"))=0,#N/A,INDIRECT(ADDRESS($B167+1,R$164,1,1,"Confirmed Trend")))</f>
        <v>#N/A</v>
      </c>
      <c r="S167" s="18" t="e" cm="1">
        <f t="array" aca="1" ref="S167" ca="1">IF(INDIRECT(ADDRESS($B167+1,S$164,1,1,"Confirmed Trend"))=0,#N/A,INDIRECT(ADDRESS($B167+1,S$164,1,1,"Confirmed Trend")))</f>
        <v>#N/A</v>
      </c>
      <c r="T167" s="18" t="e" cm="1">
        <f t="array" aca="1" ref="T167" ca="1">IF(INDIRECT(ADDRESS($B167+1,T$164,1,1,"Confirmed Trend"))=0,#N/A,INDIRECT(ADDRESS($B167+1,T$164,1,1,"Confirmed Trend")))</f>
        <v>#N/A</v>
      </c>
      <c r="U167" s="18" t="e" cm="1">
        <f t="array" aca="1" ref="U167" ca="1">IF(INDIRECT(ADDRESS($B167+1,U$164,1,1,"Confirmed Trend"))=0,#N/A,INDIRECT(ADDRESS($B167+1,U$164,1,1,"Confirmed Trend")))</f>
        <v>#N/A</v>
      </c>
      <c r="V167" s="18" t="e" cm="1">
        <f t="array" aca="1" ref="V167" ca="1">IF(INDIRECT(ADDRESS($B167+1,V$164,1,1,"Confirmed Trend"))=0,#N/A,INDIRECT(ADDRESS($B167+1,V$164,1,1,"Confirmed Trend")))</f>
        <v>#N/A</v>
      </c>
      <c r="W167" s="18" t="e" cm="1">
        <f t="array" aca="1" ref="W167" ca="1">IF(INDIRECT(ADDRESS($B167+1,W$164,1,1,"Confirmed Trend"))=0,#N/A,INDIRECT(ADDRESS($B167+1,W$164,1,1,"Confirmed Trend")))</f>
        <v>#N/A</v>
      </c>
      <c r="X167" s="18" t="e" cm="1">
        <f t="array" aca="1" ref="X167" ca="1">IF(INDIRECT(ADDRESS($B167+1,X$164,1,1,"Confirmed Trend"))=0,#N/A,INDIRECT(ADDRESS($B167+1,X$164,1,1,"Confirmed Trend")))</f>
        <v>#N/A</v>
      </c>
      <c r="Y167" s="18" t="e" cm="1">
        <f t="array" aca="1" ref="Y167" ca="1">IF(INDIRECT(ADDRESS($B167+1,Y$164,1,1,"Confirmed Trend"))=0,#N/A,INDIRECT(ADDRESS($B167+1,Y$164,1,1,"Confirmed Trend")))</f>
        <v>#N/A</v>
      </c>
      <c r="Z167" s="18" t="e" cm="1">
        <f t="array" aca="1" ref="Z167" ca="1">IF(INDIRECT(ADDRESS($B167+1,Z$164,1,1,"Confirmed Trend"))=0,#N/A,INDIRECT(ADDRESS($B167+1,Z$164,1,1,"Confirmed Trend")))</f>
        <v>#N/A</v>
      </c>
      <c r="AA167" s="18" t="e" cm="1">
        <f t="array" aca="1" ref="AA167" ca="1">IF(INDIRECT(ADDRESS($B167+1,AA$164,1,1,"Confirmed Trend"))=0,#N/A,INDIRECT(ADDRESS($B167+1,AA$164,1,1,"Confirmed Trend")))</f>
        <v>#N/A</v>
      </c>
      <c r="AB167" s="18" t="e" cm="1">
        <f t="array" aca="1" ref="AB167" ca="1">IF(INDIRECT(ADDRESS($B167+1,AB$164,1,1,"Confirmed Trend"))=0,#N/A,INDIRECT(ADDRESS($B167+1,AB$164,1,1,"Confirmed Trend")))</f>
        <v>#N/A</v>
      </c>
      <c r="AC167" s="18" t="e" cm="1">
        <f t="array" aca="1" ref="AC167" ca="1">IF(INDIRECT(ADDRESS($B167+1,AC$164,1,1,"Confirmed Trend"))=0,#N/A,INDIRECT(ADDRESS($B167+1,AC$164,1,1,"Confirmed Trend")))</f>
        <v>#N/A</v>
      </c>
      <c r="AD167" s="18" t="e" cm="1">
        <f t="array" aca="1" ref="AD167" ca="1">IF(INDIRECT(ADDRESS($B167+1,AD$164,1,1,"Confirmed Trend"))=0,#N/A,INDIRECT(ADDRESS($B167+1,AD$164,1,1,"Confirmed Trend")))</f>
        <v>#N/A</v>
      </c>
      <c r="AE167" s="18" t="e" cm="1">
        <f t="array" aca="1" ref="AE167" ca="1">IF(INDIRECT(ADDRESS($B167+1,AE$164,1,1,"Confirmed Trend"))=0,#N/A,INDIRECT(ADDRESS($B167+1,AE$164,1,1,"Confirmed Trend")))</f>
        <v>#N/A</v>
      </c>
      <c r="AF167" s="18" t="e" cm="1">
        <f t="array" aca="1" ref="AF167" ca="1">IF(INDIRECT(ADDRESS($B167+1,AF$164,1,1,"Confirmed Trend"))=0,#N/A,INDIRECT(ADDRESS($B167+1,AF$164,1,1,"Confirmed Trend")))</f>
        <v>#N/A</v>
      </c>
      <c r="AG167" s="18" t="e" cm="1">
        <f t="array" aca="1" ref="AG167" ca="1">IF(INDIRECT(ADDRESS($B167+1,AG$164,1,1,"Confirmed Trend"))=0,#N/A,INDIRECT(ADDRESS($B167+1,AG$164,1,1,"Confirmed Trend")))</f>
        <v>#N/A</v>
      </c>
      <c r="AH167" s="18" t="e" cm="1">
        <f t="array" aca="1" ref="AH167" ca="1">IF(INDIRECT(ADDRESS($B167+1,AH$164,1,1,"Confirmed Trend"))=0,#N/A,INDIRECT(ADDRESS($B167+1,AH$164,1,1,"Confirmed Trend")))</f>
        <v>#N/A</v>
      </c>
      <c r="AI167" s="18" t="e" cm="1">
        <f t="array" aca="1" ref="AI167" ca="1">IF(INDIRECT(ADDRESS($B167+1,AI$164,1,1,"Confirmed Trend"))=0,#N/A,INDIRECT(ADDRESS($B167+1,AI$164,1,1,"Confirmed Trend")))</f>
        <v>#N/A</v>
      </c>
      <c r="AJ167" s="18" t="e" cm="1">
        <f t="array" aca="1" ref="AJ167" ca="1">IF(INDIRECT(ADDRESS($B167+1,AJ$164,1,1,"Confirmed Trend"))=0,#N/A,INDIRECT(ADDRESS($B167+1,AJ$164,1,1,"Confirmed Trend")))</f>
        <v>#N/A</v>
      </c>
      <c r="AK167" s="18" t="e" cm="1">
        <f t="array" aca="1" ref="AK167" ca="1">IF(INDIRECT(ADDRESS($B167+1,AK$164,1,1,"Confirmed Trend"))=0,#N/A,INDIRECT(ADDRESS($B167+1,AK$164,1,1,"Confirmed Trend")))</f>
        <v>#N/A</v>
      </c>
      <c r="AL167" s="18" t="e" cm="1">
        <f t="array" aca="1" ref="AL167" ca="1">IF(INDIRECT(ADDRESS($B167+1,AL$164,1,1,"Confirmed Trend"))=0,#N/A,INDIRECT(ADDRESS($B167+1,AL$164,1,1,"Confirmed Trend")))</f>
        <v>#N/A</v>
      </c>
      <c r="AM167" s="18" t="e" cm="1">
        <f t="array" aca="1" ref="AM167" ca="1">IF(INDIRECT(ADDRESS($B167+1,AM$164,1,1,"Confirmed Trend"))=0,#N/A,INDIRECT(ADDRESS($B167+1,AM$164,1,1,"Confirmed Trend")))</f>
        <v>#N/A</v>
      </c>
      <c r="AN167" s="18" t="e" cm="1">
        <f t="array" aca="1" ref="AN167" ca="1">IF(INDIRECT(ADDRESS($B167+1,AN$164,1,1,"Confirmed Trend"))=0,#N/A,INDIRECT(ADDRESS($B167+1,AN$164,1,1,"Confirmed Trend")))</f>
        <v>#N/A</v>
      </c>
      <c r="AO167" s="18" t="e" cm="1">
        <f t="array" aca="1" ref="AO167" ca="1">IF(INDIRECT(ADDRESS($B167+1,AO$164,1,1,"Confirmed Trend"))=0,#N/A,INDIRECT(ADDRESS($B167+1,AO$164,1,1,"Confirmed Trend")))</f>
        <v>#N/A</v>
      </c>
      <c r="AP167" s="18" t="e" cm="1">
        <f t="array" aca="1" ref="AP167" ca="1">IF(INDIRECT(ADDRESS($B167+1,AP$164,1,1,"Confirmed Trend"))=0,#N/A,INDIRECT(ADDRESS($B167+1,AP$164,1,1,"Confirmed Trend")))</f>
        <v>#N/A</v>
      </c>
      <c r="AQ167" s="18" t="e" cm="1">
        <f t="array" aca="1" ref="AQ167" ca="1">IF(INDIRECT(ADDRESS($B167+1,AQ$164,1,1,"Confirmed Trend"))=0,#N/A,INDIRECT(ADDRESS($B167+1,AQ$164,1,1,"Confirmed Trend")))</f>
        <v>#N/A</v>
      </c>
      <c r="AR167" s="18" t="e" cm="1">
        <f t="array" aca="1" ref="AR167" ca="1">IF(INDIRECT(ADDRESS($B167+1,AR$164,1,1,"Confirmed Trend"))=0,#N/A,INDIRECT(ADDRESS($B167+1,AR$164,1,1,"Confirmed Trend")))</f>
        <v>#N/A</v>
      </c>
      <c r="AS167" s="18" t="e" cm="1">
        <f t="array" aca="1" ref="AS167" ca="1">IF(INDIRECT(ADDRESS($B167+1,AS$164,1,1,"Confirmed Trend"))=0,#N/A,INDIRECT(ADDRESS($B167+1,AS$164,1,1,"Confirmed Trend")))</f>
        <v>#N/A</v>
      </c>
      <c r="AT167" s="18" t="e" cm="1">
        <f t="array" aca="1" ref="AT167" ca="1">IF(INDIRECT(ADDRESS($B167+1,AT$164,1,1,"Confirmed Trend"))=0,#N/A,INDIRECT(ADDRESS($B167+1,AT$164,1,1,"Confirmed Trend")))</f>
        <v>#N/A</v>
      </c>
      <c r="AU167" s="18" t="e" cm="1">
        <f t="array" aca="1" ref="AU167" ca="1">IF(INDIRECT(ADDRESS($B167+1,AU$164,1,1,"Confirmed Trend"))=0,#N/A,INDIRECT(ADDRESS($B167+1,AU$164,1,1,"Confirmed Trend")))</f>
        <v>#N/A</v>
      </c>
      <c r="AV167" s="18" t="e" cm="1">
        <f t="array" aca="1" ref="AV167" ca="1">IF(INDIRECT(ADDRESS($B167+1,AV$164,1,1,"Confirmed Trend"))=0,#N/A,INDIRECT(ADDRESS($B167+1,AV$164,1,1,"Confirmed Trend")))</f>
        <v>#N/A</v>
      </c>
      <c r="AW167" s="18" t="e" cm="1">
        <f t="array" aca="1" ref="AW167" ca="1">IF(INDIRECT(ADDRESS($B167+1,AW$164,1,1,"Confirmed Trend"))=0,#N/A,INDIRECT(ADDRESS($B167+1,AW$164,1,1,"Confirmed Trend")))</f>
        <v>#N/A</v>
      </c>
      <c r="AX167" s="18" t="e" cm="1">
        <f t="array" aca="1" ref="AX167" ca="1">IF(INDIRECT(ADDRESS($B167+1,AX$164,1,1,"Confirmed Trend"))=0,#N/A,INDIRECT(ADDRESS($B167+1,AX$164,1,1,"Confirmed Trend")))</f>
        <v>#N/A</v>
      </c>
      <c r="AY167" s="18" t="e" cm="1">
        <f t="array" aca="1" ref="AY167" ca="1">IF(INDIRECT(ADDRESS($B167+1,AY$164,1,1,"Confirmed Trend"))=0,#N/A,INDIRECT(ADDRESS($B167+1,AY$164,1,1,"Confirmed Trend")))</f>
        <v>#N/A</v>
      </c>
      <c r="AZ167" s="18" cm="1">
        <f t="array" aca="1" ref="AZ167" ca="1">IF(INDIRECT(ADDRESS($B167+1,AZ$164,1,1,"Confirmed Trend"))=0,#N/A,INDIRECT(ADDRESS($B167+1,AZ$164,1,1,"Confirmed Trend")))</f>
        <v>0.63061443279999996</v>
      </c>
      <c r="BA167" s="18" cm="1">
        <f t="array" aca="1" ref="BA167" ca="1">IF(INDIRECT(ADDRESS($B167+1,BA$164,1,1,"Confirmed Trend"))=0,#N/A,INDIRECT(ADDRESS($B167+1,BA$164,1,1,"Confirmed Trend")))</f>
        <v>0.40340599780000003</v>
      </c>
      <c r="BB167" s="18" cm="1">
        <f t="array" aca="1" ref="BB167" ca="1">IF(INDIRECT(ADDRESS($B167+1,BB$164,1,1,"Confirmed Trend"))=0,#N/A,INDIRECT(ADDRESS($B167+1,BB$164,1,1,"Confirmed Trend")))</f>
        <v>0.25743342969999999</v>
      </c>
      <c r="BC167" s="18" cm="1">
        <f t="array" aca="1" ref="BC167" ca="1">IF(INDIRECT(ADDRESS($B167+1,BC$164,1,1,"Confirmed Trend"))=0,#N/A,INDIRECT(ADDRESS($B167+1,BC$164,1,1,"Confirmed Trend")))</f>
        <v>0.1697654358</v>
      </c>
      <c r="BD167" s="18" cm="1">
        <f t="array" aca="1" ref="BD167" ca="1">IF(INDIRECT(ADDRESS($B167+1,BD$164,1,1,"Confirmed Trend"))=0,#N/A,INDIRECT(ADDRESS($B167+1,BD$164,1,1,"Confirmed Trend")))</f>
        <v>0.1820525519</v>
      </c>
      <c r="BE167" s="18" cm="1">
        <f t="array" aca="1" ref="BE167" ca="1">IF(INDIRECT(ADDRESS($B167+1,BE$164,1,1,"Confirmed Trend"))=0,#N/A,INDIRECT(ADDRESS($B167+1,BE$164,1,1,"Confirmed Trend")))</f>
        <v>0.2196046797</v>
      </c>
      <c r="BF167" s="18" cm="1">
        <f t="array" aca="1" ref="BF167" ca="1">IF(INDIRECT(ADDRESS($B167+1,BF$164,1,1,"Confirmed Trend"))=0,#N/A,INDIRECT(ADDRESS($B167+1,BF$164,1,1,"Confirmed Trend")))</f>
        <v>0.2701211288</v>
      </c>
      <c r="BG167" s="18" cm="1">
        <f t="array" aca="1" ref="BG167" ca="1">IF(INDIRECT(ADDRESS($B167+1,BG$164,1,1,"Confirmed Trend"))=0,#N/A,INDIRECT(ADDRESS($B167+1,BG$164,1,1,"Confirmed Trend")))</f>
        <v>0.30965515259999998</v>
      </c>
      <c r="BH167" s="18" cm="1">
        <f t="array" aca="1" ref="BH167" ca="1">IF(INDIRECT(ADDRESS($B167+1,BH$164,1,1,"Confirmed Trend"))=0,#N/A,INDIRECT(ADDRESS($B167+1,BH$164,1,1,"Confirmed Trend")))</f>
        <v>0.2800673964</v>
      </c>
      <c r="BI167" s="18" cm="1">
        <f t="array" aca="1" ref="BI167" ca="1">IF(INDIRECT(ADDRESS($B167+1,BI$164,1,1,"Confirmed Trend"))=0,#N/A,INDIRECT(ADDRESS($B167+1,BI$164,1,1,"Confirmed Trend")))</f>
        <v>0.24782467380000001</v>
      </c>
      <c r="BJ167" s="18" cm="1">
        <f t="array" aca="1" ref="BJ167" ca="1">IF(INDIRECT(ADDRESS($B167+1,BJ$164,1,1,"Confirmed Trend"))=0,#N/A,INDIRECT(ADDRESS($B167+1,BJ$164,1,1,"Confirmed Trend")))</f>
        <v>0.20665202290000001</v>
      </c>
      <c r="BK167" s="18" cm="1">
        <f t="array" aca="1" ref="BK167" ca="1">IF(INDIRECT(ADDRESS($B167+1,BK$164,1,1,"Confirmed Trend"))=0,#N/A,INDIRECT(ADDRESS($B167+1,BK$164,1,1,"Confirmed Trend")))</f>
        <v>0.20427459049999999</v>
      </c>
      <c r="BL167" s="18" cm="1">
        <f t="array" aca="1" ref="BL167" ca="1">IF(INDIRECT(ADDRESS($B167+1,BL$164,1,1,"Confirmed Trend"))=0,#N/A,INDIRECT(ADDRESS($B167+1,BL$164,1,1,"Confirmed Trend")))</f>
        <v>0.2115636809</v>
      </c>
      <c r="BM167" s="18" cm="1">
        <f t="array" aca="1" ref="BM167" ca="1">IF(INDIRECT(ADDRESS($B167+1,BM$164,1,1,"Confirmed Trend"))=0,#N/A,INDIRECT(ADDRESS($B167+1,BM$164,1,1,"Confirmed Trend")))</f>
        <v>0.22302539630000001</v>
      </c>
      <c r="BN167" s="18" cm="1">
        <f t="array" aca="1" ref="BN167" ca="1">IF(INDIRECT(ADDRESS($B167+1,BN$164,1,1,"Confirmed Trend"))=0,#N/A,INDIRECT(ADDRESS($B167+1,BN$164,1,1,"Confirmed Trend")))</f>
        <v>0.2180729085</v>
      </c>
      <c r="BO167" s="18" cm="1">
        <f t="array" aca="1" ref="BO167" ca="1">IF(INDIRECT(ADDRESS($B167+1,BO$164,1,1,"Confirmed Trend"))=0,#N/A,INDIRECT(ADDRESS($B167+1,BO$164,1,1,"Confirmed Trend")))</f>
        <v>0.19815144670000001</v>
      </c>
      <c r="BP167" s="18" cm="1">
        <f t="array" aca="1" ref="BP167" ca="1">IF(INDIRECT(ADDRESS($B167+1,BP$164,1,1,"Confirmed Trend"))=0,#N/A,INDIRECT(ADDRESS($B167+1,BP$164,1,1,"Confirmed Trend")))</f>
        <v>0.1718372413</v>
      </c>
      <c r="BQ167" s="18" cm="1">
        <f t="array" aca="1" ref="BQ167" ca="1">IF(INDIRECT(ADDRESS($B167+1,BQ$164,1,1,"Confirmed Trend"))=0,#N/A,INDIRECT(ADDRESS($B167+1,BQ$164,1,1,"Confirmed Trend")))</f>
        <v>0.1618753933</v>
      </c>
      <c r="BR167" s="18" cm="1">
        <f t="array" aca="1" ref="BR167" ca="1">IF(INDIRECT(ADDRESS($B167+1,BR$164,1,1,"Confirmed Trend"))=0,#N/A,INDIRECT(ADDRESS($B167+1,BR$164,1,1,"Confirmed Trend")))</f>
        <v>0.16675712670000001</v>
      </c>
      <c r="BS167" s="18" cm="1">
        <f t="array" aca="1" ref="BS167" ca="1">IF(INDIRECT(ADDRESS($B167+1,BS$164,1,1,"Confirmed Trend"))=0,#N/A,INDIRECT(ADDRESS($B167+1,BS$164,1,1,"Confirmed Trend")))</f>
        <v>0.18694740949999999</v>
      </c>
      <c r="BT167" s="18" cm="1">
        <f t="array" aca="1" ref="BT167" ca="1">IF(INDIRECT(ADDRESS($B167+1,BT$164,1,1,"Confirmed Trend"))=0,#N/A,INDIRECT(ADDRESS($B167+1,BT$164,1,1,"Confirmed Trend")))</f>
        <v>0.20447698280000001</v>
      </c>
      <c r="BU167" s="18" cm="1">
        <f t="array" aca="1" ref="BU167" ca="1">IF(INDIRECT(ADDRESS($B167+1,BU$164,1,1,"Confirmed Trend"))=0,#N/A,INDIRECT(ADDRESS($B167+1,BU$164,1,1,"Confirmed Trend")))</f>
        <v>0.19859718479999999</v>
      </c>
      <c r="BV167" s="18" cm="1">
        <f t="array" aca="1" ref="BV167" ca="1">IF(INDIRECT(ADDRESS($B167+1,BV$164,1,1,"Confirmed Trend"))=0,#N/A,INDIRECT(ADDRESS($B167+1,BV$164,1,1,"Confirmed Trend")))</f>
        <v>9.8098929500000001E-2</v>
      </c>
    </row>
    <row r="168" spans="2:74" x14ac:dyDescent="0.25">
      <c r="B168">
        <f t="shared" si="132"/>
        <v>3</v>
      </c>
      <c r="C168" t="str" cm="1">
        <f t="array" aca="1" ref="C168" ca="1">INDIRECT(ADDRESS($B168+1,1,1,1,"Confirmed Trend"))</f>
        <v>Canada</v>
      </c>
      <c r="E168" s="18" t="e" cm="1">
        <f t="array" aca="1" ref="E168" ca="1">IF(INDIRECT(ADDRESS($B168+1,E$164,1,1,"Confirmed Trend"))=0,#N/A,INDIRECT(ADDRESS($B168+1,E$164,1,1,"Confirmed Trend")))</f>
        <v>#N/A</v>
      </c>
      <c r="F168" s="18" t="e" cm="1">
        <f t="array" aca="1" ref="F168" ca="1">IF(INDIRECT(ADDRESS($B168+1,F$164,1,1,"Confirmed Trend"))=0,#N/A,INDIRECT(ADDRESS($B168+1,F$164,1,1,"Confirmed Trend")))</f>
        <v>#N/A</v>
      </c>
      <c r="G168" s="18" t="e" cm="1">
        <f t="array" aca="1" ref="G168" ca="1">IF(INDIRECT(ADDRESS($B168+1,G$164,1,1,"Confirmed Trend"))=0,#N/A,INDIRECT(ADDRESS($B168+1,G$164,1,1,"Confirmed Trend")))</f>
        <v>#N/A</v>
      </c>
      <c r="H168" s="18" t="e" cm="1">
        <f t="array" aca="1" ref="H168" ca="1">IF(INDIRECT(ADDRESS($B168+1,H$164,1,1,"Confirmed Trend"))=0,#N/A,INDIRECT(ADDRESS($B168+1,H$164,1,1,"Confirmed Trend")))</f>
        <v>#N/A</v>
      </c>
      <c r="I168" s="18" t="e" cm="1">
        <f t="array" aca="1" ref="I168" ca="1">IF(INDIRECT(ADDRESS($B168+1,I$164,1,1,"Confirmed Trend"))=0,#N/A,INDIRECT(ADDRESS($B168+1,I$164,1,1,"Confirmed Trend")))</f>
        <v>#N/A</v>
      </c>
      <c r="J168" s="18" t="e" cm="1">
        <f t="array" aca="1" ref="J168" ca="1">IF(INDIRECT(ADDRESS($B168+1,J$164,1,1,"Confirmed Trend"))=0,#N/A,INDIRECT(ADDRESS($B168+1,J$164,1,1,"Confirmed Trend")))</f>
        <v>#N/A</v>
      </c>
      <c r="K168" s="18" t="e" cm="1">
        <f t="array" aca="1" ref="K168" ca="1">IF(INDIRECT(ADDRESS($B168+1,K$164,1,1,"Confirmed Trend"))=0,#N/A,INDIRECT(ADDRESS($B168+1,K$164,1,1,"Confirmed Trend")))</f>
        <v>#N/A</v>
      </c>
      <c r="L168" s="18" t="e" cm="1">
        <f t="array" aca="1" ref="L168" ca="1">IF(INDIRECT(ADDRESS($B168+1,L$164,1,1,"Confirmed Trend"))=0,#N/A,INDIRECT(ADDRESS($B168+1,L$164,1,1,"Confirmed Trend")))</f>
        <v>#N/A</v>
      </c>
      <c r="M168" s="18" t="e" cm="1">
        <f t="array" aca="1" ref="M168" ca="1">IF(INDIRECT(ADDRESS($B168+1,M$164,1,1,"Confirmed Trend"))=0,#N/A,INDIRECT(ADDRESS($B168+1,M$164,1,1,"Confirmed Trend")))</f>
        <v>#N/A</v>
      </c>
      <c r="N168" s="18" t="e" cm="1">
        <f t="array" aca="1" ref="N168" ca="1">IF(INDIRECT(ADDRESS($B168+1,N$164,1,1,"Confirmed Trend"))=0,#N/A,INDIRECT(ADDRESS($B168+1,N$164,1,1,"Confirmed Trend")))</f>
        <v>#N/A</v>
      </c>
      <c r="O168" s="18" t="e" cm="1">
        <f t="array" aca="1" ref="O168" ca="1">IF(INDIRECT(ADDRESS($B168+1,O$164,1,1,"Confirmed Trend"))=0,#N/A,INDIRECT(ADDRESS($B168+1,O$164,1,1,"Confirmed Trend")))</f>
        <v>#N/A</v>
      </c>
      <c r="P168" s="18" t="e" cm="1">
        <f t="array" aca="1" ref="P168" ca="1">IF(INDIRECT(ADDRESS($B168+1,P$164,1,1,"Confirmed Trend"))=0,#N/A,INDIRECT(ADDRESS($B168+1,P$164,1,1,"Confirmed Trend")))</f>
        <v>#N/A</v>
      </c>
      <c r="Q168" s="18" t="e" cm="1">
        <f t="array" aca="1" ref="Q168" ca="1">IF(INDIRECT(ADDRESS($B168+1,Q$164,1,1,"Confirmed Trend"))=0,#N/A,INDIRECT(ADDRESS($B168+1,Q$164,1,1,"Confirmed Trend")))</f>
        <v>#N/A</v>
      </c>
      <c r="R168" s="18" t="e" cm="1">
        <f t="array" aca="1" ref="R168" ca="1">IF(INDIRECT(ADDRESS($B168+1,R$164,1,1,"Confirmed Trend"))=0,#N/A,INDIRECT(ADDRESS($B168+1,R$164,1,1,"Confirmed Trend")))</f>
        <v>#N/A</v>
      </c>
      <c r="S168" s="18" t="e" cm="1">
        <f t="array" aca="1" ref="S168" ca="1">IF(INDIRECT(ADDRESS($B168+1,S$164,1,1,"Confirmed Trend"))=0,#N/A,INDIRECT(ADDRESS($B168+1,S$164,1,1,"Confirmed Trend")))</f>
        <v>#N/A</v>
      </c>
      <c r="T168" s="18" t="e" cm="1">
        <f t="array" aca="1" ref="T168" ca="1">IF(INDIRECT(ADDRESS($B168+1,T$164,1,1,"Confirmed Trend"))=0,#N/A,INDIRECT(ADDRESS($B168+1,T$164,1,1,"Confirmed Trend")))</f>
        <v>#N/A</v>
      </c>
      <c r="U168" s="18" t="e" cm="1">
        <f t="array" aca="1" ref="U168" ca="1">IF(INDIRECT(ADDRESS($B168+1,U$164,1,1,"Confirmed Trend"))=0,#N/A,INDIRECT(ADDRESS($B168+1,U$164,1,1,"Confirmed Trend")))</f>
        <v>#N/A</v>
      </c>
      <c r="V168" s="18" t="e" cm="1">
        <f t="array" aca="1" ref="V168" ca="1">IF(INDIRECT(ADDRESS($B168+1,V$164,1,1,"Confirmed Trend"))=0,#N/A,INDIRECT(ADDRESS($B168+1,V$164,1,1,"Confirmed Trend")))</f>
        <v>#N/A</v>
      </c>
      <c r="W168" s="18" t="e" cm="1">
        <f t="array" aca="1" ref="W168" ca="1">IF(INDIRECT(ADDRESS($B168+1,W$164,1,1,"Confirmed Trend"))=0,#N/A,INDIRECT(ADDRESS($B168+1,W$164,1,1,"Confirmed Trend")))</f>
        <v>#N/A</v>
      </c>
      <c r="X168" s="18" t="e" cm="1">
        <f t="array" aca="1" ref="X168" ca="1">IF(INDIRECT(ADDRESS($B168+1,X$164,1,1,"Confirmed Trend"))=0,#N/A,INDIRECT(ADDRESS($B168+1,X$164,1,1,"Confirmed Trend")))</f>
        <v>#N/A</v>
      </c>
      <c r="Y168" s="18" t="e" cm="1">
        <f t="array" aca="1" ref="Y168" ca="1">IF(INDIRECT(ADDRESS($B168+1,Y$164,1,1,"Confirmed Trend"))=0,#N/A,INDIRECT(ADDRESS($B168+1,Y$164,1,1,"Confirmed Trend")))</f>
        <v>#N/A</v>
      </c>
      <c r="Z168" s="18" t="e" cm="1">
        <f t="array" aca="1" ref="Z168" ca="1">IF(INDIRECT(ADDRESS($B168+1,Z$164,1,1,"Confirmed Trend"))=0,#N/A,INDIRECT(ADDRESS($B168+1,Z$164,1,1,"Confirmed Trend")))</f>
        <v>#N/A</v>
      </c>
      <c r="AA168" s="18" t="e" cm="1">
        <f t="array" aca="1" ref="AA168" ca="1">IF(INDIRECT(ADDRESS($B168+1,AA$164,1,1,"Confirmed Trend"))=0,#N/A,INDIRECT(ADDRESS($B168+1,AA$164,1,1,"Confirmed Trend")))</f>
        <v>#N/A</v>
      </c>
      <c r="AB168" s="18" t="e" cm="1">
        <f t="array" aca="1" ref="AB168" ca="1">IF(INDIRECT(ADDRESS($B168+1,AB$164,1,1,"Confirmed Trend"))=0,#N/A,INDIRECT(ADDRESS($B168+1,AB$164,1,1,"Confirmed Trend")))</f>
        <v>#N/A</v>
      </c>
      <c r="AC168" s="18" t="e" cm="1">
        <f t="array" aca="1" ref="AC168" ca="1">IF(INDIRECT(ADDRESS($B168+1,AC$164,1,1,"Confirmed Trend"))=0,#N/A,INDIRECT(ADDRESS($B168+1,AC$164,1,1,"Confirmed Trend")))</f>
        <v>#N/A</v>
      </c>
      <c r="AD168" s="18" t="e" cm="1">
        <f t="array" aca="1" ref="AD168" ca="1">IF(INDIRECT(ADDRESS($B168+1,AD$164,1,1,"Confirmed Trend"))=0,#N/A,INDIRECT(ADDRESS($B168+1,AD$164,1,1,"Confirmed Trend")))</f>
        <v>#N/A</v>
      </c>
      <c r="AE168" s="18" t="e" cm="1">
        <f t="array" aca="1" ref="AE168" ca="1">IF(INDIRECT(ADDRESS($B168+1,AE$164,1,1,"Confirmed Trend"))=0,#N/A,INDIRECT(ADDRESS($B168+1,AE$164,1,1,"Confirmed Trend")))</f>
        <v>#N/A</v>
      </c>
      <c r="AF168" s="18" t="e" cm="1">
        <f t="array" aca="1" ref="AF168" ca="1">IF(INDIRECT(ADDRESS($B168+1,AF$164,1,1,"Confirmed Trend"))=0,#N/A,INDIRECT(ADDRESS($B168+1,AF$164,1,1,"Confirmed Trend")))</f>
        <v>#N/A</v>
      </c>
      <c r="AG168" s="18" t="e" cm="1">
        <f t="array" aca="1" ref="AG168" ca="1">IF(INDIRECT(ADDRESS($B168+1,AG$164,1,1,"Confirmed Trend"))=0,#N/A,INDIRECT(ADDRESS($B168+1,AG$164,1,1,"Confirmed Trend")))</f>
        <v>#N/A</v>
      </c>
      <c r="AH168" s="18" t="e" cm="1">
        <f t="array" aca="1" ref="AH168" ca="1">IF(INDIRECT(ADDRESS($B168+1,AH$164,1,1,"Confirmed Trend"))=0,#N/A,INDIRECT(ADDRESS($B168+1,AH$164,1,1,"Confirmed Trend")))</f>
        <v>#N/A</v>
      </c>
      <c r="AI168" s="18" t="e" cm="1">
        <f t="array" aca="1" ref="AI168" ca="1">IF(INDIRECT(ADDRESS($B168+1,AI$164,1,1,"Confirmed Trend"))=0,#N/A,INDIRECT(ADDRESS($B168+1,AI$164,1,1,"Confirmed Trend")))</f>
        <v>#N/A</v>
      </c>
      <c r="AJ168" s="18" t="e" cm="1">
        <f t="array" aca="1" ref="AJ168" ca="1">IF(INDIRECT(ADDRESS($B168+1,AJ$164,1,1,"Confirmed Trend"))=0,#N/A,INDIRECT(ADDRESS($B168+1,AJ$164,1,1,"Confirmed Trend")))</f>
        <v>#N/A</v>
      </c>
      <c r="AK168" s="18" t="e" cm="1">
        <f t="array" aca="1" ref="AK168" ca="1">IF(INDIRECT(ADDRESS($B168+1,AK$164,1,1,"Confirmed Trend"))=0,#N/A,INDIRECT(ADDRESS($B168+1,AK$164,1,1,"Confirmed Trend")))</f>
        <v>#N/A</v>
      </c>
      <c r="AL168" s="18" t="e" cm="1">
        <f t="array" aca="1" ref="AL168" ca="1">IF(INDIRECT(ADDRESS($B168+1,AL$164,1,1,"Confirmed Trend"))=0,#N/A,INDIRECT(ADDRESS($B168+1,AL$164,1,1,"Confirmed Trend")))</f>
        <v>#N/A</v>
      </c>
      <c r="AM168" s="18" t="e" cm="1">
        <f t="array" aca="1" ref="AM168" ca="1">IF(INDIRECT(ADDRESS($B168+1,AM$164,1,1,"Confirmed Trend"))=0,#N/A,INDIRECT(ADDRESS($B168+1,AM$164,1,1,"Confirmed Trend")))</f>
        <v>#N/A</v>
      </c>
      <c r="AN168" s="18" t="e" cm="1">
        <f t="array" aca="1" ref="AN168" ca="1">IF(INDIRECT(ADDRESS($B168+1,AN$164,1,1,"Confirmed Trend"))=0,#N/A,INDIRECT(ADDRESS($B168+1,AN$164,1,1,"Confirmed Trend")))</f>
        <v>#N/A</v>
      </c>
      <c r="AO168" s="18" t="e" cm="1">
        <f t="array" aca="1" ref="AO168" ca="1">IF(INDIRECT(ADDRESS($B168+1,AO$164,1,1,"Confirmed Trend"))=0,#N/A,INDIRECT(ADDRESS($B168+1,AO$164,1,1,"Confirmed Trend")))</f>
        <v>#N/A</v>
      </c>
      <c r="AP168" s="18" t="e" cm="1">
        <f t="array" aca="1" ref="AP168" ca="1">IF(INDIRECT(ADDRESS($B168+1,AP$164,1,1,"Confirmed Trend"))=0,#N/A,INDIRECT(ADDRESS($B168+1,AP$164,1,1,"Confirmed Trend")))</f>
        <v>#N/A</v>
      </c>
      <c r="AQ168" s="18" t="e" cm="1">
        <f t="array" aca="1" ref="AQ168" ca="1">IF(INDIRECT(ADDRESS($B168+1,AQ$164,1,1,"Confirmed Trend"))=0,#N/A,INDIRECT(ADDRESS($B168+1,AQ$164,1,1,"Confirmed Trend")))</f>
        <v>#N/A</v>
      </c>
      <c r="AR168" s="18" cm="1">
        <f t="array" aca="1" ref="AR168" ca="1">IF(INDIRECT(ADDRESS($B168+1,AR$164,1,1,"Confirmed Trend"))=0,#N/A,INDIRECT(ADDRESS($B168+1,AR$164,1,1,"Confirmed Trend")))</f>
        <v>0.16029789359999999</v>
      </c>
      <c r="AS168" s="18" cm="1">
        <f t="array" aca="1" ref="AS168" ca="1">IF(INDIRECT(ADDRESS($B168+1,AS$164,1,1,"Confirmed Trend"))=0,#N/A,INDIRECT(ADDRESS($B168+1,AS$164,1,1,"Confirmed Trend")))</f>
        <v>0.1934317183</v>
      </c>
      <c r="AT168" s="18" cm="1">
        <f t="array" aca="1" ref="AT168" ca="1">IF(INDIRECT(ADDRESS($B168+1,AT$164,1,1,"Confirmed Trend"))=0,#N/A,INDIRECT(ADDRESS($B168+1,AT$164,1,1,"Confirmed Trend")))</f>
        <v>0.20830161389999999</v>
      </c>
      <c r="AU168" s="18" cm="1">
        <f t="array" aca="1" ref="AU168" ca="1">IF(INDIRECT(ADDRESS($B168+1,AU$164,1,1,"Confirmed Trend"))=0,#N/A,INDIRECT(ADDRESS($B168+1,AU$164,1,1,"Confirmed Trend")))</f>
        <v>0.1763489329</v>
      </c>
      <c r="AV168" s="18" cm="1">
        <f t="array" aca="1" ref="AV168" ca="1">IF(INDIRECT(ADDRESS($B168+1,AV$164,1,1,"Confirmed Trend"))=0,#N/A,INDIRECT(ADDRESS($B168+1,AV$164,1,1,"Confirmed Trend")))</f>
        <v>0.14589019049999999</v>
      </c>
      <c r="AW168" s="18" cm="1">
        <f t="array" aca="1" ref="AW168" ca="1">IF(INDIRECT(ADDRESS($B168+1,AW$164,1,1,"Confirmed Trend"))=0,#N/A,INDIRECT(ADDRESS($B168+1,AW$164,1,1,"Confirmed Trend")))</f>
        <v>0.13781630559999999</v>
      </c>
      <c r="AX168" s="18" cm="1">
        <f t="array" aca="1" ref="AX168" ca="1">IF(INDIRECT(ADDRESS($B168+1,AX$164,1,1,"Confirmed Trend"))=0,#N/A,INDIRECT(ADDRESS($B168+1,AX$164,1,1,"Confirmed Trend")))</f>
        <v>0.1465968761</v>
      </c>
      <c r="AY168" s="18" cm="1">
        <f t="array" aca="1" ref="AY168" ca="1">IF(INDIRECT(ADDRESS($B168+1,AY$164,1,1,"Confirmed Trend"))=0,#N/A,INDIRECT(ADDRESS($B168+1,AY$164,1,1,"Confirmed Trend")))</f>
        <v>0.16712800620000001</v>
      </c>
      <c r="AZ168" s="18" cm="1">
        <f t="array" aca="1" ref="AZ168" ca="1">IF(INDIRECT(ADDRESS($B168+1,AZ$164,1,1,"Confirmed Trend"))=0,#N/A,INDIRECT(ADDRESS($B168+1,AZ$164,1,1,"Confirmed Trend")))</f>
        <v>0.18170385650000001</v>
      </c>
      <c r="BA168" s="18" cm="1">
        <f t="array" aca="1" ref="BA168" ca="1">IF(INDIRECT(ADDRESS($B168+1,BA$164,1,1,"Confirmed Trend"))=0,#N/A,INDIRECT(ADDRESS($B168+1,BA$164,1,1,"Confirmed Trend")))</f>
        <v>0.16605471629999999</v>
      </c>
      <c r="BB168" s="18" cm="1">
        <f t="array" aca="1" ref="BB168" ca="1">IF(INDIRECT(ADDRESS($B168+1,BB$164,1,1,"Confirmed Trend"))=0,#N/A,INDIRECT(ADDRESS($B168+1,BB$164,1,1,"Confirmed Trend")))</f>
        <v>0.17184176600000001</v>
      </c>
      <c r="BC168" s="18" cm="1">
        <f t="array" aca="1" ref="BC168" ca="1">IF(INDIRECT(ADDRESS($B168+1,BC$164,1,1,"Confirmed Trend"))=0,#N/A,INDIRECT(ADDRESS($B168+1,BC$164,1,1,"Confirmed Trend")))</f>
        <v>0.16155366139999999</v>
      </c>
      <c r="BD168" s="18" cm="1">
        <f t="array" aca="1" ref="BD168" ca="1">IF(INDIRECT(ADDRESS($B168+1,BD$164,1,1,"Confirmed Trend"))=0,#N/A,INDIRECT(ADDRESS($B168+1,BD$164,1,1,"Confirmed Trend")))</f>
        <v>0.2085501589</v>
      </c>
      <c r="BE168" s="18" cm="1">
        <f t="array" aca="1" ref="BE168" ca="1">IF(INDIRECT(ADDRESS($B168+1,BE$164,1,1,"Confirmed Trend"))=0,#N/A,INDIRECT(ADDRESS($B168+1,BE$164,1,1,"Confirmed Trend")))</f>
        <v>0.23027433420000001</v>
      </c>
      <c r="BF168" s="18" cm="1">
        <f t="array" aca="1" ref="BF168" ca="1">IF(INDIRECT(ADDRESS($B168+1,BF$164,1,1,"Confirmed Trend"))=0,#N/A,INDIRECT(ADDRESS($B168+1,BF$164,1,1,"Confirmed Trend")))</f>
        <v>0.24633237459999999</v>
      </c>
      <c r="BG168" s="18" cm="1">
        <f t="array" aca="1" ref="BG168" ca="1">IF(INDIRECT(ADDRESS($B168+1,BG$164,1,1,"Confirmed Trend"))=0,#N/A,INDIRECT(ADDRESS($B168+1,BG$164,1,1,"Confirmed Trend")))</f>
        <v>0.29652201369999998</v>
      </c>
      <c r="BH168" s="18" cm="1">
        <f t="array" aca="1" ref="BH168" ca="1">IF(INDIRECT(ADDRESS($B168+1,BH$164,1,1,"Confirmed Trend"))=0,#N/A,INDIRECT(ADDRESS($B168+1,BH$164,1,1,"Confirmed Trend")))</f>
        <v>0.28464799909999999</v>
      </c>
      <c r="BI168" s="18" cm="1">
        <f t="array" aca="1" ref="BI168" ca="1">IF(INDIRECT(ADDRESS($B168+1,BI$164,1,1,"Confirmed Trend"))=0,#N/A,INDIRECT(ADDRESS($B168+1,BI$164,1,1,"Confirmed Trend")))</f>
        <v>0.32018916330000002</v>
      </c>
      <c r="BJ168" s="18" cm="1">
        <f t="array" aca="1" ref="BJ168" ca="1">IF(INDIRECT(ADDRESS($B168+1,BJ$164,1,1,"Confirmed Trend"))=0,#N/A,INDIRECT(ADDRESS($B168+1,BJ$164,1,1,"Confirmed Trend")))</f>
        <v>0.31572953599999998</v>
      </c>
      <c r="BK168" s="18" cm="1">
        <f t="array" aca="1" ref="BK168" ca="1">IF(INDIRECT(ADDRESS($B168+1,BK$164,1,1,"Confirmed Trend"))=0,#N/A,INDIRECT(ADDRESS($B168+1,BK$164,1,1,"Confirmed Trend")))</f>
        <v>0.28908151319999997</v>
      </c>
      <c r="BL168" s="18" cm="1">
        <f t="array" aca="1" ref="BL168" ca="1">IF(INDIRECT(ADDRESS($B168+1,BL$164,1,1,"Confirmed Trend"))=0,#N/A,INDIRECT(ADDRESS($B168+1,BL$164,1,1,"Confirmed Trend")))</f>
        <v>0.27466665759999997</v>
      </c>
      <c r="BM168" s="18" cm="1">
        <f t="array" aca="1" ref="BM168" ca="1">IF(INDIRECT(ADDRESS($B168+1,BM$164,1,1,"Confirmed Trend"))=0,#N/A,INDIRECT(ADDRESS($B168+1,BM$164,1,1,"Confirmed Trend")))</f>
        <v>0.2431048163</v>
      </c>
      <c r="BN168" s="18" cm="1">
        <f t="array" aca="1" ref="BN168" ca="1">IF(INDIRECT(ADDRESS($B168+1,BN$164,1,1,"Confirmed Trend"))=0,#N/A,INDIRECT(ADDRESS($B168+1,BN$164,1,1,"Confirmed Trend")))</f>
        <v>0.25910972650000003</v>
      </c>
      <c r="BO168" s="18" cm="1">
        <f t="array" aca="1" ref="BO168" ca="1">IF(INDIRECT(ADDRESS($B168+1,BO$164,1,1,"Confirmed Trend"))=0,#N/A,INDIRECT(ADDRESS($B168+1,BO$164,1,1,"Confirmed Trend")))</f>
        <v>0.27700985839999998</v>
      </c>
      <c r="BP168" s="18" cm="1">
        <f t="array" aca="1" ref="BP168" ca="1">IF(INDIRECT(ADDRESS($B168+1,BP$164,1,1,"Confirmed Trend"))=0,#N/A,INDIRECT(ADDRESS($B168+1,BP$164,1,1,"Confirmed Trend")))</f>
        <v>0.28242810480000002</v>
      </c>
      <c r="BQ168" s="18" cm="1">
        <f t="array" aca="1" ref="BQ168" ca="1">IF(INDIRECT(ADDRESS($B168+1,BQ$164,1,1,"Confirmed Trend"))=0,#N/A,INDIRECT(ADDRESS($B168+1,BQ$164,1,1,"Confirmed Trend")))</f>
        <v>0.28743445940000001</v>
      </c>
      <c r="BR168" s="18" cm="1">
        <f t="array" aca="1" ref="BR168" ca="1">IF(INDIRECT(ADDRESS($B168+1,BR$164,1,1,"Confirmed Trend"))=0,#N/A,INDIRECT(ADDRESS($B168+1,BR$164,1,1,"Confirmed Trend")))</f>
        <v>0.25588432989999998</v>
      </c>
      <c r="BS168" s="18" cm="1">
        <f t="array" aca="1" ref="BS168" ca="1">IF(INDIRECT(ADDRESS($B168+1,BS$164,1,1,"Confirmed Trend"))=0,#N/A,INDIRECT(ADDRESS($B168+1,BS$164,1,1,"Confirmed Trend")))</f>
        <v>0.2262092101</v>
      </c>
      <c r="BT168" s="18" cm="1">
        <f t="array" aca="1" ref="BT168" ca="1">IF(INDIRECT(ADDRESS($B168+1,BT$164,1,1,"Confirmed Trend"))=0,#N/A,INDIRECT(ADDRESS($B168+1,BT$164,1,1,"Confirmed Trend")))</f>
        <v>0.19502578249999999</v>
      </c>
      <c r="BU168" s="18" cm="1">
        <f t="array" aca="1" ref="BU168" ca="1">IF(INDIRECT(ADDRESS($B168+1,BU$164,1,1,"Confirmed Trend"))=0,#N/A,INDIRECT(ADDRESS($B168+1,BU$164,1,1,"Confirmed Trend")))</f>
        <v>0.17607067530000001</v>
      </c>
      <c r="BV168" s="18" cm="1">
        <f t="array" aca="1" ref="BV168" ca="1">IF(INDIRECT(ADDRESS($B168+1,BV$164,1,1,"Confirmed Trend"))=0,#N/A,INDIRECT(ADDRESS($B168+1,BV$164,1,1,"Confirmed Trend")))</f>
        <v>0.1783947662</v>
      </c>
    </row>
    <row r="169" spans="2:74" x14ac:dyDescent="0.25">
      <c r="B169">
        <f t="shared" si="132"/>
        <v>4</v>
      </c>
      <c r="C169" t="str" cm="1">
        <f t="array" aca="1" ref="C169" ca="1">INDIRECT(ADDRESS($B169+1,1,1,1,"Confirmed Trend"))</f>
        <v>China</v>
      </c>
      <c r="E169" s="18" t="e" cm="1">
        <f t="array" aca="1" ref="E169" ca="1">IF(INDIRECT(ADDRESS($B169+1,E$164,1,1,"Confirmed Trend"))=0,#N/A,INDIRECT(ADDRESS($B169+1,E$164,1,1,"Confirmed Trend")))</f>
        <v>#N/A</v>
      </c>
      <c r="F169" s="18" t="e" cm="1">
        <f t="array" aca="1" ref="F169" ca="1">IF(INDIRECT(ADDRESS($B169+1,F$164,1,1,"Confirmed Trend"))=0,#N/A,INDIRECT(ADDRESS($B169+1,F$164,1,1,"Confirmed Trend")))</f>
        <v>#N/A</v>
      </c>
      <c r="G169" s="18" t="e" cm="1">
        <f t="array" aca="1" ref="G169" ca="1">IF(INDIRECT(ADDRESS($B169+1,G$164,1,1,"Confirmed Trend"))=0,#N/A,INDIRECT(ADDRESS($B169+1,G$164,1,1,"Confirmed Trend")))</f>
        <v>#N/A</v>
      </c>
      <c r="H169" s="18" t="e" cm="1">
        <f t="array" aca="1" ref="H169" ca="1">IF(INDIRECT(ADDRESS($B169+1,H$164,1,1,"Confirmed Trend"))=0,#N/A,INDIRECT(ADDRESS($B169+1,H$164,1,1,"Confirmed Trend")))</f>
        <v>#N/A</v>
      </c>
      <c r="I169" s="18" t="e" cm="1">
        <f t="array" aca="1" ref="I169" ca="1">IF(INDIRECT(ADDRESS($B169+1,I$164,1,1,"Confirmed Trend"))=0,#N/A,INDIRECT(ADDRESS($B169+1,I$164,1,1,"Confirmed Trend")))</f>
        <v>#N/A</v>
      </c>
      <c r="J169" s="18" t="e" cm="1">
        <f t="array" aca="1" ref="J169" ca="1">IF(INDIRECT(ADDRESS($B169+1,J$164,1,1,"Confirmed Trend"))=0,#N/A,INDIRECT(ADDRESS($B169+1,J$164,1,1,"Confirmed Trend")))</f>
        <v>#N/A</v>
      </c>
      <c r="K169" s="18" cm="1">
        <f t="array" aca="1" ref="K169" ca="1">IF(INDIRECT(ADDRESS($B169+1,K$164,1,1,"Confirmed Trend"))=0,#N/A,INDIRECT(ADDRESS($B169+1,K$164,1,1,"Confirmed Trend")))</f>
        <v>0.4920083106</v>
      </c>
      <c r="L169" s="18" cm="1">
        <f t="array" aca="1" ref="L169" ca="1">IF(INDIRECT(ADDRESS($B169+1,L$164,1,1,"Confirmed Trend"))=0,#N/A,INDIRECT(ADDRESS($B169+1,L$164,1,1,"Confirmed Trend")))</f>
        <v>0.48589147529999999</v>
      </c>
      <c r="M169" s="18" cm="1">
        <f t="array" aca="1" ref="M169" ca="1">IF(INDIRECT(ADDRESS($B169+1,M$164,1,1,"Confirmed Trend"))=0,#N/A,INDIRECT(ADDRESS($B169+1,M$164,1,1,"Confirmed Trend")))</f>
        <v>0.45523269360000002</v>
      </c>
      <c r="N169" s="18" cm="1">
        <f t="array" aca="1" ref="N169" ca="1">IF(INDIRECT(ADDRESS($B169+1,N$164,1,1,"Confirmed Trend"))=0,#N/A,INDIRECT(ADDRESS($B169+1,N$164,1,1,"Confirmed Trend")))</f>
        <v>0.39430669210000002</v>
      </c>
      <c r="O169" s="18" cm="1">
        <f t="array" aca="1" ref="O169" ca="1">IF(INDIRECT(ADDRESS($B169+1,O$164,1,1,"Confirmed Trend"))=0,#N/A,INDIRECT(ADDRESS($B169+1,O$164,1,1,"Confirmed Trend")))</f>
        <v>0.29952479659999998</v>
      </c>
      <c r="P169" s="18" cm="1">
        <f t="array" aca="1" ref="P169" ca="1">IF(INDIRECT(ADDRESS($B169+1,P$164,1,1,"Confirmed Trend"))=0,#N/A,INDIRECT(ADDRESS($B169+1,P$164,1,1,"Confirmed Trend")))</f>
        <v>0.27563149780000001</v>
      </c>
      <c r="Q169" s="18" cm="1">
        <f t="array" aca="1" ref="Q169" ca="1">IF(INDIRECT(ADDRESS($B169+1,Q$164,1,1,"Confirmed Trend"))=0,#N/A,INDIRECT(ADDRESS($B169+1,Q$164,1,1,"Confirmed Trend")))</f>
        <v>0.25033039029999998</v>
      </c>
      <c r="R169" s="18" cm="1">
        <f t="array" aca="1" ref="R169" ca="1">IF(INDIRECT(ADDRESS($B169+1,R$164,1,1,"Confirmed Trend"))=0,#N/A,INDIRECT(ADDRESS($B169+1,R$164,1,1,"Confirmed Trend")))</f>
        <v>0.25731829299999998</v>
      </c>
      <c r="S169" s="18" cm="1">
        <f t="array" aca="1" ref="S169" ca="1">IF(INDIRECT(ADDRESS($B169+1,S$164,1,1,"Confirmed Trend"))=0,#N/A,INDIRECT(ADDRESS($B169+1,S$164,1,1,"Confirmed Trend")))</f>
        <v>0.24144365239999999</v>
      </c>
      <c r="T169" s="18" cm="1">
        <f t="array" aca="1" ref="T169" ca="1">IF(INDIRECT(ADDRESS($B169+1,T$164,1,1,"Confirmed Trend"))=0,#N/A,INDIRECT(ADDRESS($B169+1,T$164,1,1,"Confirmed Trend")))</f>
        <v>0.20846983290000001</v>
      </c>
      <c r="U169" s="18" cm="1">
        <f t="array" aca="1" ref="U169" ca="1">IF(INDIRECT(ADDRESS($B169+1,U$164,1,1,"Confirmed Trend"))=0,#N/A,INDIRECT(ADDRESS($B169+1,U$164,1,1,"Confirmed Trend")))</f>
        <v>0.17561046759999999</v>
      </c>
      <c r="V169" s="18" cm="1">
        <f t="array" aca="1" ref="V169" ca="1">IF(INDIRECT(ADDRESS($B169+1,V$164,1,1,"Confirmed Trend"))=0,#N/A,INDIRECT(ADDRESS($B169+1,V$164,1,1,"Confirmed Trend")))</f>
        <v>0.14023560869999999</v>
      </c>
      <c r="W169" s="18" cm="1">
        <f t="array" aca="1" ref="W169" ca="1">IF(INDIRECT(ADDRESS($B169+1,W$164,1,1,"Confirmed Trend"))=0,#N/A,INDIRECT(ADDRESS($B169+1,W$164,1,1,"Confirmed Trend")))</f>
        <v>0.1181086084</v>
      </c>
      <c r="X169" s="18" cm="1">
        <f t="array" aca="1" ref="X169" ca="1">IF(INDIRECT(ADDRESS($B169+1,X$164,1,1,"Confirmed Trend"))=0,#N/A,INDIRECT(ADDRESS($B169+1,X$164,1,1,"Confirmed Trend")))</f>
        <v>9.8457642499999998E-2</v>
      </c>
      <c r="Y169" s="18" cm="1">
        <f t="array" aca="1" ref="Y169" ca="1">IF(INDIRECT(ADDRESS($B169+1,Y$164,1,1,"Confirmed Trend"))=0,#N/A,INDIRECT(ADDRESS($B169+1,Y$164,1,1,"Confirmed Trend")))</f>
        <v>8.2613205800000006E-2</v>
      </c>
      <c r="Z169" s="18" cm="1">
        <f t="array" aca="1" ref="Z169" ca="1">IF(INDIRECT(ADDRESS($B169+1,Z$164,1,1,"Confirmed Trend"))=0,#N/A,INDIRECT(ADDRESS($B169+1,Z$164,1,1,"Confirmed Trend")))</f>
        <v>6.6847480799999998E-2</v>
      </c>
      <c r="AA169" s="18" cm="1">
        <f t="array" aca="1" ref="AA169" ca="1">IF(INDIRECT(ADDRESS($B169+1,AA$164,1,1,"Confirmed Trend"))=0,#N/A,INDIRECT(ADDRESS($B169+1,AA$164,1,1,"Confirmed Trend")))</f>
        <v>7.70524073E-2</v>
      </c>
      <c r="AB169" s="18" cm="1">
        <f t="array" aca="1" ref="AB169" ca="1">IF(INDIRECT(ADDRESS($B169+1,AB$164,1,1,"Confirmed Trend"))=0,#N/A,INDIRECT(ADDRESS($B169+1,AB$164,1,1,"Confirmed Trend")))</f>
        <v>9.48954308E-2</v>
      </c>
      <c r="AC169" s="18" cm="1">
        <f t="array" aca="1" ref="AC169" ca="1">IF(INDIRECT(ADDRESS($B169+1,AC$164,1,1,"Confirmed Trend"))=0,#N/A,INDIRECT(ADDRESS($B169+1,AC$164,1,1,"Confirmed Trend")))</f>
        <v>0.1136294031</v>
      </c>
      <c r="AD169" s="18" cm="1">
        <f t="array" aca="1" ref="AD169" ca="1">IF(INDIRECT(ADDRESS($B169+1,AD$164,1,1,"Confirmed Trend"))=0,#N/A,INDIRECT(ADDRESS($B169+1,AD$164,1,1,"Confirmed Trend")))</f>
        <v>0.11778470520000001</v>
      </c>
      <c r="AE169" s="18" cm="1">
        <f t="array" aca="1" ref="AE169" ca="1">IF(INDIRECT(ADDRESS($B169+1,AE$164,1,1,"Confirmed Trend"))=0,#N/A,INDIRECT(ADDRESS($B169+1,AE$164,1,1,"Confirmed Trend")))</f>
        <v>9.1264405100000001E-2</v>
      </c>
      <c r="AF169" s="18" cm="1">
        <f t="array" aca="1" ref="AF169" ca="1">IF(INDIRECT(ADDRESS($B169+1,AF$164,1,1,"Confirmed Trend"))=0,#N/A,INDIRECT(ADDRESS($B169+1,AF$164,1,1,"Confirmed Trend")))</f>
        <v>6.1542317800000003E-2</v>
      </c>
      <c r="AG169" s="18" cm="1">
        <f t="array" aca="1" ref="AG169" ca="1">IF(INDIRECT(ADDRESS($B169+1,AG$164,1,1,"Confirmed Trend"))=0,#N/A,INDIRECT(ADDRESS($B169+1,AG$164,1,1,"Confirmed Trend")))</f>
        <v>3.25359073E-2</v>
      </c>
      <c r="AH169" s="18" cm="1">
        <f t="array" aca="1" ref="AH169" ca="1">IF(INDIRECT(ADDRESS($B169+1,AH$164,1,1,"Confirmed Trend"))=0,#N/A,INDIRECT(ADDRESS($B169+1,AH$164,1,1,"Confirmed Trend")))</f>
        <v>2.1946457199999998E-2</v>
      </c>
      <c r="AI169" s="18" cm="1">
        <f t="array" aca="1" ref="AI169" ca="1">IF(INDIRECT(ADDRESS($B169+1,AI$164,1,1,"Confirmed Trend"))=0,#N/A,INDIRECT(ADDRESS($B169+1,AI$164,1,1,"Confirmed Trend")))</f>
        <v>1.6034773400000001E-2</v>
      </c>
      <c r="AJ169" s="18" cm="1">
        <f t="array" aca="1" ref="AJ169" ca="1">IF(INDIRECT(ADDRESS($B169+1,AJ$164,1,1,"Confirmed Trend"))=0,#N/A,INDIRECT(ADDRESS($B169+1,AJ$164,1,1,"Confirmed Trend")))</f>
        <v>1.18414408E-2</v>
      </c>
      <c r="AK169" s="18" cm="1">
        <f t="array" aca="1" ref="AK169" ca="1">IF(INDIRECT(ADDRESS($B169+1,AK$164,1,1,"Confirmed Trend"))=0,#N/A,INDIRECT(ADDRESS($B169+1,AK$164,1,1,"Confirmed Trend")))</f>
        <v>9.2587250000000006E-3</v>
      </c>
      <c r="AL169" s="18" cm="1">
        <f t="array" aca="1" ref="AL169" ca="1">IF(INDIRECT(ADDRESS($B169+1,AL$164,1,1,"Confirmed Trend"))=0,#N/A,INDIRECT(ADDRESS($B169+1,AL$164,1,1,"Confirmed Trend")))</f>
        <v>8.1150318000000003E-3</v>
      </c>
      <c r="AM169" s="18" cm="1">
        <f t="array" aca="1" ref="AM169" ca="1">IF(INDIRECT(ADDRESS($B169+1,AM$164,1,1,"Confirmed Trend"))=0,#N/A,INDIRECT(ADDRESS($B169+1,AM$164,1,1,"Confirmed Trend")))</f>
        <v>7.4318568E-3</v>
      </c>
      <c r="AN169" s="18" cm="1">
        <f t="array" aca="1" ref="AN169" ca="1">IF(INDIRECT(ADDRESS($B169+1,AN$164,1,1,"Confirmed Trend"))=0,#N/A,INDIRECT(ADDRESS($B169+1,AN$164,1,1,"Confirmed Trend")))</f>
        <v>6.0221820000000001E-3</v>
      </c>
      <c r="AO169" s="18" cm="1">
        <f t="array" aca="1" ref="AO169" ca="1">IF(INDIRECT(ADDRESS($B169+1,AO$164,1,1,"Confirmed Trend"))=0,#N/A,INDIRECT(ADDRESS($B169+1,AO$164,1,1,"Confirmed Trend")))</f>
        <v>5.3441820999999999E-3</v>
      </c>
      <c r="AP169" s="18" cm="1">
        <f t="array" aca="1" ref="AP169" ca="1">IF(INDIRECT(ADDRESS($B169+1,AP$164,1,1,"Confirmed Trend"))=0,#N/A,INDIRECT(ADDRESS($B169+1,AP$164,1,1,"Confirmed Trend")))</f>
        <v>4.7548783000000002E-3</v>
      </c>
      <c r="AQ169" s="18" cm="1">
        <f t="array" aca="1" ref="AQ169" ca="1">IF(INDIRECT(ADDRESS($B169+1,AQ$164,1,1,"Confirmed Trend"))=0,#N/A,INDIRECT(ADDRESS($B169+1,AQ$164,1,1,"Confirmed Trend")))</f>
        <v>5.2034725000000004E-3</v>
      </c>
      <c r="AR169" s="18" cm="1">
        <f t="array" aca="1" ref="AR169" ca="1">IF(INDIRECT(ADDRESS($B169+1,AR$164,1,1,"Confirmed Trend"))=0,#N/A,INDIRECT(ADDRESS($B169+1,AR$164,1,1,"Confirmed Trend")))</f>
        <v>5.3765578E-3</v>
      </c>
      <c r="AS169" s="18" cm="1">
        <f t="array" aca="1" ref="AS169" ca="1">IF(INDIRECT(ADDRESS($B169+1,AS$164,1,1,"Confirmed Trend"))=0,#N/A,INDIRECT(ADDRESS($B169+1,AS$164,1,1,"Confirmed Trend")))</f>
        <v>5.1871987999999999E-3</v>
      </c>
      <c r="AT169" s="18" cm="1">
        <f t="array" aca="1" ref="AT169" ca="1">IF(INDIRECT(ADDRESS($B169+1,AT$164,1,1,"Confirmed Trend"))=0,#N/A,INDIRECT(ADDRESS($B169+1,AT$164,1,1,"Confirmed Trend")))</f>
        <v>4.8804870999999998E-3</v>
      </c>
      <c r="AU169" s="18" cm="1">
        <f t="array" aca="1" ref="AU169" ca="1">IF(INDIRECT(ADDRESS($B169+1,AU$164,1,1,"Confirmed Trend"))=0,#N/A,INDIRECT(ADDRESS($B169+1,AU$164,1,1,"Confirmed Trend")))</f>
        <v>4.0897260000000001E-3</v>
      </c>
      <c r="AV169" s="18" cm="1">
        <f t="array" aca="1" ref="AV169" ca="1">IF(INDIRECT(ADDRESS($B169+1,AV$164,1,1,"Confirmed Trend"))=0,#N/A,INDIRECT(ADDRESS($B169+1,AV$164,1,1,"Confirmed Trend")))</f>
        <v>3.1003719000000001E-3</v>
      </c>
      <c r="AW169" s="18" cm="1">
        <f t="array" aca="1" ref="AW169" ca="1">IF(INDIRECT(ADDRESS($B169+1,AW$164,1,1,"Confirmed Trend"))=0,#N/A,INDIRECT(ADDRESS($B169+1,AW$164,1,1,"Confirmed Trend")))</f>
        <v>2.2778988999999999E-3</v>
      </c>
      <c r="AX169" s="18" cm="1">
        <f t="array" aca="1" ref="AX169" ca="1">IF(INDIRECT(ADDRESS($B169+1,AX$164,1,1,"Confirmed Trend"))=0,#N/A,INDIRECT(ADDRESS($B169+1,AX$164,1,1,"Confirmed Trend")))</f>
        <v>1.7306236999999999E-3</v>
      </c>
      <c r="AY169" s="18" cm="1">
        <f t="array" aca="1" ref="AY169" ca="1">IF(INDIRECT(ADDRESS($B169+1,AY$164,1,1,"Confirmed Trend"))=0,#N/A,INDIRECT(ADDRESS($B169+1,AY$164,1,1,"Confirmed Trend")))</f>
        <v>1.5537938E-3</v>
      </c>
      <c r="AZ169" s="18" cm="1">
        <f t="array" aca="1" ref="AZ169" ca="1">IF(INDIRECT(ADDRESS($B169+1,AZ$164,1,1,"Confirmed Trend"))=0,#N/A,INDIRECT(ADDRESS($B169+1,AZ$164,1,1,"Confirmed Trend")))</f>
        <v>1.3127983000000001E-3</v>
      </c>
      <c r="BA169" s="18" cm="1">
        <f t="array" aca="1" ref="BA169" ca="1">IF(INDIRECT(ADDRESS($B169+1,BA$164,1,1,"Confirmed Trend"))=0,#N/A,INDIRECT(ADDRESS($B169+1,BA$164,1,1,"Confirmed Trend")))</f>
        <v>9.8875250000000003E-4</v>
      </c>
      <c r="BB169" s="18" cm="1">
        <f t="array" aca="1" ref="BB169" ca="1">IF(INDIRECT(ADDRESS($B169+1,BB$164,1,1,"Confirmed Trend"))=0,#N/A,INDIRECT(ADDRESS($B169+1,BB$164,1,1,"Confirmed Trend")))</f>
        <v>6.9247079999999999E-4</v>
      </c>
      <c r="BC169" s="18" cm="1">
        <f t="array" aca="1" ref="BC169" ca="1">IF(INDIRECT(ADDRESS($B169+1,BC$164,1,1,"Confirmed Trend"))=0,#N/A,INDIRECT(ADDRESS($B169+1,BC$164,1,1,"Confirmed Trend")))</f>
        <v>4.7122279999999998E-4</v>
      </c>
      <c r="BD169" s="18" cm="1">
        <f t="array" aca="1" ref="BD169" ca="1">IF(INDIRECT(ADDRESS($B169+1,BD$164,1,1,"Confirmed Trend"))=0,#N/A,INDIRECT(ADDRESS($B169+1,BD$164,1,1,"Confirmed Trend")))</f>
        <v>3.5554940000000001E-4</v>
      </c>
      <c r="BE169" s="18" cm="1">
        <f t="array" aca="1" ref="BE169" ca="1">IF(INDIRECT(ADDRESS($B169+1,BE$164,1,1,"Confirmed Trend"))=0,#N/A,INDIRECT(ADDRESS($B169+1,BE$164,1,1,"Confirmed Trend")))</f>
        <v>2.9257060000000001E-4</v>
      </c>
      <c r="BF169" s="18" cm="1">
        <f t="array" aca="1" ref="BF169" ca="1">IF(INDIRECT(ADDRESS($B169+1,BF$164,1,1,"Confirmed Trend"))=0,#N/A,INDIRECT(ADDRESS($B169+1,BF$164,1,1,"Confirmed Trend")))</f>
        <v>2.6465990000000002E-4</v>
      </c>
      <c r="BG169" s="18" cm="1">
        <f t="array" aca="1" ref="BG169" ca="1">IF(INDIRECT(ADDRESS($B169+1,BG$164,1,1,"Confirmed Trend"))=0,#N/A,INDIRECT(ADDRESS($B169+1,BG$164,1,1,"Confirmed Trend")))</f>
        <v>2.8104649999999997E-4</v>
      </c>
      <c r="BH169" s="18" cm="1">
        <f t="array" aca="1" ref="BH169" ca="1">IF(INDIRECT(ADDRESS($B169+1,BH$164,1,1,"Confirmed Trend"))=0,#N/A,INDIRECT(ADDRESS($B169+1,BH$164,1,1,"Confirmed Trend")))</f>
        <v>3.0464089999999999E-4</v>
      </c>
      <c r="BI169" s="18" cm="1">
        <f t="array" aca="1" ref="BI169" ca="1">IF(INDIRECT(ADDRESS($B169+1,BI$164,1,1,"Confirmed Trend"))=0,#N/A,INDIRECT(ADDRESS($B169+1,BI$164,1,1,"Confirmed Trend")))</f>
        <v>3.4879259999999999E-4</v>
      </c>
      <c r="BJ169" s="18" cm="1">
        <f t="array" aca="1" ref="BJ169" ca="1">IF(INDIRECT(ADDRESS($B169+1,BJ$164,1,1,"Confirmed Trend"))=0,#N/A,INDIRECT(ADDRESS($B169+1,BJ$164,1,1,"Confirmed Trend")))</f>
        <v>4.0214489999999999E-4</v>
      </c>
      <c r="BK169" s="18" cm="1">
        <f t="array" aca="1" ref="BK169" ca="1">IF(INDIRECT(ADDRESS($B169+1,BK$164,1,1,"Confirmed Trend"))=0,#N/A,INDIRECT(ADDRESS($B169+1,BK$164,1,1,"Confirmed Trend")))</f>
        <v>5.0884349999999999E-4</v>
      </c>
      <c r="BL169" s="18" cm="1">
        <f t="array" aca="1" ref="BL169" ca="1">IF(INDIRECT(ADDRESS($B169+1,BL$164,1,1,"Confirmed Trend"))=0,#N/A,INDIRECT(ADDRESS($B169+1,BL$164,1,1,"Confirmed Trend")))</f>
        <v>6.3392519999999999E-4</v>
      </c>
      <c r="BM169" s="18" cm="1">
        <f t="array" aca="1" ref="BM169" ca="1">IF(INDIRECT(ADDRESS($B169+1,BM$164,1,1,"Confirmed Trend"))=0,#N/A,INDIRECT(ADDRESS($B169+1,BM$164,1,1,"Confirmed Trend")))</f>
        <v>8.1830309999999997E-4</v>
      </c>
      <c r="BN169" s="18" cm="1">
        <f t="array" aca="1" ref="BN169" ca="1">IF(INDIRECT(ADDRESS($B169+1,BN$164,1,1,"Confirmed Trend"))=0,#N/A,INDIRECT(ADDRESS($B169+1,BN$164,1,1,"Confirmed Trend")))</f>
        <v>9.4598459999999996E-4</v>
      </c>
      <c r="BO169" s="18" cm="1">
        <f t="array" aca="1" ref="BO169" ca="1">IF(INDIRECT(ADDRESS($B169+1,BO$164,1,1,"Confirmed Trend"))=0,#N/A,INDIRECT(ADDRESS($B169+1,BO$164,1,1,"Confirmed Trend")))</f>
        <v>1.0414587999999999E-3</v>
      </c>
      <c r="BP169" s="18" cm="1">
        <f t="array" aca="1" ref="BP169" ca="1">IF(INDIRECT(ADDRESS($B169+1,BP$164,1,1,"Confirmed Trend"))=0,#N/A,INDIRECT(ADDRESS($B169+1,BP$164,1,1,"Confirmed Trend")))</f>
        <v>1.0641118E-3</v>
      </c>
      <c r="BQ169" s="18" cm="1">
        <f t="array" aca="1" ref="BQ169" ca="1">IF(INDIRECT(ADDRESS($B169+1,BQ$164,1,1,"Confirmed Trend"))=0,#N/A,INDIRECT(ADDRESS($B169+1,BQ$164,1,1,"Confirmed Trend")))</f>
        <v>1.0680037999999999E-3</v>
      </c>
      <c r="BR169" s="18" cm="1">
        <f t="array" aca="1" ref="BR169" ca="1">IF(INDIRECT(ADDRESS($B169+1,BR$164,1,1,"Confirmed Trend"))=0,#N/A,INDIRECT(ADDRESS($B169+1,BR$164,1,1,"Confirmed Trend")))</f>
        <v>1.1260945E-3</v>
      </c>
      <c r="BS169" s="18" cm="1">
        <f t="array" aca="1" ref="BS169" ca="1">IF(INDIRECT(ADDRESS($B169+1,BS$164,1,1,"Confirmed Trend"))=0,#N/A,INDIRECT(ADDRESS($B169+1,BS$164,1,1,"Confirmed Trend")))</f>
        <v>1.177761E-3</v>
      </c>
      <c r="BT169" s="18" cm="1">
        <f t="array" aca="1" ref="BT169" ca="1">IF(INDIRECT(ADDRESS($B169+1,BT$164,1,1,"Confirmed Trend"))=0,#N/A,INDIRECT(ADDRESS($B169+1,BT$164,1,1,"Confirmed Trend")))</f>
        <v>1.2926903999999999E-3</v>
      </c>
      <c r="BU169" s="18" cm="1">
        <f t="array" aca="1" ref="BU169" ca="1">IF(INDIRECT(ADDRESS($B169+1,BU$164,1,1,"Confirmed Trend"))=0,#N/A,INDIRECT(ADDRESS($B169+1,BU$164,1,1,"Confirmed Trend")))</f>
        <v>1.3084722E-3</v>
      </c>
      <c r="BV169" s="18" cm="1">
        <f t="array" aca="1" ref="BV169" ca="1">IF(INDIRECT(ADDRESS($B169+1,BV$164,1,1,"Confirmed Trend"))=0,#N/A,INDIRECT(ADDRESS($B169+1,BV$164,1,1,"Confirmed Trend")))</f>
        <v>9.2545240000000003E-4</v>
      </c>
    </row>
    <row r="170" spans="2:74" x14ac:dyDescent="0.25">
      <c r="B170">
        <f t="shared" si="132"/>
        <v>5</v>
      </c>
      <c r="C170" t="str" cm="1">
        <f t="array" aca="1" ref="C170" ca="1">INDIRECT(ADDRESS($B170+1,1,1,1,"Confirmed Trend"))</f>
        <v>France</v>
      </c>
      <c r="E170" s="18" t="e" cm="1">
        <f t="array" aca="1" ref="E170" ca="1">IF(INDIRECT(ADDRESS($B170+1,E$164,1,1,"Confirmed Trend"))=0,#N/A,INDIRECT(ADDRESS($B170+1,E$164,1,1,"Confirmed Trend")))</f>
        <v>#N/A</v>
      </c>
      <c r="F170" s="18" t="e" cm="1">
        <f t="array" aca="1" ref="F170" ca="1">IF(INDIRECT(ADDRESS($B170+1,F$164,1,1,"Confirmed Trend"))=0,#N/A,INDIRECT(ADDRESS($B170+1,F$164,1,1,"Confirmed Trend")))</f>
        <v>#N/A</v>
      </c>
      <c r="G170" s="18" t="e" cm="1">
        <f t="array" aca="1" ref="G170" ca="1">IF(INDIRECT(ADDRESS($B170+1,G$164,1,1,"Confirmed Trend"))=0,#N/A,INDIRECT(ADDRESS($B170+1,G$164,1,1,"Confirmed Trend")))</f>
        <v>#N/A</v>
      </c>
      <c r="H170" s="18" t="e" cm="1">
        <f t="array" aca="1" ref="H170" ca="1">IF(INDIRECT(ADDRESS($B170+1,H$164,1,1,"Confirmed Trend"))=0,#N/A,INDIRECT(ADDRESS($B170+1,H$164,1,1,"Confirmed Trend")))</f>
        <v>#N/A</v>
      </c>
      <c r="I170" s="18" t="e" cm="1">
        <f t="array" aca="1" ref="I170" ca="1">IF(INDIRECT(ADDRESS($B170+1,I$164,1,1,"Confirmed Trend"))=0,#N/A,INDIRECT(ADDRESS($B170+1,I$164,1,1,"Confirmed Trend")))</f>
        <v>#N/A</v>
      </c>
      <c r="J170" s="18" t="e" cm="1">
        <f t="array" aca="1" ref="J170" ca="1">IF(INDIRECT(ADDRESS($B170+1,J$164,1,1,"Confirmed Trend"))=0,#N/A,INDIRECT(ADDRESS($B170+1,J$164,1,1,"Confirmed Trend")))</f>
        <v>#N/A</v>
      </c>
      <c r="K170" s="18" t="e" cm="1">
        <f t="array" aca="1" ref="K170" ca="1">IF(INDIRECT(ADDRESS($B170+1,K$164,1,1,"Confirmed Trend"))=0,#N/A,INDIRECT(ADDRESS($B170+1,K$164,1,1,"Confirmed Trend")))</f>
        <v>#N/A</v>
      </c>
      <c r="L170" s="18" t="e" cm="1">
        <f t="array" aca="1" ref="L170" ca="1">IF(INDIRECT(ADDRESS($B170+1,L$164,1,1,"Confirmed Trend"))=0,#N/A,INDIRECT(ADDRESS($B170+1,L$164,1,1,"Confirmed Trend")))</f>
        <v>#N/A</v>
      </c>
      <c r="M170" s="18" t="e" cm="1">
        <f t="array" aca="1" ref="M170" ca="1">IF(INDIRECT(ADDRESS($B170+1,M$164,1,1,"Confirmed Trend"))=0,#N/A,INDIRECT(ADDRESS($B170+1,M$164,1,1,"Confirmed Trend")))</f>
        <v>#N/A</v>
      </c>
      <c r="N170" s="18" t="e" cm="1">
        <f t="array" aca="1" ref="N170" ca="1">IF(INDIRECT(ADDRESS($B170+1,N$164,1,1,"Confirmed Trend"))=0,#N/A,INDIRECT(ADDRESS($B170+1,N$164,1,1,"Confirmed Trend")))</f>
        <v>#N/A</v>
      </c>
      <c r="O170" s="18" t="e" cm="1">
        <f t="array" aca="1" ref="O170" ca="1">IF(INDIRECT(ADDRESS($B170+1,O$164,1,1,"Confirmed Trend"))=0,#N/A,INDIRECT(ADDRESS($B170+1,O$164,1,1,"Confirmed Trend")))</f>
        <v>#N/A</v>
      </c>
      <c r="P170" s="18" t="e" cm="1">
        <f t="array" aca="1" ref="P170" ca="1">IF(INDIRECT(ADDRESS($B170+1,P$164,1,1,"Confirmed Trend"))=0,#N/A,INDIRECT(ADDRESS($B170+1,P$164,1,1,"Confirmed Trend")))</f>
        <v>#N/A</v>
      </c>
      <c r="Q170" s="18" t="e" cm="1">
        <f t="array" aca="1" ref="Q170" ca="1">IF(INDIRECT(ADDRESS($B170+1,Q$164,1,1,"Confirmed Trend"))=0,#N/A,INDIRECT(ADDRESS($B170+1,Q$164,1,1,"Confirmed Trend")))</f>
        <v>#N/A</v>
      </c>
      <c r="R170" s="18" t="e" cm="1">
        <f t="array" aca="1" ref="R170" ca="1">IF(INDIRECT(ADDRESS($B170+1,R$164,1,1,"Confirmed Trend"))=0,#N/A,INDIRECT(ADDRESS($B170+1,R$164,1,1,"Confirmed Trend")))</f>
        <v>#N/A</v>
      </c>
      <c r="S170" s="18" t="e" cm="1">
        <f t="array" aca="1" ref="S170" ca="1">IF(INDIRECT(ADDRESS($B170+1,S$164,1,1,"Confirmed Trend"))=0,#N/A,INDIRECT(ADDRESS($B170+1,S$164,1,1,"Confirmed Trend")))</f>
        <v>#N/A</v>
      </c>
      <c r="T170" s="18" t="e" cm="1">
        <f t="array" aca="1" ref="T170" ca="1">IF(INDIRECT(ADDRESS($B170+1,T$164,1,1,"Confirmed Trend"))=0,#N/A,INDIRECT(ADDRESS($B170+1,T$164,1,1,"Confirmed Trend")))</f>
        <v>#N/A</v>
      </c>
      <c r="U170" s="18" t="e" cm="1">
        <f t="array" aca="1" ref="U170" ca="1">IF(INDIRECT(ADDRESS($B170+1,U$164,1,1,"Confirmed Trend"))=0,#N/A,INDIRECT(ADDRESS($B170+1,U$164,1,1,"Confirmed Trend")))</f>
        <v>#N/A</v>
      </c>
      <c r="V170" s="18" t="e" cm="1">
        <f t="array" aca="1" ref="V170" ca="1">IF(INDIRECT(ADDRESS($B170+1,V$164,1,1,"Confirmed Trend"))=0,#N/A,INDIRECT(ADDRESS($B170+1,V$164,1,1,"Confirmed Trend")))</f>
        <v>#N/A</v>
      </c>
      <c r="W170" s="18" t="e" cm="1">
        <f t="array" aca="1" ref="W170" ca="1">IF(INDIRECT(ADDRESS($B170+1,W$164,1,1,"Confirmed Trend"))=0,#N/A,INDIRECT(ADDRESS($B170+1,W$164,1,1,"Confirmed Trend")))</f>
        <v>#N/A</v>
      </c>
      <c r="X170" s="18" t="e" cm="1">
        <f t="array" aca="1" ref="X170" ca="1">IF(INDIRECT(ADDRESS($B170+1,X$164,1,1,"Confirmed Trend"))=0,#N/A,INDIRECT(ADDRESS($B170+1,X$164,1,1,"Confirmed Trend")))</f>
        <v>#N/A</v>
      </c>
      <c r="Y170" s="18" t="e" cm="1">
        <f t="array" aca="1" ref="Y170" ca="1">IF(INDIRECT(ADDRESS($B170+1,Y$164,1,1,"Confirmed Trend"))=0,#N/A,INDIRECT(ADDRESS($B170+1,Y$164,1,1,"Confirmed Trend")))</f>
        <v>#N/A</v>
      </c>
      <c r="Z170" s="18" t="e" cm="1">
        <f t="array" aca="1" ref="Z170" ca="1">IF(INDIRECT(ADDRESS($B170+1,Z$164,1,1,"Confirmed Trend"))=0,#N/A,INDIRECT(ADDRESS($B170+1,Z$164,1,1,"Confirmed Trend")))</f>
        <v>#N/A</v>
      </c>
      <c r="AA170" s="18" t="e" cm="1">
        <f t="array" aca="1" ref="AA170" ca="1">IF(INDIRECT(ADDRESS($B170+1,AA$164,1,1,"Confirmed Trend"))=0,#N/A,INDIRECT(ADDRESS($B170+1,AA$164,1,1,"Confirmed Trend")))</f>
        <v>#N/A</v>
      </c>
      <c r="AB170" s="18" t="e" cm="1">
        <f t="array" aca="1" ref="AB170" ca="1">IF(INDIRECT(ADDRESS($B170+1,AB$164,1,1,"Confirmed Trend"))=0,#N/A,INDIRECT(ADDRESS($B170+1,AB$164,1,1,"Confirmed Trend")))</f>
        <v>#N/A</v>
      </c>
      <c r="AC170" s="18" cm="1">
        <f t="array" aca="1" ref="AC170" ca="1">IF(INDIRECT(ADDRESS($B170+1,AC$164,1,1,"Confirmed Trend"))=0,#N/A,INDIRECT(ADDRESS($B170+1,AC$164,1,1,"Confirmed Trend")))</f>
        <v>7.4911602000000002E-3</v>
      </c>
      <c r="AD170" s="18" cm="1">
        <f t="array" aca="1" ref="AD170" ca="1">IF(INDIRECT(ADDRESS($B170+1,AD$164,1,1,"Confirmed Trend"))=0,#N/A,INDIRECT(ADDRESS($B170+1,AD$164,1,1,"Confirmed Trend")))</f>
        <v>1.4818851399999999E-2</v>
      </c>
      <c r="AE170" s="18" cm="1">
        <f t="array" aca="1" ref="AE170" ca="1">IF(INDIRECT(ADDRESS($B170+1,AE$164,1,1,"Confirmed Trend"))=0,#N/A,INDIRECT(ADDRESS($B170+1,AE$164,1,1,"Confirmed Trend")))</f>
        <v>2.1991162299999999E-2</v>
      </c>
      <c r="AF170" s="18" cm="1">
        <f t="array" aca="1" ref="AF170" ca="1">IF(INDIRECT(ADDRESS($B170+1,AF$164,1,1,"Confirmed Trend"))=0,#N/A,INDIRECT(ADDRESS($B170+1,AF$164,1,1,"Confirmed Trend")))</f>
        <v>2.1991162299999999E-2</v>
      </c>
      <c r="AG170" s="18" cm="1">
        <f t="array" aca="1" ref="AG170" ca="1">IF(INDIRECT(ADDRESS($B170+1,AG$164,1,1,"Confirmed Trend"))=0,#N/A,INDIRECT(ADDRESS($B170+1,AG$164,1,1,"Confirmed Trend")))</f>
        <v>1.4392187900000001E-2</v>
      </c>
      <c r="AH170" s="18" cm="1">
        <f t="array" aca="1" ref="AH170" ca="1">IF(INDIRECT(ADDRESS($B170+1,AH$164,1,1,"Confirmed Trend"))=0,#N/A,INDIRECT(ADDRESS($B170+1,AH$164,1,1,"Confirmed Trend")))</f>
        <v>7.0675775E-3</v>
      </c>
      <c r="AI170" s="18" t="e" cm="1">
        <f t="array" aca="1" ref="AI170" ca="1">IF(INDIRECT(ADDRESS($B170+1,AI$164,1,1,"Confirmed Trend"))=0,#N/A,INDIRECT(ADDRESS($B170+1,AI$164,1,1,"Confirmed Trend")))</f>
        <v>#N/A</v>
      </c>
      <c r="AJ170" s="18" t="e" cm="1">
        <f t="array" aca="1" ref="AJ170" ca="1">IF(INDIRECT(ADDRESS($B170+1,AJ$164,1,1,"Confirmed Trend"))=0,#N/A,INDIRECT(ADDRESS($B170+1,AJ$164,1,1,"Confirmed Trend")))</f>
        <v>#N/A</v>
      </c>
      <c r="AK170" s="18" t="e" cm="1">
        <f t="array" aca="1" ref="AK170" ca="1">IF(INDIRECT(ADDRESS($B170+1,AK$164,1,1,"Confirmed Trend"))=0,#N/A,INDIRECT(ADDRESS($B170+1,AK$164,1,1,"Confirmed Trend")))</f>
        <v>#N/A</v>
      </c>
      <c r="AL170" s="18" t="e" cm="1">
        <f t="array" aca="1" ref="AL170" ca="1">IF(INDIRECT(ADDRESS($B170+1,AL$164,1,1,"Confirmed Trend"))=0,#N/A,INDIRECT(ADDRESS($B170+1,AL$164,1,1,"Confirmed Trend")))</f>
        <v>#N/A</v>
      </c>
      <c r="AM170" s="18" cm="1">
        <f t="array" aca="1" ref="AM170" ca="1">IF(INDIRECT(ADDRESS($B170+1,AM$164,1,1,"Confirmed Trend"))=0,#N/A,INDIRECT(ADDRESS($B170+1,AM$164,1,1,"Confirmed Trend")))</f>
        <v>1.3608570299999999E-2</v>
      </c>
      <c r="AN170" s="18" cm="1">
        <f t="array" aca="1" ref="AN170" ca="1">IF(INDIRECT(ADDRESS($B170+1,AN$164,1,1,"Confirmed Trend"))=0,#N/A,INDIRECT(ADDRESS($B170+1,AN$164,1,1,"Confirmed Trend")))</f>
        <v>5.1447381799999997E-2</v>
      </c>
      <c r="AO170" s="18" cm="1">
        <f t="array" aca="1" ref="AO170" ca="1">IF(INDIRECT(ADDRESS($B170+1,AO$164,1,1,"Confirmed Trend"))=0,#N/A,INDIRECT(ADDRESS($B170+1,AO$164,1,1,"Confirmed Trend")))</f>
        <v>0.18086128630000001</v>
      </c>
      <c r="AP170" s="18" cm="1">
        <f t="array" aca="1" ref="AP170" ca="1">IF(INDIRECT(ADDRESS($B170+1,AP$164,1,1,"Confirmed Trend"))=0,#N/A,INDIRECT(ADDRESS($B170+1,AP$164,1,1,"Confirmed Trend")))</f>
        <v>0.33104882279999998</v>
      </c>
      <c r="AQ170" s="18" cm="1">
        <f t="array" aca="1" ref="AQ170" ca="1">IF(INDIRECT(ADDRESS($B170+1,AQ$164,1,1,"Confirmed Trend"))=0,#N/A,INDIRECT(ADDRESS($B170+1,AQ$164,1,1,"Confirmed Trend")))</f>
        <v>0.50509098230000005</v>
      </c>
      <c r="AR170" s="18" cm="1">
        <f t="array" aca="1" ref="AR170" ca="1">IF(INDIRECT(ADDRESS($B170+1,AR$164,1,1,"Confirmed Trend"))=0,#N/A,INDIRECT(ADDRESS($B170+1,AR$164,1,1,"Confirmed Trend")))</f>
        <v>0.59811234030000004</v>
      </c>
      <c r="AS170" s="18" cm="1">
        <f t="array" aca="1" ref="AS170" ca="1">IF(INDIRECT(ADDRESS($B170+1,AS$164,1,1,"Confirmed Trend"))=0,#N/A,INDIRECT(ADDRESS($B170+1,AS$164,1,1,"Confirmed Trend")))</f>
        <v>0.56601534740000004</v>
      </c>
      <c r="AT170" s="18" cm="1">
        <f t="array" aca="1" ref="AT170" ca="1">IF(INDIRECT(ADDRESS($B170+1,AT$164,1,1,"Confirmed Trend"))=0,#N/A,INDIRECT(ADDRESS($B170+1,AT$164,1,1,"Confirmed Trend")))</f>
        <v>0.46814927499999998</v>
      </c>
      <c r="AU170" s="18" cm="1">
        <f t="array" aca="1" ref="AU170" ca="1">IF(INDIRECT(ADDRESS($B170+1,AU$164,1,1,"Confirmed Trend"))=0,#N/A,INDIRECT(ADDRESS($B170+1,AU$164,1,1,"Confirmed Trend")))</f>
        <v>0.36652812769999998</v>
      </c>
      <c r="AV170" s="18" cm="1">
        <f t="array" aca="1" ref="AV170" ca="1">IF(INDIRECT(ADDRESS($B170+1,AV$164,1,1,"Confirmed Trend"))=0,#N/A,INDIRECT(ADDRESS($B170+1,AV$164,1,1,"Confirmed Trend")))</f>
        <v>0.31798054269999998</v>
      </c>
      <c r="AW170" s="18" cm="1">
        <f t="array" aca="1" ref="AW170" ca="1">IF(INDIRECT(ADDRESS($B170+1,AW$164,1,1,"Confirmed Trend"))=0,#N/A,INDIRECT(ADDRESS($B170+1,AW$164,1,1,"Confirmed Trend")))</f>
        <v>0.32941603949999998</v>
      </c>
      <c r="AX170" s="18" cm="1">
        <f t="array" aca="1" ref="AX170" ca="1">IF(INDIRECT(ADDRESS($B170+1,AX$164,1,1,"Confirmed Trend"))=0,#N/A,INDIRECT(ADDRESS($B170+1,AX$164,1,1,"Confirmed Trend")))</f>
        <v>0.39338657760000001</v>
      </c>
      <c r="AY170" s="18" cm="1">
        <f t="array" aca="1" ref="AY170" ca="1">IF(INDIRECT(ADDRESS($B170+1,AY$164,1,1,"Confirmed Trend"))=0,#N/A,INDIRECT(ADDRESS($B170+1,AY$164,1,1,"Confirmed Trend")))</f>
        <v>0.4152522803</v>
      </c>
      <c r="AZ170" s="18" cm="1">
        <f t="array" aca="1" ref="AZ170" ca="1">IF(INDIRECT(ADDRESS($B170+1,AZ$164,1,1,"Confirmed Trend"))=0,#N/A,INDIRECT(ADDRESS($B170+1,AZ$164,1,1,"Confirmed Trend")))</f>
        <v>0.39547260169999998</v>
      </c>
      <c r="BA170" s="18" cm="1">
        <f t="array" aca="1" ref="BA170" ca="1">IF(INDIRECT(ADDRESS($B170+1,BA$164,1,1,"Confirmed Trend"))=0,#N/A,INDIRECT(ADDRESS($B170+1,BA$164,1,1,"Confirmed Trend")))</f>
        <v>0.3303518252</v>
      </c>
      <c r="BB170" s="18" cm="1">
        <f t="array" aca="1" ref="BB170" ca="1">IF(INDIRECT(ADDRESS($B170+1,BB$164,1,1,"Confirmed Trend"))=0,#N/A,INDIRECT(ADDRESS($B170+1,BB$164,1,1,"Confirmed Trend")))</f>
        <v>0.27768437219999997</v>
      </c>
      <c r="BC170" s="18" cm="1">
        <f t="array" aca="1" ref="BC170" ca="1">IF(INDIRECT(ADDRESS($B170+1,BC$164,1,1,"Confirmed Trend"))=0,#N/A,INDIRECT(ADDRESS($B170+1,BC$164,1,1,"Confirmed Trend")))</f>
        <v>0.23499137749999999</v>
      </c>
      <c r="BD170" s="18" cm="1">
        <f t="array" aca="1" ref="BD170" ca="1">IF(INDIRECT(ADDRESS($B170+1,BD$164,1,1,"Confirmed Trend"))=0,#N/A,INDIRECT(ADDRESS($B170+1,BD$164,1,1,"Confirmed Trend")))</f>
        <v>0.2579309004</v>
      </c>
      <c r="BE170" s="18" cm="1">
        <f t="array" aca="1" ref="BE170" ca="1">IF(INDIRECT(ADDRESS($B170+1,BE$164,1,1,"Confirmed Trend"))=0,#N/A,INDIRECT(ADDRESS($B170+1,BE$164,1,1,"Confirmed Trend")))</f>
        <v>0.26088408670000002</v>
      </c>
      <c r="BF170" s="18" cm="1">
        <f t="array" aca="1" ref="BF170" ca="1">IF(INDIRECT(ADDRESS($B170+1,BF$164,1,1,"Confirmed Trend"))=0,#N/A,INDIRECT(ADDRESS($B170+1,BF$164,1,1,"Confirmed Trend")))</f>
        <v>0.2439622736</v>
      </c>
      <c r="BG170" s="18" cm="1">
        <f t="array" aca="1" ref="BG170" ca="1">IF(INDIRECT(ADDRESS($B170+1,BG$164,1,1,"Confirmed Trend"))=0,#N/A,INDIRECT(ADDRESS($B170+1,BG$164,1,1,"Confirmed Trend")))</f>
        <v>0.25216941669999998</v>
      </c>
      <c r="BH170" s="18" cm="1">
        <f t="array" aca="1" ref="BH170" ca="1">IF(INDIRECT(ADDRESS($B170+1,BH$164,1,1,"Confirmed Trend"))=0,#N/A,INDIRECT(ADDRESS($B170+1,BH$164,1,1,"Confirmed Trend")))</f>
        <v>0.2293893521</v>
      </c>
      <c r="BI170" s="18" cm="1">
        <f t="array" aca="1" ref="BI170" ca="1">IF(INDIRECT(ADDRESS($B170+1,BI$164,1,1,"Confirmed Trend"))=0,#N/A,INDIRECT(ADDRESS($B170+1,BI$164,1,1,"Confirmed Trend")))</f>
        <v>0.2234782833</v>
      </c>
      <c r="BJ170" s="18" cm="1">
        <f t="array" aca="1" ref="BJ170" ca="1">IF(INDIRECT(ADDRESS($B170+1,BJ$164,1,1,"Confirmed Trend"))=0,#N/A,INDIRECT(ADDRESS($B170+1,BJ$164,1,1,"Confirmed Trend")))</f>
        <v>0.2154894597</v>
      </c>
      <c r="BK170" s="18" cm="1">
        <f t="array" aca="1" ref="BK170" ca="1">IF(INDIRECT(ADDRESS($B170+1,BK$164,1,1,"Confirmed Trend"))=0,#N/A,INDIRECT(ADDRESS($B170+1,BK$164,1,1,"Confirmed Trend")))</f>
        <v>0.2016266598</v>
      </c>
      <c r="BL170" s="18" cm="1">
        <f t="array" aca="1" ref="BL170" ca="1">IF(INDIRECT(ADDRESS($B170+1,BL$164,1,1,"Confirmed Trend"))=0,#N/A,INDIRECT(ADDRESS($B170+1,BL$164,1,1,"Confirmed Trend")))</f>
        <v>0.19076305700000001</v>
      </c>
      <c r="BM170" s="18" cm="1">
        <f t="array" aca="1" ref="BM170" ca="1">IF(INDIRECT(ADDRESS($B170+1,BM$164,1,1,"Confirmed Trend"))=0,#N/A,INDIRECT(ADDRESS($B170+1,BM$164,1,1,"Confirmed Trend")))</f>
        <v>0.16459604899999999</v>
      </c>
      <c r="BN170" s="18" cm="1">
        <f t="array" aca="1" ref="BN170" ca="1">IF(INDIRECT(ADDRESS($B170+1,BN$164,1,1,"Confirmed Trend"))=0,#N/A,INDIRECT(ADDRESS($B170+1,BN$164,1,1,"Confirmed Trend")))</f>
        <v>0.16141461139999999</v>
      </c>
      <c r="BO170" s="18" cm="1">
        <f t="array" aca="1" ref="BO170" ca="1">IF(INDIRECT(ADDRESS($B170+1,BO$164,1,1,"Confirmed Trend"))=0,#N/A,INDIRECT(ADDRESS($B170+1,BO$164,1,1,"Confirmed Trend")))</f>
        <v>0.15646377210000001</v>
      </c>
      <c r="BP170" s="18" cm="1">
        <f t="array" aca="1" ref="BP170" ca="1">IF(INDIRECT(ADDRESS($B170+1,BP$164,1,1,"Confirmed Trend"))=0,#N/A,INDIRECT(ADDRESS($B170+1,BP$164,1,1,"Confirmed Trend")))</f>
        <v>0.15579636720000001</v>
      </c>
      <c r="BQ170" s="18" cm="1">
        <f t="array" aca="1" ref="BQ170" ca="1">IF(INDIRECT(ADDRESS($B170+1,BQ$164,1,1,"Confirmed Trend"))=0,#N/A,INDIRECT(ADDRESS($B170+1,BQ$164,1,1,"Confirmed Trend")))</f>
        <v>0.1562262549</v>
      </c>
      <c r="BR170" s="18" cm="1">
        <f t="array" aca="1" ref="BR170" ca="1">IF(INDIRECT(ADDRESS($B170+1,BR$164,1,1,"Confirmed Trend"))=0,#N/A,INDIRECT(ADDRESS($B170+1,BR$164,1,1,"Confirmed Trend")))</f>
        <v>0.1487816501</v>
      </c>
      <c r="BS170" s="18" cm="1">
        <f t="array" aca="1" ref="BS170" ca="1">IF(INDIRECT(ADDRESS($B170+1,BS$164,1,1,"Confirmed Trend"))=0,#N/A,INDIRECT(ADDRESS($B170+1,BS$164,1,1,"Confirmed Trend")))</f>
        <v>0.14413575689999999</v>
      </c>
      <c r="BT170" s="18" cm="1">
        <f t="array" aca="1" ref="BT170" ca="1">IF(INDIRECT(ADDRESS($B170+1,BT$164,1,1,"Confirmed Trend"))=0,#N/A,INDIRECT(ADDRESS($B170+1,BT$164,1,1,"Confirmed Trend")))</f>
        <v>0.1321291101</v>
      </c>
      <c r="BU170" s="18" cm="1">
        <f t="array" aca="1" ref="BU170" ca="1">IF(INDIRECT(ADDRESS($B170+1,BU$164,1,1,"Confirmed Trend"))=0,#N/A,INDIRECT(ADDRESS($B170+1,BU$164,1,1,"Confirmed Trend")))</f>
        <v>0.1237461338</v>
      </c>
      <c r="BV170" s="18" cm="1">
        <f t="array" aca="1" ref="BV170" ca="1">IF(INDIRECT(ADDRESS($B170+1,BV$164,1,1,"Confirmed Trend"))=0,#N/A,INDIRECT(ADDRESS($B170+1,BV$164,1,1,"Confirmed Trend")))</f>
        <v>0.1089261712</v>
      </c>
    </row>
    <row r="171" spans="2:74" x14ac:dyDescent="0.25">
      <c r="B171">
        <f t="shared" si="132"/>
        <v>6</v>
      </c>
      <c r="C171" t="str" cm="1">
        <f t="array" aca="1" ref="C171" ca="1">INDIRECT(ADDRESS($B171+1,1,1,1,"Confirmed Trend"))</f>
        <v>Germany</v>
      </c>
      <c r="E171" s="18" t="e" cm="1">
        <f t="array" aca="1" ref="E171" ca="1">IF(INDIRECT(ADDRESS($B171+1,E$164,1,1,"Confirmed Trend"))=0,#N/A,INDIRECT(ADDRESS($B171+1,E$164,1,1,"Confirmed Trend")))</f>
        <v>#N/A</v>
      </c>
      <c r="F171" s="18" t="e" cm="1">
        <f t="array" aca="1" ref="F171" ca="1">IF(INDIRECT(ADDRESS($B171+1,F$164,1,1,"Confirmed Trend"))=0,#N/A,INDIRECT(ADDRESS($B171+1,F$164,1,1,"Confirmed Trend")))</f>
        <v>#N/A</v>
      </c>
      <c r="G171" s="18" t="e" cm="1">
        <f t="array" aca="1" ref="G171" ca="1">IF(INDIRECT(ADDRESS($B171+1,G$164,1,1,"Confirmed Trend"))=0,#N/A,INDIRECT(ADDRESS($B171+1,G$164,1,1,"Confirmed Trend")))</f>
        <v>#N/A</v>
      </c>
      <c r="H171" s="18" t="e" cm="1">
        <f t="array" aca="1" ref="H171" ca="1">IF(INDIRECT(ADDRESS($B171+1,H$164,1,1,"Confirmed Trend"))=0,#N/A,INDIRECT(ADDRESS($B171+1,H$164,1,1,"Confirmed Trend")))</f>
        <v>#N/A</v>
      </c>
      <c r="I171" s="18" t="e" cm="1">
        <f t="array" aca="1" ref="I171" ca="1">IF(INDIRECT(ADDRESS($B171+1,I$164,1,1,"Confirmed Trend"))=0,#N/A,INDIRECT(ADDRESS($B171+1,I$164,1,1,"Confirmed Trend")))</f>
        <v>#N/A</v>
      </c>
      <c r="J171" s="18" t="e" cm="1">
        <f t="array" aca="1" ref="J171" ca="1">IF(INDIRECT(ADDRESS($B171+1,J$164,1,1,"Confirmed Trend"))=0,#N/A,INDIRECT(ADDRESS($B171+1,J$164,1,1,"Confirmed Trend")))</f>
        <v>#N/A</v>
      </c>
      <c r="K171" s="18" t="e" cm="1">
        <f t="array" aca="1" ref="K171" ca="1">IF(INDIRECT(ADDRESS($B171+1,K$164,1,1,"Confirmed Trend"))=0,#N/A,INDIRECT(ADDRESS($B171+1,K$164,1,1,"Confirmed Trend")))</f>
        <v>#N/A</v>
      </c>
      <c r="L171" s="18" t="e" cm="1">
        <f t="array" aca="1" ref="L171" ca="1">IF(INDIRECT(ADDRESS($B171+1,L$164,1,1,"Confirmed Trend"))=0,#N/A,INDIRECT(ADDRESS($B171+1,L$164,1,1,"Confirmed Trend")))</f>
        <v>#N/A</v>
      </c>
      <c r="M171" s="18" t="e" cm="1">
        <f t="array" aca="1" ref="M171" ca="1">IF(INDIRECT(ADDRESS($B171+1,M$164,1,1,"Confirmed Trend"))=0,#N/A,INDIRECT(ADDRESS($B171+1,M$164,1,1,"Confirmed Trend")))</f>
        <v>#N/A</v>
      </c>
      <c r="N171" s="18" t="e" cm="1">
        <f t="array" aca="1" ref="N171" ca="1">IF(INDIRECT(ADDRESS($B171+1,N$164,1,1,"Confirmed Trend"))=0,#N/A,INDIRECT(ADDRESS($B171+1,N$164,1,1,"Confirmed Trend")))</f>
        <v>#N/A</v>
      </c>
      <c r="O171" s="18" t="e" cm="1">
        <f t="array" aca="1" ref="O171" ca="1">IF(INDIRECT(ADDRESS($B171+1,O$164,1,1,"Confirmed Trend"))=0,#N/A,INDIRECT(ADDRESS($B171+1,O$164,1,1,"Confirmed Trend")))</f>
        <v>#N/A</v>
      </c>
      <c r="P171" s="18" t="e" cm="1">
        <f t="array" aca="1" ref="P171" ca="1">IF(INDIRECT(ADDRESS($B171+1,P$164,1,1,"Confirmed Trend"))=0,#N/A,INDIRECT(ADDRESS($B171+1,P$164,1,1,"Confirmed Trend")))</f>
        <v>#N/A</v>
      </c>
      <c r="Q171" s="18" t="e" cm="1">
        <f t="array" aca="1" ref="Q171" ca="1">IF(INDIRECT(ADDRESS($B171+1,Q$164,1,1,"Confirmed Trend"))=0,#N/A,INDIRECT(ADDRESS($B171+1,Q$164,1,1,"Confirmed Trend")))</f>
        <v>#N/A</v>
      </c>
      <c r="R171" s="18" t="e" cm="1">
        <f t="array" aca="1" ref="R171" ca="1">IF(INDIRECT(ADDRESS($B171+1,R$164,1,1,"Confirmed Trend"))=0,#N/A,INDIRECT(ADDRESS($B171+1,R$164,1,1,"Confirmed Trend")))</f>
        <v>#N/A</v>
      </c>
      <c r="S171" s="18" t="e" cm="1">
        <f t="array" aca="1" ref="S171" ca="1">IF(INDIRECT(ADDRESS($B171+1,S$164,1,1,"Confirmed Trend"))=0,#N/A,INDIRECT(ADDRESS($B171+1,S$164,1,1,"Confirmed Trend")))</f>
        <v>#N/A</v>
      </c>
      <c r="T171" s="18" t="e" cm="1">
        <f t="array" aca="1" ref="T171" ca="1">IF(INDIRECT(ADDRESS($B171+1,T$164,1,1,"Confirmed Trend"))=0,#N/A,INDIRECT(ADDRESS($B171+1,T$164,1,1,"Confirmed Trend")))</f>
        <v>#N/A</v>
      </c>
      <c r="U171" s="18" t="e" cm="1">
        <f t="array" aca="1" ref="U171" ca="1">IF(INDIRECT(ADDRESS($B171+1,U$164,1,1,"Confirmed Trend"))=0,#N/A,INDIRECT(ADDRESS($B171+1,U$164,1,1,"Confirmed Trend")))</f>
        <v>#N/A</v>
      </c>
      <c r="V171" s="18" cm="1">
        <f t="array" aca="1" ref="V171" ca="1">IF(INDIRECT(ADDRESS($B171+1,V$164,1,1,"Confirmed Trend"))=0,#N/A,INDIRECT(ADDRESS($B171+1,V$164,1,1,"Confirmed Trend")))</f>
        <v>2.8196615299999998E-2</v>
      </c>
      <c r="W171" s="18" cm="1">
        <f t="array" aca="1" ref="W171" ca="1">IF(INDIRECT(ADDRESS($B171+1,W$164,1,1,"Confirmed Trend"))=0,#N/A,INDIRECT(ADDRESS($B171+1,W$164,1,1,"Confirmed Trend")))</f>
        <v>2.6690096100000001E-2</v>
      </c>
      <c r="X171" s="18" cm="1">
        <f t="array" aca="1" ref="X171" ca="1">IF(INDIRECT(ADDRESS($B171+1,X$164,1,1,"Confirmed Trend"))=0,#N/A,INDIRECT(ADDRESS($B171+1,X$164,1,1,"Confirmed Trend")))</f>
        <v>3.3047614099999997E-2</v>
      </c>
      <c r="Y171" s="18" cm="1">
        <f t="array" aca="1" ref="Y171" ca="1">IF(INDIRECT(ADDRESS($B171+1,Y$164,1,1,"Confirmed Trend"))=0,#N/A,INDIRECT(ADDRESS($B171+1,Y$164,1,1,"Confirmed Trend")))</f>
        <v>4.4269847100000002E-2</v>
      </c>
      <c r="Z171" s="18" cm="1">
        <f t="array" aca="1" ref="Z171" ca="1">IF(INDIRECT(ADDRESS($B171+1,Z$164,1,1,"Confirmed Trend"))=0,#N/A,INDIRECT(ADDRESS($B171+1,Z$164,1,1,"Confirmed Trend")))</f>
        <v>4.8922880100000003E-2</v>
      </c>
      <c r="AA171" s="18" cm="1">
        <f t="array" aca="1" ref="AA171" ca="1">IF(INDIRECT(ADDRESS($B171+1,AA$164,1,1,"Confirmed Trend"))=0,#N/A,INDIRECT(ADDRESS($B171+1,AA$164,1,1,"Confirmed Trend")))</f>
        <v>4.6635139399999997E-2</v>
      </c>
      <c r="AB171" s="18" cm="1">
        <f t="array" aca="1" ref="AB171" ca="1">IF(INDIRECT(ADDRESS($B171+1,AB$164,1,1,"Confirmed Trend"))=0,#N/A,INDIRECT(ADDRESS($B171+1,AB$164,1,1,"Confirmed Trend")))</f>
        <v>4.0194001899999998E-2</v>
      </c>
      <c r="AC171" s="18" cm="1">
        <f t="array" aca="1" ref="AC171" ca="1">IF(INDIRECT(ADDRESS($B171+1,AC$164,1,1,"Confirmed Trend"))=0,#N/A,INDIRECT(ADDRESS($B171+1,AC$164,1,1,"Confirmed Trend")))</f>
        <v>2.1991162299999999E-2</v>
      </c>
      <c r="AD171" s="18" cm="1">
        <f t="array" aca="1" ref="AD171" ca="1">IF(INDIRECT(ADDRESS($B171+1,AD$164,1,1,"Confirmed Trend"))=0,#N/A,INDIRECT(ADDRESS($B171+1,AD$164,1,1,"Confirmed Trend")))</f>
        <v>1.06967087E-2</v>
      </c>
      <c r="AE171" s="18" t="e" cm="1">
        <f t="array" aca="1" ref="AE171" ca="1">IF(INDIRECT(ADDRESS($B171+1,AE$164,1,1,"Confirmed Trend"))=0,#N/A,INDIRECT(ADDRESS($B171+1,AE$164,1,1,"Confirmed Trend")))</f>
        <v>#N/A</v>
      </c>
      <c r="AF171" s="18" t="e" cm="1">
        <f t="array" aca="1" ref="AF171" ca="1">IF(INDIRECT(ADDRESS($B171+1,AF$164,1,1,"Confirmed Trend"))=0,#N/A,INDIRECT(ADDRESS($B171+1,AF$164,1,1,"Confirmed Trend")))</f>
        <v>#N/A</v>
      </c>
      <c r="AG171" s="18" t="e" cm="1">
        <f t="array" aca="1" ref="AG171" ca="1">IF(INDIRECT(ADDRESS($B171+1,AG$164,1,1,"Confirmed Trend"))=0,#N/A,INDIRECT(ADDRESS($B171+1,AG$164,1,1,"Confirmed Trend")))</f>
        <v>#N/A</v>
      </c>
      <c r="AH171" s="18" t="e" cm="1">
        <f t="array" aca="1" ref="AH171" ca="1">IF(INDIRECT(ADDRESS($B171+1,AH$164,1,1,"Confirmed Trend"))=0,#N/A,INDIRECT(ADDRESS($B171+1,AH$164,1,1,"Confirmed Trend")))</f>
        <v>#N/A</v>
      </c>
      <c r="AI171" s="18" t="e" cm="1">
        <f t="array" aca="1" ref="AI171" ca="1">IF(INDIRECT(ADDRESS($B171+1,AI$164,1,1,"Confirmed Trend"))=0,#N/A,INDIRECT(ADDRESS($B171+1,AI$164,1,1,"Confirmed Trend")))</f>
        <v>#N/A</v>
      </c>
      <c r="AJ171" s="18" t="e" cm="1">
        <f t="array" aca="1" ref="AJ171" ca="1">IF(INDIRECT(ADDRESS($B171+1,AJ$164,1,1,"Confirmed Trend"))=0,#N/A,INDIRECT(ADDRESS($B171+1,AJ$164,1,1,"Confirmed Trend")))</f>
        <v>#N/A</v>
      </c>
      <c r="AK171" s="18" t="e" cm="1">
        <f t="array" aca="1" ref="AK171" ca="1">IF(INDIRECT(ADDRESS($B171+1,AK$164,1,1,"Confirmed Trend"))=0,#N/A,INDIRECT(ADDRESS($B171+1,AK$164,1,1,"Confirmed Trend")))</f>
        <v>#N/A</v>
      </c>
      <c r="AL171" s="18" t="e" cm="1">
        <f t="array" aca="1" ref="AL171" ca="1">IF(INDIRECT(ADDRESS($B171+1,AL$164,1,1,"Confirmed Trend"))=0,#N/A,INDIRECT(ADDRESS($B171+1,AL$164,1,1,"Confirmed Trend")))</f>
        <v>#N/A</v>
      </c>
      <c r="AM171" s="18" cm="1">
        <f t="array" aca="1" ref="AM171" ca="1">IF(INDIRECT(ADDRESS($B171+1,AM$164,1,1,"Confirmed Trend"))=0,#N/A,INDIRECT(ADDRESS($B171+1,AM$164,1,1,"Confirmed Trend")))</f>
        <v>5.1681308000000002E-3</v>
      </c>
      <c r="AN171" s="18" cm="1">
        <f t="array" aca="1" ref="AN171" ca="1">IF(INDIRECT(ADDRESS($B171+1,AN$164,1,1,"Confirmed Trend"))=0,#N/A,INDIRECT(ADDRESS($B171+1,AN$164,1,1,"Confirmed Trend")))</f>
        <v>5.7371263399999997E-2</v>
      </c>
      <c r="AO171" s="18" cm="1">
        <f t="array" aca="1" ref="AO171" ca="1">IF(INDIRECT(ADDRESS($B171+1,AO$164,1,1,"Confirmed Trend"))=0,#N/A,INDIRECT(ADDRESS($B171+1,AO$164,1,1,"Confirmed Trend")))</f>
        <v>0.17017365970000001</v>
      </c>
      <c r="AP171" s="18" cm="1">
        <f t="array" aca="1" ref="AP171" ca="1">IF(INDIRECT(ADDRESS($B171+1,AP$164,1,1,"Confirmed Trend"))=0,#N/A,INDIRECT(ADDRESS($B171+1,AP$164,1,1,"Confirmed Trend")))</f>
        <v>0.26004493579999999</v>
      </c>
      <c r="AQ171" s="18" cm="1">
        <f t="array" aca="1" ref="AQ171" ca="1">IF(INDIRECT(ADDRESS($B171+1,AQ$164,1,1,"Confirmed Trend"))=0,#N/A,INDIRECT(ADDRESS($B171+1,AQ$164,1,1,"Confirmed Trend")))</f>
        <v>0.37076341810000002</v>
      </c>
      <c r="AR171" s="18" cm="1">
        <f t="array" aca="1" ref="AR171" ca="1">IF(INDIRECT(ADDRESS($B171+1,AR$164,1,1,"Confirmed Trend"))=0,#N/A,INDIRECT(ADDRESS($B171+1,AR$164,1,1,"Confirmed Trend")))</f>
        <v>0.43861792830000002</v>
      </c>
      <c r="AS171" s="18" cm="1">
        <f t="array" aca="1" ref="AS171" ca="1">IF(INDIRECT(ADDRESS($B171+1,AS$164,1,1,"Confirmed Trend"))=0,#N/A,INDIRECT(ADDRESS($B171+1,AS$164,1,1,"Confirmed Trend")))</f>
        <v>0.42200566750000001</v>
      </c>
      <c r="AT171" s="18" cm="1">
        <f t="array" aca="1" ref="AT171" ca="1">IF(INDIRECT(ADDRESS($B171+1,AT$164,1,1,"Confirmed Trend"))=0,#N/A,INDIRECT(ADDRESS($B171+1,AT$164,1,1,"Confirmed Trend")))</f>
        <v>0.41494347929999997</v>
      </c>
      <c r="AU171" s="18" cm="1">
        <f t="array" aca="1" ref="AU171" ca="1">IF(INDIRECT(ADDRESS($B171+1,AU$164,1,1,"Confirmed Trend"))=0,#N/A,INDIRECT(ADDRESS($B171+1,AU$164,1,1,"Confirmed Trend")))</f>
        <v>0.3742310761</v>
      </c>
      <c r="AV171" s="18" cm="1">
        <f t="array" aca="1" ref="AV171" ca="1">IF(INDIRECT(ADDRESS($B171+1,AV$164,1,1,"Confirmed Trend"))=0,#N/A,INDIRECT(ADDRESS($B171+1,AV$164,1,1,"Confirmed Trend")))</f>
        <v>0.38292517469999998</v>
      </c>
      <c r="AW171" s="18" cm="1">
        <f t="array" aca="1" ref="AW171" ca="1">IF(INDIRECT(ADDRESS($B171+1,AW$164,1,1,"Confirmed Trend"))=0,#N/A,INDIRECT(ADDRESS($B171+1,AW$164,1,1,"Confirmed Trend")))</f>
        <v>0.40007208849999998</v>
      </c>
      <c r="AX171" s="18" cm="1">
        <f t="array" aca="1" ref="AX171" ca="1">IF(INDIRECT(ADDRESS($B171+1,AX$164,1,1,"Confirmed Trend"))=0,#N/A,INDIRECT(ADDRESS($B171+1,AX$164,1,1,"Confirmed Trend")))</f>
        <v>0.41621399809999998</v>
      </c>
      <c r="AY171" s="18" cm="1">
        <f t="array" aca="1" ref="AY171" ca="1">IF(INDIRECT(ADDRESS($B171+1,AY$164,1,1,"Confirmed Trend"))=0,#N/A,INDIRECT(ADDRESS($B171+1,AY$164,1,1,"Confirmed Trend")))</f>
        <v>0.42005077870000002</v>
      </c>
      <c r="AZ171" s="18" cm="1">
        <f t="array" aca="1" ref="AZ171" ca="1">IF(INDIRECT(ADDRESS($B171+1,AZ$164,1,1,"Confirmed Trend"))=0,#N/A,INDIRECT(ADDRESS($B171+1,AZ$164,1,1,"Confirmed Trend")))</f>
        <v>0.33825805390000002</v>
      </c>
      <c r="BA171" s="18" cm="1">
        <f t="array" aca="1" ref="BA171" ca="1">IF(INDIRECT(ADDRESS($B171+1,BA$164,1,1,"Confirmed Trend"))=0,#N/A,INDIRECT(ADDRESS($B171+1,BA$164,1,1,"Confirmed Trend")))</f>
        <v>0.2695297418</v>
      </c>
      <c r="BB171" s="18" cm="1">
        <f t="array" aca="1" ref="BB171" ca="1">IF(INDIRECT(ADDRESS($B171+1,BB$164,1,1,"Confirmed Trend"))=0,#N/A,INDIRECT(ADDRESS($B171+1,BB$164,1,1,"Confirmed Trend")))</f>
        <v>0.235160965</v>
      </c>
      <c r="BC171" s="18" cm="1">
        <f t="array" aca="1" ref="BC171" ca="1">IF(INDIRECT(ADDRESS($B171+1,BC$164,1,1,"Confirmed Trend"))=0,#N/A,INDIRECT(ADDRESS($B171+1,BC$164,1,1,"Confirmed Trend")))</f>
        <v>0.2136247322</v>
      </c>
      <c r="BD171" s="18" cm="1">
        <f t="array" aca="1" ref="BD171" ca="1">IF(INDIRECT(ADDRESS($B171+1,BD$164,1,1,"Confirmed Trend"))=0,#N/A,INDIRECT(ADDRESS($B171+1,BD$164,1,1,"Confirmed Trend")))</f>
        <v>0.26255276249999998</v>
      </c>
      <c r="BE171" s="18" cm="1">
        <f t="array" aca="1" ref="BE171" ca="1">IF(INDIRECT(ADDRESS($B171+1,BE$164,1,1,"Confirmed Trend"))=0,#N/A,INDIRECT(ADDRESS($B171+1,BE$164,1,1,"Confirmed Trend")))</f>
        <v>0.2952508915</v>
      </c>
      <c r="BF171" s="18" cm="1">
        <f t="array" aca="1" ref="BF171" ca="1">IF(INDIRECT(ADDRESS($B171+1,BF$164,1,1,"Confirmed Trend"))=0,#N/A,INDIRECT(ADDRESS($B171+1,BF$164,1,1,"Confirmed Trend")))</f>
        <v>0.32638571830000002</v>
      </c>
      <c r="BG171" s="18" cm="1">
        <f t="array" aca="1" ref="BG171" ca="1">IF(INDIRECT(ADDRESS($B171+1,BG$164,1,1,"Confirmed Trend"))=0,#N/A,INDIRECT(ADDRESS($B171+1,BG$164,1,1,"Confirmed Trend")))</f>
        <v>0.34195791479999998</v>
      </c>
      <c r="BH171" s="18" cm="1">
        <f t="array" aca="1" ref="BH171" ca="1">IF(INDIRECT(ADDRESS($B171+1,BH$164,1,1,"Confirmed Trend"))=0,#N/A,INDIRECT(ADDRESS($B171+1,BH$164,1,1,"Confirmed Trend")))</f>
        <v>0.30653677369999999</v>
      </c>
      <c r="BI171" s="18" cm="1">
        <f t="array" aca="1" ref="BI171" ca="1">IF(INDIRECT(ADDRESS($B171+1,BI$164,1,1,"Confirmed Trend"))=0,#N/A,INDIRECT(ADDRESS($B171+1,BI$164,1,1,"Confirmed Trend")))</f>
        <v>0.29255758450000002</v>
      </c>
      <c r="BJ171" s="18" cm="1">
        <f t="array" aca="1" ref="BJ171" ca="1">IF(INDIRECT(ADDRESS($B171+1,BJ$164,1,1,"Confirmed Trend"))=0,#N/A,INDIRECT(ADDRESS($B171+1,BJ$164,1,1,"Confirmed Trend")))</f>
        <v>0.27294795560000001</v>
      </c>
      <c r="BK171" s="18" cm="1">
        <f t="array" aca="1" ref="BK171" ca="1">IF(INDIRECT(ADDRESS($B171+1,BK$164,1,1,"Confirmed Trend"))=0,#N/A,INDIRECT(ADDRESS($B171+1,BK$164,1,1,"Confirmed Trend")))</f>
        <v>0.28074743070000002</v>
      </c>
      <c r="BL171" s="18" cm="1">
        <f t="array" aca="1" ref="BL171" ca="1">IF(INDIRECT(ADDRESS($B171+1,BL$164,1,1,"Confirmed Trend"))=0,#N/A,INDIRECT(ADDRESS($B171+1,BL$164,1,1,"Confirmed Trend")))</f>
        <v>0.26619042399999998</v>
      </c>
      <c r="BM171" s="18" cm="1">
        <f t="array" aca="1" ref="BM171" ca="1">IF(INDIRECT(ADDRESS($B171+1,BM$164,1,1,"Confirmed Trend"))=0,#N/A,INDIRECT(ADDRESS($B171+1,BM$164,1,1,"Confirmed Trend")))</f>
        <v>0.23410656469999999</v>
      </c>
      <c r="BN171" s="18" cm="1">
        <f t="array" aca="1" ref="BN171" ca="1">IF(INDIRECT(ADDRESS($B171+1,BN$164,1,1,"Confirmed Trend"))=0,#N/A,INDIRECT(ADDRESS($B171+1,BN$164,1,1,"Confirmed Trend")))</f>
        <v>0.1984990928</v>
      </c>
      <c r="BO171" s="18" cm="1">
        <f t="array" aca="1" ref="BO171" ca="1">IF(INDIRECT(ADDRESS($B171+1,BO$164,1,1,"Confirmed Trend"))=0,#N/A,INDIRECT(ADDRESS($B171+1,BO$164,1,1,"Confirmed Trend")))</f>
        <v>0.1630856852</v>
      </c>
      <c r="BP171" s="18" cm="1">
        <f t="array" aca="1" ref="BP171" ca="1">IF(INDIRECT(ADDRESS($B171+1,BP$164,1,1,"Confirmed Trend"))=0,#N/A,INDIRECT(ADDRESS($B171+1,BP$164,1,1,"Confirmed Trend")))</f>
        <v>0.14713975560000001</v>
      </c>
      <c r="BQ171" s="18" cm="1">
        <f t="array" aca="1" ref="BQ171" ca="1">IF(INDIRECT(ADDRESS($B171+1,BQ$164,1,1,"Confirmed Trend"))=0,#N/A,INDIRECT(ADDRESS($B171+1,BQ$164,1,1,"Confirmed Trend")))</f>
        <v>0.14300862189999999</v>
      </c>
      <c r="BR171" s="18" cm="1">
        <f t="array" aca="1" ref="BR171" ca="1">IF(INDIRECT(ADDRESS($B171+1,BR$164,1,1,"Confirmed Trend"))=0,#N/A,INDIRECT(ADDRESS($B171+1,BR$164,1,1,"Confirmed Trend")))</f>
        <v>0.1477463812</v>
      </c>
      <c r="BS171" s="18" cm="1">
        <f t="array" aca="1" ref="BS171" ca="1">IF(INDIRECT(ADDRESS($B171+1,BS$164,1,1,"Confirmed Trend"))=0,#N/A,INDIRECT(ADDRESS($B171+1,BS$164,1,1,"Confirmed Trend")))</f>
        <v>0.15092394349999999</v>
      </c>
      <c r="BT171" s="18" cm="1">
        <f t="array" aca="1" ref="BT171" ca="1">IF(INDIRECT(ADDRESS($B171+1,BT$164,1,1,"Confirmed Trend"))=0,#N/A,INDIRECT(ADDRESS($B171+1,BT$164,1,1,"Confirmed Trend")))</f>
        <v>0.1447883794</v>
      </c>
      <c r="BU171" s="18" cm="1">
        <f t="array" aca="1" ref="BU171" ca="1">IF(INDIRECT(ADDRESS($B171+1,BU$164,1,1,"Confirmed Trend"))=0,#N/A,INDIRECT(ADDRESS($B171+1,BU$164,1,1,"Confirmed Trend")))</f>
        <v>0.1306035344</v>
      </c>
      <c r="BV171" s="18" cm="1">
        <f t="array" aca="1" ref="BV171" ca="1">IF(INDIRECT(ADDRESS($B171+1,BV$164,1,1,"Confirmed Trend"))=0,#N/A,INDIRECT(ADDRESS($B171+1,BV$164,1,1,"Confirmed Trend")))</f>
        <v>7.7139866299999998E-2</v>
      </c>
    </row>
    <row r="172" spans="2:74" x14ac:dyDescent="0.25">
      <c r="B172">
        <f t="shared" si="132"/>
        <v>7</v>
      </c>
      <c r="C172" t="str" cm="1">
        <f t="array" aca="1" ref="C172" ca="1">INDIRECT(ADDRESS($B172+1,1,1,1,"Confirmed Trend"))</f>
        <v>India</v>
      </c>
      <c r="E172" s="18" t="e" cm="1">
        <f t="array" aca="1" ref="E172" ca="1">IF(INDIRECT(ADDRESS($B172+1,E$164,1,1,"Confirmed Trend"))=0,#N/A,INDIRECT(ADDRESS($B172+1,E$164,1,1,"Confirmed Trend")))</f>
        <v>#N/A</v>
      </c>
      <c r="F172" s="18" t="e" cm="1">
        <f t="array" aca="1" ref="F172" ca="1">IF(INDIRECT(ADDRESS($B172+1,F$164,1,1,"Confirmed Trend"))=0,#N/A,INDIRECT(ADDRESS($B172+1,F$164,1,1,"Confirmed Trend")))</f>
        <v>#N/A</v>
      </c>
      <c r="G172" s="18" t="e" cm="1">
        <f t="array" aca="1" ref="G172" ca="1">IF(INDIRECT(ADDRESS($B172+1,G$164,1,1,"Confirmed Trend"))=0,#N/A,INDIRECT(ADDRESS($B172+1,G$164,1,1,"Confirmed Trend")))</f>
        <v>#N/A</v>
      </c>
      <c r="H172" s="18" t="e" cm="1">
        <f t="array" aca="1" ref="H172" ca="1">IF(INDIRECT(ADDRESS($B172+1,H$164,1,1,"Confirmed Trend"))=0,#N/A,INDIRECT(ADDRESS($B172+1,H$164,1,1,"Confirmed Trend")))</f>
        <v>#N/A</v>
      </c>
      <c r="I172" s="18" t="e" cm="1">
        <f t="array" aca="1" ref="I172" ca="1">IF(INDIRECT(ADDRESS($B172+1,I$164,1,1,"Confirmed Trend"))=0,#N/A,INDIRECT(ADDRESS($B172+1,I$164,1,1,"Confirmed Trend")))</f>
        <v>#N/A</v>
      </c>
      <c r="J172" s="18" t="e" cm="1">
        <f t="array" aca="1" ref="J172" ca="1">IF(INDIRECT(ADDRESS($B172+1,J$164,1,1,"Confirmed Trend"))=0,#N/A,INDIRECT(ADDRESS($B172+1,J$164,1,1,"Confirmed Trend")))</f>
        <v>#N/A</v>
      </c>
      <c r="K172" s="18" t="e" cm="1">
        <f t="array" aca="1" ref="K172" ca="1">IF(INDIRECT(ADDRESS($B172+1,K$164,1,1,"Confirmed Trend"))=0,#N/A,INDIRECT(ADDRESS($B172+1,K$164,1,1,"Confirmed Trend")))</f>
        <v>#N/A</v>
      </c>
      <c r="L172" s="18" t="e" cm="1">
        <f t="array" aca="1" ref="L172" ca="1">IF(INDIRECT(ADDRESS($B172+1,L$164,1,1,"Confirmed Trend"))=0,#N/A,INDIRECT(ADDRESS($B172+1,L$164,1,1,"Confirmed Trend")))</f>
        <v>#N/A</v>
      </c>
      <c r="M172" s="18" t="e" cm="1">
        <f t="array" aca="1" ref="M172" ca="1">IF(INDIRECT(ADDRESS($B172+1,M$164,1,1,"Confirmed Trend"))=0,#N/A,INDIRECT(ADDRESS($B172+1,M$164,1,1,"Confirmed Trend")))</f>
        <v>#N/A</v>
      </c>
      <c r="N172" s="18" t="e" cm="1">
        <f t="array" aca="1" ref="N172" ca="1">IF(INDIRECT(ADDRESS($B172+1,N$164,1,1,"Confirmed Trend"))=0,#N/A,INDIRECT(ADDRESS($B172+1,N$164,1,1,"Confirmed Trend")))</f>
        <v>#N/A</v>
      </c>
      <c r="O172" s="18" t="e" cm="1">
        <f t="array" aca="1" ref="O172" ca="1">IF(INDIRECT(ADDRESS($B172+1,O$164,1,1,"Confirmed Trend"))=0,#N/A,INDIRECT(ADDRESS($B172+1,O$164,1,1,"Confirmed Trend")))</f>
        <v>#N/A</v>
      </c>
      <c r="P172" s="18" t="e" cm="1">
        <f t="array" aca="1" ref="P172" ca="1">IF(INDIRECT(ADDRESS($B172+1,P$164,1,1,"Confirmed Trend"))=0,#N/A,INDIRECT(ADDRESS($B172+1,P$164,1,1,"Confirmed Trend")))</f>
        <v>#N/A</v>
      </c>
      <c r="Q172" s="18" t="e" cm="1">
        <f t="array" aca="1" ref="Q172" ca="1">IF(INDIRECT(ADDRESS($B172+1,Q$164,1,1,"Confirmed Trend"))=0,#N/A,INDIRECT(ADDRESS($B172+1,Q$164,1,1,"Confirmed Trend")))</f>
        <v>#N/A</v>
      </c>
      <c r="R172" s="18" t="e" cm="1">
        <f t="array" aca="1" ref="R172" ca="1">IF(INDIRECT(ADDRESS($B172+1,R$164,1,1,"Confirmed Trend"))=0,#N/A,INDIRECT(ADDRESS($B172+1,R$164,1,1,"Confirmed Trend")))</f>
        <v>#N/A</v>
      </c>
      <c r="S172" s="18" t="e" cm="1">
        <f t="array" aca="1" ref="S172" ca="1">IF(INDIRECT(ADDRESS($B172+1,S$164,1,1,"Confirmed Trend"))=0,#N/A,INDIRECT(ADDRESS($B172+1,S$164,1,1,"Confirmed Trend")))</f>
        <v>#N/A</v>
      </c>
      <c r="T172" s="18" t="e" cm="1">
        <f t="array" aca="1" ref="T172" ca="1">IF(INDIRECT(ADDRESS($B172+1,T$164,1,1,"Confirmed Trend"))=0,#N/A,INDIRECT(ADDRESS($B172+1,T$164,1,1,"Confirmed Trend")))</f>
        <v>#N/A</v>
      </c>
      <c r="U172" s="18" t="e" cm="1">
        <f t="array" aca="1" ref="U172" ca="1">IF(INDIRECT(ADDRESS($B172+1,U$164,1,1,"Confirmed Trend"))=0,#N/A,INDIRECT(ADDRESS($B172+1,U$164,1,1,"Confirmed Trend")))</f>
        <v>#N/A</v>
      </c>
      <c r="V172" s="18" t="e" cm="1">
        <f t="array" aca="1" ref="V172" ca="1">IF(INDIRECT(ADDRESS($B172+1,V$164,1,1,"Confirmed Trend"))=0,#N/A,INDIRECT(ADDRESS($B172+1,V$164,1,1,"Confirmed Trend")))</f>
        <v>#N/A</v>
      </c>
      <c r="W172" s="18" t="e" cm="1">
        <f t="array" aca="1" ref="W172" ca="1">IF(INDIRECT(ADDRESS($B172+1,W$164,1,1,"Confirmed Trend"))=0,#N/A,INDIRECT(ADDRESS($B172+1,W$164,1,1,"Confirmed Trend")))</f>
        <v>#N/A</v>
      </c>
      <c r="X172" s="18" t="e" cm="1">
        <f t="array" aca="1" ref="X172" ca="1">IF(INDIRECT(ADDRESS($B172+1,X$164,1,1,"Confirmed Trend"))=0,#N/A,INDIRECT(ADDRESS($B172+1,X$164,1,1,"Confirmed Trend")))</f>
        <v>#N/A</v>
      </c>
      <c r="Y172" s="18" t="e" cm="1">
        <f t="array" aca="1" ref="Y172" ca="1">IF(INDIRECT(ADDRESS($B172+1,Y$164,1,1,"Confirmed Trend"))=0,#N/A,INDIRECT(ADDRESS($B172+1,Y$164,1,1,"Confirmed Trend")))</f>
        <v>#N/A</v>
      </c>
      <c r="Z172" s="18" t="e" cm="1">
        <f t="array" aca="1" ref="Z172" ca="1">IF(INDIRECT(ADDRESS($B172+1,Z$164,1,1,"Confirmed Trend"))=0,#N/A,INDIRECT(ADDRESS($B172+1,Z$164,1,1,"Confirmed Trend")))</f>
        <v>#N/A</v>
      </c>
      <c r="AA172" s="18" t="e" cm="1">
        <f t="array" aca="1" ref="AA172" ca="1">IF(INDIRECT(ADDRESS($B172+1,AA$164,1,1,"Confirmed Trend"))=0,#N/A,INDIRECT(ADDRESS($B172+1,AA$164,1,1,"Confirmed Trend")))</f>
        <v>#N/A</v>
      </c>
      <c r="AB172" s="18" t="e" cm="1">
        <f t="array" aca="1" ref="AB172" ca="1">IF(INDIRECT(ADDRESS($B172+1,AB$164,1,1,"Confirmed Trend"))=0,#N/A,INDIRECT(ADDRESS($B172+1,AB$164,1,1,"Confirmed Trend")))</f>
        <v>#N/A</v>
      </c>
      <c r="AC172" s="18" t="e" cm="1">
        <f t="array" aca="1" ref="AC172" ca="1">IF(INDIRECT(ADDRESS($B172+1,AC$164,1,1,"Confirmed Trend"))=0,#N/A,INDIRECT(ADDRESS($B172+1,AC$164,1,1,"Confirmed Trend")))</f>
        <v>#N/A</v>
      </c>
      <c r="AD172" s="18" t="e" cm="1">
        <f t="array" aca="1" ref="AD172" ca="1">IF(INDIRECT(ADDRESS($B172+1,AD$164,1,1,"Confirmed Trend"))=0,#N/A,INDIRECT(ADDRESS($B172+1,AD$164,1,1,"Confirmed Trend")))</f>
        <v>#N/A</v>
      </c>
      <c r="AE172" s="18" t="e" cm="1">
        <f t="array" aca="1" ref="AE172" ca="1">IF(INDIRECT(ADDRESS($B172+1,AE$164,1,1,"Confirmed Trend"))=0,#N/A,INDIRECT(ADDRESS($B172+1,AE$164,1,1,"Confirmed Trend")))</f>
        <v>#N/A</v>
      </c>
      <c r="AF172" s="18" t="e" cm="1">
        <f t="array" aca="1" ref="AF172" ca="1">IF(INDIRECT(ADDRESS($B172+1,AF$164,1,1,"Confirmed Trend"))=0,#N/A,INDIRECT(ADDRESS($B172+1,AF$164,1,1,"Confirmed Trend")))</f>
        <v>#N/A</v>
      </c>
      <c r="AG172" s="18" t="e" cm="1">
        <f t="array" aca="1" ref="AG172" ca="1">IF(INDIRECT(ADDRESS($B172+1,AG$164,1,1,"Confirmed Trend"))=0,#N/A,INDIRECT(ADDRESS($B172+1,AG$164,1,1,"Confirmed Trend")))</f>
        <v>#N/A</v>
      </c>
      <c r="AH172" s="18" t="e" cm="1">
        <f t="array" aca="1" ref="AH172" ca="1">IF(INDIRECT(ADDRESS($B172+1,AH$164,1,1,"Confirmed Trend"))=0,#N/A,INDIRECT(ADDRESS($B172+1,AH$164,1,1,"Confirmed Trend")))</f>
        <v>#N/A</v>
      </c>
      <c r="AI172" s="18" t="e" cm="1">
        <f t="array" aca="1" ref="AI172" ca="1">IF(INDIRECT(ADDRESS($B172+1,AI$164,1,1,"Confirmed Trend"))=0,#N/A,INDIRECT(ADDRESS($B172+1,AI$164,1,1,"Confirmed Trend")))</f>
        <v>#N/A</v>
      </c>
      <c r="AJ172" s="18" t="e" cm="1">
        <f t="array" aca="1" ref="AJ172" ca="1">IF(INDIRECT(ADDRESS($B172+1,AJ$164,1,1,"Confirmed Trend"))=0,#N/A,INDIRECT(ADDRESS($B172+1,AJ$164,1,1,"Confirmed Trend")))</f>
        <v>#N/A</v>
      </c>
      <c r="AK172" s="18" t="e" cm="1">
        <f t="array" aca="1" ref="AK172" ca="1">IF(INDIRECT(ADDRESS($B172+1,AK$164,1,1,"Confirmed Trend"))=0,#N/A,INDIRECT(ADDRESS($B172+1,AK$164,1,1,"Confirmed Trend")))</f>
        <v>#N/A</v>
      </c>
      <c r="AL172" s="18" t="e" cm="1">
        <f t="array" aca="1" ref="AL172" ca="1">IF(INDIRECT(ADDRESS($B172+1,AL$164,1,1,"Confirmed Trend"))=0,#N/A,INDIRECT(ADDRESS($B172+1,AL$164,1,1,"Confirmed Trend")))</f>
        <v>#N/A</v>
      </c>
      <c r="AM172" s="18" t="e" cm="1">
        <f t="array" aca="1" ref="AM172" ca="1">IF(INDIRECT(ADDRESS($B172+1,AM$164,1,1,"Confirmed Trend"))=0,#N/A,INDIRECT(ADDRESS($B172+1,AM$164,1,1,"Confirmed Trend")))</f>
        <v>#N/A</v>
      </c>
      <c r="AN172" s="18" t="e" cm="1">
        <f t="array" aca="1" ref="AN172" ca="1">IF(INDIRECT(ADDRESS($B172+1,AN$164,1,1,"Confirmed Trend"))=0,#N/A,INDIRECT(ADDRESS($B172+1,AN$164,1,1,"Confirmed Trend")))</f>
        <v>#N/A</v>
      </c>
      <c r="AO172" s="18" t="e" cm="1">
        <f t="array" aca="1" ref="AO172" ca="1">IF(INDIRECT(ADDRESS($B172+1,AO$164,1,1,"Confirmed Trend"))=0,#N/A,INDIRECT(ADDRESS($B172+1,AO$164,1,1,"Confirmed Trend")))</f>
        <v>#N/A</v>
      </c>
      <c r="AP172" s="18" t="e" cm="1">
        <f t="array" aca="1" ref="AP172" ca="1">IF(INDIRECT(ADDRESS($B172+1,AP$164,1,1,"Confirmed Trend"))=0,#N/A,INDIRECT(ADDRESS($B172+1,AP$164,1,1,"Confirmed Trend")))</f>
        <v>#N/A</v>
      </c>
      <c r="AQ172" s="18" t="e" cm="1">
        <f t="array" aca="1" ref="AQ172" ca="1">IF(INDIRECT(ADDRESS($B172+1,AQ$164,1,1,"Confirmed Trend"))=0,#N/A,INDIRECT(ADDRESS($B172+1,AQ$164,1,1,"Confirmed Trend")))</f>
        <v>#N/A</v>
      </c>
      <c r="AR172" s="18" t="e" cm="1">
        <f t="array" aca="1" ref="AR172" ca="1">IF(INDIRECT(ADDRESS($B172+1,AR$164,1,1,"Confirmed Trend"))=0,#N/A,INDIRECT(ADDRESS($B172+1,AR$164,1,1,"Confirmed Trend")))</f>
        <v>#N/A</v>
      </c>
      <c r="AS172" s="18" t="e" cm="1">
        <f t="array" aca="1" ref="AS172" ca="1">IF(INDIRECT(ADDRESS($B172+1,AS$164,1,1,"Confirmed Trend"))=0,#N/A,INDIRECT(ADDRESS($B172+1,AS$164,1,1,"Confirmed Trend")))</f>
        <v>#N/A</v>
      </c>
      <c r="AT172" s="18" t="e" cm="1">
        <f t="array" aca="1" ref="AT172" ca="1">IF(INDIRECT(ADDRESS($B172+1,AT$164,1,1,"Confirmed Trend"))=0,#N/A,INDIRECT(ADDRESS($B172+1,AT$164,1,1,"Confirmed Trend")))</f>
        <v>#N/A</v>
      </c>
      <c r="AU172" s="18" t="e" cm="1">
        <f t="array" aca="1" ref="AU172" ca="1">IF(INDIRECT(ADDRESS($B172+1,AU$164,1,1,"Confirmed Trend"))=0,#N/A,INDIRECT(ADDRESS($B172+1,AU$164,1,1,"Confirmed Trend")))</f>
        <v>#N/A</v>
      </c>
      <c r="AV172" s="18" t="e" cm="1">
        <f t="array" aca="1" ref="AV172" ca="1">IF(INDIRECT(ADDRESS($B172+1,AV$164,1,1,"Confirmed Trend"))=0,#N/A,INDIRECT(ADDRESS($B172+1,AV$164,1,1,"Confirmed Trend")))</f>
        <v>#N/A</v>
      </c>
      <c r="AW172" s="18" t="e" cm="1">
        <f t="array" aca="1" ref="AW172" ca="1">IF(INDIRECT(ADDRESS($B172+1,AW$164,1,1,"Confirmed Trend"))=0,#N/A,INDIRECT(ADDRESS($B172+1,AW$164,1,1,"Confirmed Trend")))</f>
        <v>#N/A</v>
      </c>
      <c r="AX172" s="18" t="e" cm="1">
        <f t="array" aca="1" ref="AX172" ca="1">IF(INDIRECT(ADDRESS($B172+1,AX$164,1,1,"Confirmed Trend"))=0,#N/A,INDIRECT(ADDRESS($B172+1,AX$164,1,1,"Confirmed Trend")))</f>
        <v>#N/A</v>
      </c>
      <c r="AY172" s="18" t="e" cm="1">
        <f t="array" aca="1" ref="AY172" ca="1">IF(INDIRECT(ADDRESS($B172+1,AY$164,1,1,"Confirmed Trend"))=0,#N/A,INDIRECT(ADDRESS($B172+1,AY$164,1,1,"Confirmed Trend")))</f>
        <v>#N/A</v>
      </c>
      <c r="AZ172" s="18" t="e" cm="1">
        <f t="array" aca="1" ref="AZ172" ca="1">IF(INDIRECT(ADDRESS($B172+1,AZ$164,1,1,"Confirmed Trend"))=0,#N/A,INDIRECT(ADDRESS($B172+1,AZ$164,1,1,"Confirmed Trend")))</f>
        <v>#N/A</v>
      </c>
      <c r="BA172" s="18" cm="1">
        <f t="array" aca="1" ref="BA172" ca="1">IF(INDIRECT(ADDRESS($B172+1,BA$164,1,1,"Confirmed Trend"))=0,#N/A,INDIRECT(ADDRESS($B172+1,BA$164,1,1,"Confirmed Trend")))</f>
        <v>0.115892272</v>
      </c>
      <c r="BB172" s="18" cm="1">
        <f t="array" aca="1" ref="BB172" ca="1">IF(INDIRECT(ADDRESS($B172+1,BB$164,1,1,"Confirmed Trend"))=0,#N/A,INDIRECT(ADDRESS($B172+1,BB$164,1,1,"Confirmed Trend")))</f>
        <v>0.1409735262</v>
      </c>
      <c r="BC172" s="18" cm="1">
        <f t="array" aca="1" ref="BC172" ca="1">IF(INDIRECT(ADDRESS($B172+1,BC$164,1,1,"Confirmed Trend"))=0,#N/A,INDIRECT(ADDRESS($B172+1,BC$164,1,1,"Confirmed Trend")))</f>
        <v>0.1641260481</v>
      </c>
      <c r="BD172" s="18" cm="1">
        <f t="array" aca="1" ref="BD172" ca="1">IF(INDIRECT(ADDRESS($B172+1,BD$164,1,1,"Confirmed Trend"))=0,#N/A,INDIRECT(ADDRESS($B172+1,BD$164,1,1,"Confirmed Trend")))</f>
        <v>0.16950056550000001</v>
      </c>
      <c r="BE172" s="18" cm="1">
        <f t="array" aca="1" ref="BE172" ca="1">IF(INDIRECT(ADDRESS($B172+1,BE$164,1,1,"Confirmed Trend"))=0,#N/A,INDIRECT(ADDRESS($B172+1,BE$164,1,1,"Confirmed Trend")))</f>
        <v>0.16819006719999999</v>
      </c>
      <c r="BF172" s="18" cm="1">
        <f t="array" aca="1" ref="BF172" ca="1">IF(INDIRECT(ADDRESS($B172+1,BF$164,1,1,"Confirmed Trend"))=0,#N/A,INDIRECT(ADDRESS($B172+1,BF$164,1,1,"Confirmed Trend")))</f>
        <v>0.16542047360000001</v>
      </c>
      <c r="BG172" s="18" cm="1">
        <f t="array" aca="1" ref="BG172" ca="1">IF(INDIRECT(ADDRESS($B172+1,BG$164,1,1,"Confirmed Trend"))=0,#N/A,INDIRECT(ADDRESS($B172+1,BG$164,1,1,"Confirmed Trend")))</f>
        <v>0.14994819240000001</v>
      </c>
      <c r="BH172" s="18" cm="1">
        <f t="array" aca="1" ref="BH172" ca="1">IF(INDIRECT(ADDRESS($B172+1,BH$164,1,1,"Confirmed Trend"))=0,#N/A,INDIRECT(ADDRESS($B172+1,BH$164,1,1,"Confirmed Trend")))</f>
        <v>0.1457845639</v>
      </c>
      <c r="BI172" s="18" cm="1">
        <f t="array" aca="1" ref="BI172" ca="1">IF(INDIRECT(ADDRESS($B172+1,BI$164,1,1,"Confirmed Trend"))=0,#N/A,INDIRECT(ADDRESS($B172+1,BI$164,1,1,"Confirmed Trend")))</f>
        <v>0.1286277726</v>
      </c>
      <c r="BJ172" s="18" cm="1">
        <f t="array" aca="1" ref="BJ172" ca="1">IF(INDIRECT(ADDRESS($B172+1,BJ$164,1,1,"Confirmed Trend"))=0,#N/A,INDIRECT(ADDRESS($B172+1,BJ$164,1,1,"Confirmed Trend")))</f>
        <v>0.13449389549999999</v>
      </c>
      <c r="BK172" s="18" cm="1">
        <f t="array" aca="1" ref="BK172" ca="1">IF(INDIRECT(ADDRESS($B172+1,BK$164,1,1,"Confirmed Trend"))=0,#N/A,INDIRECT(ADDRESS($B172+1,BK$164,1,1,"Confirmed Trend")))</f>
        <v>0.15480856030000001</v>
      </c>
      <c r="BL172" s="18" cm="1">
        <f t="array" aca="1" ref="BL172" ca="1">IF(INDIRECT(ADDRESS($B172+1,BL$164,1,1,"Confirmed Trend"))=0,#N/A,INDIRECT(ADDRESS($B172+1,BL$164,1,1,"Confirmed Trend")))</f>
        <v>0.1970778762</v>
      </c>
      <c r="BM172" s="18" cm="1">
        <f t="array" aca="1" ref="BM172" ca="1">IF(INDIRECT(ADDRESS($B172+1,BM$164,1,1,"Confirmed Trend"))=0,#N/A,INDIRECT(ADDRESS($B172+1,BM$164,1,1,"Confirmed Trend")))</f>
        <v>0.2349771433</v>
      </c>
      <c r="BN172" s="18" cm="1">
        <f t="array" aca="1" ref="BN172" ca="1">IF(INDIRECT(ADDRESS($B172+1,BN$164,1,1,"Confirmed Trend"))=0,#N/A,INDIRECT(ADDRESS($B172+1,BN$164,1,1,"Confirmed Trend")))</f>
        <v>0.2561535976</v>
      </c>
      <c r="BO172" s="18" cm="1">
        <f t="array" aca="1" ref="BO172" ca="1">IF(INDIRECT(ADDRESS($B172+1,BO$164,1,1,"Confirmed Trend"))=0,#N/A,INDIRECT(ADDRESS($B172+1,BO$164,1,1,"Confirmed Trend")))</f>
        <v>0.24584294500000001</v>
      </c>
      <c r="BP172" s="18" cm="1">
        <f t="array" aca="1" ref="BP172" ca="1">IF(INDIRECT(ADDRESS($B172+1,BP$164,1,1,"Confirmed Trend"))=0,#N/A,INDIRECT(ADDRESS($B172+1,BP$164,1,1,"Confirmed Trend")))</f>
        <v>0.21831554240000001</v>
      </c>
      <c r="BQ172" s="18" cm="1">
        <f t="array" aca="1" ref="BQ172" ca="1">IF(INDIRECT(ADDRESS($B172+1,BQ$164,1,1,"Confirmed Trend"))=0,#N/A,INDIRECT(ADDRESS($B172+1,BQ$164,1,1,"Confirmed Trend")))</f>
        <v>0.18613022730000001</v>
      </c>
      <c r="BR172" s="18" cm="1">
        <f t="array" aca="1" ref="BR172" ca="1">IF(INDIRECT(ADDRESS($B172+1,BR$164,1,1,"Confirmed Trend"))=0,#N/A,INDIRECT(ADDRESS($B172+1,BR$164,1,1,"Confirmed Trend")))</f>
        <v>0.16686405409999999</v>
      </c>
      <c r="BS172" s="18" cm="1">
        <f t="array" aca="1" ref="BS172" ca="1">IF(INDIRECT(ADDRESS($B172+1,BS$164,1,1,"Confirmed Trend"))=0,#N/A,INDIRECT(ADDRESS($B172+1,BS$164,1,1,"Confirmed Trend")))</f>
        <v>0.16111485040000001</v>
      </c>
      <c r="BT172" s="18" cm="1">
        <f t="array" aca="1" ref="BT172" ca="1">IF(INDIRECT(ADDRESS($B172+1,BT$164,1,1,"Confirmed Trend"))=0,#N/A,INDIRECT(ADDRESS($B172+1,BT$164,1,1,"Confirmed Trend")))</f>
        <v>0.14399599909999999</v>
      </c>
      <c r="BU172" s="18" cm="1">
        <f t="array" aca="1" ref="BU172" ca="1">IF(INDIRECT(ADDRESS($B172+1,BU$164,1,1,"Confirmed Trend"))=0,#N/A,INDIRECT(ADDRESS($B172+1,BU$164,1,1,"Confirmed Trend")))</f>
        <v>0.14168338820000001</v>
      </c>
      <c r="BV172" s="18" cm="1">
        <f t="array" aca="1" ref="BV172" ca="1">IF(INDIRECT(ADDRESS($B172+1,BV$164,1,1,"Confirmed Trend"))=0,#N/A,INDIRECT(ADDRESS($B172+1,BV$164,1,1,"Confirmed Trend")))</f>
        <v>0.2216796875</v>
      </c>
    </row>
    <row r="173" spans="2:74" x14ac:dyDescent="0.25">
      <c r="B173">
        <f t="shared" si="132"/>
        <v>8</v>
      </c>
      <c r="C173" t="str" cm="1">
        <f t="array" aca="1" ref="C173" ca="1">INDIRECT(ADDRESS($B173+1,1,1,1,"Confirmed Trend"))</f>
        <v>Italy</v>
      </c>
      <c r="E173" s="18" t="e" cm="1">
        <f t="array" aca="1" ref="E173" ca="1">IF(INDIRECT(ADDRESS($B173+1,E$164,1,1,"Confirmed Trend"))=0,#N/A,INDIRECT(ADDRESS($B173+1,E$164,1,1,"Confirmed Trend")))</f>
        <v>#N/A</v>
      </c>
      <c r="F173" s="18" t="e" cm="1">
        <f t="array" aca="1" ref="F173" ca="1">IF(INDIRECT(ADDRESS($B173+1,F$164,1,1,"Confirmed Trend"))=0,#N/A,INDIRECT(ADDRESS($B173+1,F$164,1,1,"Confirmed Trend")))</f>
        <v>#N/A</v>
      </c>
      <c r="G173" s="18" t="e" cm="1">
        <f t="array" aca="1" ref="G173" ca="1">IF(INDIRECT(ADDRESS($B173+1,G$164,1,1,"Confirmed Trend"))=0,#N/A,INDIRECT(ADDRESS($B173+1,G$164,1,1,"Confirmed Trend")))</f>
        <v>#N/A</v>
      </c>
      <c r="H173" s="18" t="e" cm="1">
        <f t="array" aca="1" ref="H173" ca="1">IF(INDIRECT(ADDRESS($B173+1,H$164,1,1,"Confirmed Trend"))=0,#N/A,INDIRECT(ADDRESS($B173+1,H$164,1,1,"Confirmed Trend")))</f>
        <v>#N/A</v>
      </c>
      <c r="I173" s="18" t="e" cm="1">
        <f t="array" aca="1" ref="I173" ca="1">IF(INDIRECT(ADDRESS($B173+1,I$164,1,1,"Confirmed Trend"))=0,#N/A,INDIRECT(ADDRESS($B173+1,I$164,1,1,"Confirmed Trend")))</f>
        <v>#N/A</v>
      </c>
      <c r="J173" s="18" t="e" cm="1">
        <f t="array" aca="1" ref="J173" ca="1">IF(INDIRECT(ADDRESS($B173+1,J$164,1,1,"Confirmed Trend"))=0,#N/A,INDIRECT(ADDRESS($B173+1,J$164,1,1,"Confirmed Trend")))</f>
        <v>#N/A</v>
      </c>
      <c r="K173" s="18" t="e" cm="1">
        <f t="array" aca="1" ref="K173" ca="1">IF(INDIRECT(ADDRESS($B173+1,K$164,1,1,"Confirmed Trend"))=0,#N/A,INDIRECT(ADDRESS($B173+1,K$164,1,1,"Confirmed Trend")))</f>
        <v>#N/A</v>
      </c>
      <c r="L173" s="18" t="e" cm="1">
        <f t="array" aca="1" ref="L173" ca="1">IF(INDIRECT(ADDRESS($B173+1,L$164,1,1,"Confirmed Trend"))=0,#N/A,INDIRECT(ADDRESS($B173+1,L$164,1,1,"Confirmed Trend")))</f>
        <v>#N/A</v>
      </c>
      <c r="M173" s="18" t="e" cm="1">
        <f t="array" aca="1" ref="M173" ca="1">IF(INDIRECT(ADDRESS($B173+1,M$164,1,1,"Confirmed Trend"))=0,#N/A,INDIRECT(ADDRESS($B173+1,M$164,1,1,"Confirmed Trend")))</f>
        <v>#N/A</v>
      </c>
      <c r="N173" s="18" t="e" cm="1">
        <f t="array" aca="1" ref="N173" ca="1">IF(INDIRECT(ADDRESS($B173+1,N$164,1,1,"Confirmed Trend"))=0,#N/A,INDIRECT(ADDRESS($B173+1,N$164,1,1,"Confirmed Trend")))</f>
        <v>#N/A</v>
      </c>
      <c r="O173" s="18" t="e" cm="1">
        <f t="array" aca="1" ref="O173" ca="1">IF(INDIRECT(ADDRESS($B173+1,O$164,1,1,"Confirmed Trend"))=0,#N/A,INDIRECT(ADDRESS($B173+1,O$164,1,1,"Confirmed Trend")))</f>
        <v>#N/A</v>
      </c>
      <c r="P173" s="18" t="e" cm="1">
        <f t="array" aca="1" ref="P173" ca="1">IF(INDIRECT(ADDRESS($B173+1,P$164,1,1,"Confirmed Trend"))=0,#N/A,INDIRECT(ADDRESS($B173+1,P$164,1,1,"Confirmed Trend")))</f>
        <v>#N/A</v>
      </c>
      <c r="Q173" s="18" t="e" cm="1">
        <f t="array" aca="1" ref="Q173" ca="1">IF(INDIRECT(ADDRESS($B173+1,Q$164,1,1,"Confirmed Trend"))=0,#N/A,INDIRECT(ADDRESS($B173+1,Q$164,1,1,"Confirmed Trend")))</f>
        <v>#N/A</v>
      </c>
      <c r="R173" s="18" t="e" cm="1">
        <f t="array" aca="1" ref="R173" ca="1">IF(INDIRECT(ADDRESS($B173+1,R$164,1,1,"Confirmed Trend"))=0,#N/A,INDIRECT(ADDRESS($B173+1,R$164,1,1,"Confirmed Trend")))</f>
        <v>#N/A</v>
      </c>
      <c r="S173" s="18" t="e" cm="1">
        <f t="array" aca="1" ref="S173" ca="1">IF(INDIRECT(ADDRESS($B173+1,S$164,1,1,"Confirmed Trend"))=0,#N/A,INDIRECT(ADDRESS($B173+1,S$164,1,1,"Confirmed Trend")))</f>
        <v>#N/A</v>
      </c>
      <c r="T173" s="18" t="e" cm="1">
        <f t="array" aca="1" ref="T173" ca="1">IF(INDIRECT(ADDRESS($B173+1,T$164,1,1,"Confirmed Trend"))=0,#N/A,INDIRECT(ADDRESS($B173+1,T$164,1,1,"Confirmed Trend")))</f>
        <v>#N/A</v>
      </c>
      <c r="U173" s="18" t="e" cm="1">
        <f t="array" aca="1" ref="U173" ca="1">IF(INDIRECT(ADDRESS($B173+1,U$164,1,1,"Confirmed Trend"))=0,#N/A,INDIRECT(ADDRESS($B173+1,U$164,1,1,"Confirmed Trend")))</f>
        <v>#N/A</v>
      </c>
      <c r="V173" s="18" t="e" cm="1">
        <f t="array" aca="1" ref="V173" ca="1">IF(INDIRECT(ADDRESS($B173+1,V$164,1,1,"Confirmed Trend"))=0,#N/A,INDIRECT(ADDRESS($B173+1,V$164,1,1,"Confirmed Trend")))</f>
        <v>#N/A</v>
      </c>
      <c r="W173" s="18" t="e" cm="1">
        <f t="array" aca="1" ref="W173" ca="1">IF(INDIRECT(ADDRESS($B173+1,W$164,1,1,"Confirmed Trend"))=0,#N/A,INDIRECT(ADDRESS($B173+1,W$164,1,1,"Confirmed Trend")))</f>
        <v>#N/A</v>
      </c>
      <c r="X173" s="18" t="e" cm="1">
        <f t="array" aca="1" ref="X173" ca="1">IF(INDIRECT(ADDRESS($B173+1,X$164,1,1,"Confirmed Trend"))=0,#N/A,INDIRECT(ADDRESS($B173+1,X$164,1,1,"Confirmed Trend")))</f>
        <v>#N/A</v>
      </c>
      <c r="Y173" s="18" t="e" cm="1">
        <f t="array" aca="1" ref="Y173" ca="1">IF(INDIRECT(ADDRESS($B173+1,Y$164,1,1,"Confirmed Trend"))=0,#N/A,INDIRECT(ADDRESS($B173+1,Y$164,1,1,"Confirmed Trend")))</f>
        <v>#N/A</v>
      </c>
      <c r="Z173" s="18" t="e" cm="1">
        <f t="array" aca="1" ref="Z173" ca="1">IF(INDIRECT(ADDRESS($B173+1,Z$164,1,1,"Confirmed Trend"))=0,#N/A,INDIRECT(ADDRESS($B173+1,Z$164,1,1,"Confirmed Trend")))</f>
        <v>#N/A</v>
      </c>
      <c r="AA173" s="18" t="e" cm="1">
        <f t="array" aca="1" ref="AA173" ca="1">IF(INDIRECT(ADDRESS($B173+1,AA$164,1,1,"Confirmed Trend"))=0,#N/A,INDIRECT(ADDRESS($B173+1,AA$164,1,1,"Confirmed Trend")))</f>
        <v>#N/A</v>
      </c>
      <c r="AB173" s="18" t="e" cm="1">
        <f t="array" aca="1" ref="AB173" ca="1">IF(INDIRECT(ADDRESS($B173+1,AB$164,1,1,"Confirmed Trend"))=0,#N/A,INDIRECT(ADDRESS($B173+1,AB$164,1,1,"Confirmed Trend")))</f>
        <v>#N/A</v>
      </c>
      <c r="AC173" s="18" t="e" cm="1">
        <f t="array" aca="1" ref="AC173" ca="1">IF(INDIRECT(ADDRESS($B173+1,AC$164,1,1,"Confirmed Trend"))=0,#N/A,INDIRECT(ADDRESS($B173+1,AC$164,1,1,"Confirmed Trend")))</f>
        <v>#N/A</v>
      </c>
      <c r="AD173" s="18" t="e" cm="1">
        <f t="array" aca="1" ref="AD173" ca="1">IF(INDIRECT(ADDRESS($B173+1,AD$164,1,1,"Confirmed Trend"))=0,#N/A,INDIRECT(ADDRESS($B173+1,AD$164,1,1,"Confirmed Trend")))</f>
        <v>#N/A</v>
      </c>
      <c r="AE173" s="18" t="e" cm="1">
        <f t="array" aca="1" ref="AE173" ca="1">IF(INDIRECT(ADDRESS($B173+1,AE$164,1,1,"Confirmed Trend"))=0,#N/A,INDIRECT(ADDRESS($B173+1,AE$164,1,1,"Confirmed Trend")))</f>
        <v>#N/A</v>
      </c>
      <c r="AF173" s="18" t="e" cm="1">
        <f t="array" aca="1" ref="AF173" ca="1">IF(INDIRECT(ADDRESS($B173+1,AF$164,1,1,"Confirmed Trend"))=0,#N/A,INDIRECT(ADDRESS($B173+1,AF$164,1,1,"Confirmed Trend")))</f>
        <v>#N/A</v>
      </c>
      <c r="AG173" s="18" t="e" cm="1">
        <f t="array" aca="1" ref="AG173" ca="1">IF(INDIRECT(ADDRESS($B173+1,AG$164,1,1,"Confirmed Trend"))=0,#N/A,INDIRECT(ADDRESS($B173+1,AG$164,1,1,"Confirmed Trend")))</f>
        <v>#N/A</v>
      </c>
      <c r="AH173" s="18" t="e" cm="1">
        <f t="array" aca="1" ref="AH173" ca="1">IF(INDIRECT(ADDRESS($B173+1,AH$164,1,1,"Confirmed Trend"))=0,#N/A,INDIRECT(ADDRESS($B173+1,AH$164,1,1,"Confirmed Trend")))</f>
        <v>#N/A</v>
      </c>
      <c r="AI173" s="18" t="e" cm="1">
        <f t="array" aca="1" ref="AI173" ca="1">IF(INDIRECT(ADDRESS($B173+1,AI$164,1,1,"Confirmed Trend"))=0,#N/A,INDIRECT(ADDRESS($B173+1,AI$164,1,1,"Confirmed Trend")))</f>
        <v>#N/A</v>
      </c>
      <c r="AJ173" s="18" t="e" cm="1">
        <f t="array" aca="1" ref="AJ173" ca="1">IF(INDIRECT(ADDRESS($B173+1,AJ$164,1,1,"Confirmed Trend"))=0,#N/A,INDIRECT(ADDRESS($B173+1,AJ$164,1,1,"Confirmed Trend")))</f>
        <v>#N/A</v>
      </c>
      <c r="AK173" s="18" t="e" cm="1">
        <f t="array" aca="1" ref="AK173" ca="1">IF(INDIRECT(ADDRESS($B173+1,AK$164,1,1,"Confirmed Trend"))=0,#N/A,INDIRECT(ADDRESS($B173+1,AK$164,1,1,"Confirmed Trend")))</f>
        <v>#N/A</v>
      </c>
      <c r="AL173" s="18" t="e" cm="1">
        <f t="array" aca="1" ref="AL173" ca="1">IF(INDIRECT(ADDRESS($B173+1,AL$164,1,1,"Confirmed Trend"))=0,#N/A,INDIRECT(ADDRESS($B173+1,AL$164,1,1,"Confirmed Trend")))</f>
        <v>#N/A</v>
      </c>
      <c r="AM173" s="18" t="e" cm="1">
        <f t="array" aca="1" ref="AM173" ca="1">IF(INDIRECT(ADDRESS($B173+1,AM$164,1,1,"Confirmed Trend"))=0,#N/A,INDIRECT(ADDRESS($B173+1,AM$164,1,1,"Confirmed Trend")))</f>
        <v>#N/A</v>
      </c>
      <c r="AN173" s="18" t="e" cm="1">
        <f t="array" aca="1" ref="AN173" ca="1">IF(INDIRECT(ADDRESS($B173+1,AN$164,1,1,"Confirmed Trend"))=0,#N/A,INDIRECT(ADDRESS($B173+1,AN$164,1,1,"Confirmed Trend")))</f>
        <v>#N/A</v>
      </c>
      <c r="AO173" s="18" cm="1">
        <f t="array" aca="1" ref="AO173" ca="1">IF(INDIRECT(ADDRESS($B173+1,AO$164,1,1,"Confirmed Trend"))=0,#N/A,INDIRECT(ADDRESS($B173+1,AO$164,1,1,"Confirmed Trend")))</f>
        <v>0.56728119539999999</v>
      </c>
      <c r="AP173" s="18" cm="1">
        <f t="array" aca="1" ref="AP173" ca="1">IF(INDIRECT(ADDRESS($B173+1,AP$164,1,1,"Confirmed Trend"))=0,#N/A,INDIRECT(ADDRESS($B173+1,AP$164,1,1,"Confirmed Trend")))</f>
        <v>0.45447553149999997</v>
      </c>
      <c r="AQ173" s="18" cm="1">
        <f t="array" aca="1" ref="AQ173" ca="1">IF(INDIRECT(ADDRESS($B173+1,AQ$164,1,1,"Confirmed Trend"))=0,#N/A,INDIRECT(ADDRESS($B173+1,AQ$164,1,1,"Confirmed Trend")))</f>
        <v>0.3946566332</v>
      </c>
      <c r="AR173" s="18" cm="1">
        <f t="array" aca="1" ref="AR173" ca="1">IF(INDIRECT(ADDRESS($B173+1,AR$164,1,1,"Confirmed Trend"))=0,#N/A,INDIRECT(ADDRESS($B173+1,AR$164,1,1,"Confirmed Trend")))</f>
        <v>0.38646863460000003</v>
      </c>
      <c r="AS173" s="18" cm="1">
        <f t="array" aca="1" ref="AS173" ca="1">IF(INDIRECT(ADDRESS($B173+1,AS$164,1,1,"Confirmed Trend"))=0,#N/A,INDIRECT(ADDRESS($B173+1,AS$164,1,1,"Confirmed Trend")))</f>
        <v>0.35762669289999999</v>
      </c>
      <c r="AT173" s="18" cm="1">
        <f t="array" aca="1" ref="AT173" ca="1">IF(INDIRECT(ADDRESS($B173+1,AT$164,1,1,"Confirmed Trend"))=0,#N/A,INDIRECT(ADDRESS($B173+1,AT$164,1,1,"Confirmed Trend")))</f>
        <v>0.3292807848</v>
      </c>
      <c r="AU173" s="18" cm="1">
        <f t="array" aca="1" ref="AU173" ca="1">IF(INDIRECT(ADDRESS($B173+1,AU$164,1,1,"Confirmed Trend"))=0,#N/A,INDIRECT(ADDRESS($B173+1,AU$164,1,1,"Confirmed Trend")))</f>
        <v>0.29992999399999998</v>
      </c>
      <c r="AV173" s="18" cm="1">
        <f t="array" aca="1" ref="AV173" ca="1">IF(INDIRECT(ADDRESS($B173+1,AV$164,1,1,"Confirmed Trend"))=0,#N/A,INDIRECT(ADDRESS($B173+1,AV$164,1,1,"Confirmed Trend")))</f>
        <v>0.26328978619999999</v>
      </c>
      <c r="AW173" s="18" cm="1">
        <f t="array" aca="1" ref="AW173" ca="1">IF(INDIRECT(ADDRESS($B173+1,AW$164,1,1,"Confirmed Trend"))=0,#N/A,INDIRECT(ADDRESS($B173+1,AW$164,1,1,"Confirmed Trend")))</f>
        <v>0.242627288</v>
      </c>
      <c r="AX173" s="18" cm="1">
        <f t="array" aca="1" ref="AX173" ca="1">IF(INDIRECT(ADDRESS($B173+1,AX$164,1,1,"Confirmed Trend"))=0,#N/A,INDIRECT(ADDRESS($B173+1,AX$164,1,1,"Confirmed Trend")))</f>
        <v>0.23242417000000001</v>
      </c>
      <c r="AY173" s="18" cm="1">
        <f t="array" aca="1" ref="AY173" ca="1">IF(INDIRECT(ADDRESS($B173+1,AY$164,1,1,"Confirmed Trend"))=0,#N/A,INDIRECT(ADDRESS($B173+1,AY$164,1,1,"Confirmed Trend")))</f>
        <v>0.23762314239999999</v>
      </c>
      <c r="AZ173" s="18" cm="1">
        <f t="array" aca="1" ref="AZ173" ca="1">IF(INDIRECT(ADDRESS($B173+1,AZ$164,1,1,"Confirmed Trend"))=0,#N/A,INDIRECT(ADDRESS($B173+1,AZ$164,1,1,"Confirmed Trend")))</f>
        <v>0.2412545576</v>
      </c>
      <c r="BA173" s="18" cm="1">
        <f t="array" aca="1" ref="BA173" ca="1">IF(INDIRECT(ADDRESS($B173+1,BA$164,1,1,"Confirmed Trend"))=0,#N/A,INDIRECT(ADDRESS($B173+1,BA$164,1,1,"Confirmed Trend")))</f>
        <v>0.2321292975</v>
      </c>
      <c r="BB173" s="18" cm="1">
        <f t="array" aca="1" ref="BB173" ca="1">IF(INDIRECT(ADDRESS($B173+1,BB$164,1,1,"Confirmed Trend"))=0,#N/A,INDIRECT(ADDRESS($B173+1,BB$164,1,1,"Confirmed Trend")))</f>
        <v>0.21935918439999999</v>
      </c>
      <c r="BC173" s="18" cm="1">
        <f t="array" aca="1" ref="BC173" ca="1">IF(INDIRECT(ADDRESS($B173+1,BC$164,1,1,"Confirmed Trend"))=0,#N/A,INDIRECT(ADDRESS($B173+1,BC$164,1,1,"Confirmed Trend")))</f>
        <v>0.18322236650000001</v>
      </c>
      <c r="BD173" s="18" cm="1">
        <f t="array" aca="1" ref="BD173" ca="1">IF(INDIRECT(ADDRESS($B173+1,BD$164,1,1,"Confirmed Trend"))=0,#N/A,INDIRECT(ADDRESS($B173+1,BD$164,1,1,"Confirmed Trend")))</f>
        <v>0.17382754080000001</v>
      </c>
      <c r="BE173" s="18" cm="1">
        <f t="array" aca="1" ref="BE173" ca="1">IF(INDIRECT(ADDRESS($B173+1,BE$164,1,1,"Confirmed Trend"))=0,#N/A,INDIRECT(ADDRESS($B173+1,BE$164,1,1,"Confirmed Trend")))</f>
        <v>0.1772625759</v>
      </c>
      <c r="BF173" s="18" cm="1">
        <f t="array" aca="1" ref="BF173" ca="1">IF(INDIRECT(ADDRESS($B173+1,BF$164,1,1,"Confirmed Trend"))=0,#N/A,INDIRECT(ADDRESS($B173+1,BF$164,1,1,"Confirmed Trend")))</f>
        <v>0.1891977608</v>
      </c>
      <c r="BG173" s="18" cm="1">
        <f t="array" aca="1" ref="BG173" ca="1">IF(INDIRECT(ADDRESS($B173+1,BG$164,1,1,"Confirmed Trend"))=0,#N/A,INDIRECT(ADDRESS($B173+1,BG$164,1,1,"Confirmed Trend")))</f>
        <v>0.20474288769999999</v>
      </c>
      <c r="BH173" s="18" cm="1">
        <f t="array" aca="1" ref="BH173" ca="1">IF(INDIRECT(ADDRESS($B173+1,BH$164,1,1,"Confirmed Trend"))=0,#N/A,INDIRECT(ADDRESS($B173+1,BH$164,1,1,"Confirmed Trend")))</f>
        <v>0.1859297228</v>
      </c>
      <c r="BI173" s="18" cm="1">
        <f t="array" aca="1" ref="BI173" ca="1">IF(INDIRECT(ADDRESS($B173+1,BI$164,1,1,"Confirmed Trend"))=0,#N/A,INDIRECT(ADDRESS($B173+1,BI$164,1,1,"Confirmed Trend")))</f>
        <v>0.16727506880000001</v>
      </c>
      <c r="BJ173" s="18" cm="1">
        <f t="array" aca="1" ref="BJ173" ca="1">IF(INDIRECT(ADDRESS($B173+1,BJ$164,1,1,"Confirmed Trend"))=0,#N/A,INDIRECT(ADDRESS($B173+1,BJ$164,1,1,"Confirmed Trend")))</f>
        <v>0.1423736665</v>
      </c>
      <c r="BK173" s="18" cm="1">
        <f t="array" aca="1" ref="BK173" ca="1">IF(INDIRECT(ADDRESS($B173+1,BK$164,1,1,"Confirmed Trend"))=0,#N/A,INDIRECT(ADDRESS($B173+1,BK$164,1,1,"Confirmed Trend")))</f>
        <v>0.13766754959999999</v>
      </c>
      <c r="BL173" s="18" cm="1">
        <f t="array" aca="1" ref="BL173" ca="1">IF(INDIRECT(ADDRESS($B173+1,BL$164,1,1,"Confirmed Trend"))=0,#N/A,INDIRECT(ADDRESS($B173+1,BL$164,1,1,"Confirmed Trend")))</f>
        <v>0.13873144379999999</v>
      </c>
      <c r="BM173" s="18" cm="1">
        <f t="array" aca="1" ref="BM173" ca="1">IF(INDIRECT(ADDRESS($B173+1,BM$164,1,1,"Confirmed Trend"))=0,#N/A,INDIRECT(ADDRESS($B173+1,BM$164,1,1,"Confirmed Trend")))</f>
        <v>0.13813370359999999</v>
      </c>
      <c r="BN173" s="18" cm="1">
        <f t="array" aca="1" ref="BN173" ca="1">IF(INDIRECT(ADDRESS($B173+1,BN$164,1,1,"Confirmed Trend"))=0,#N/A,INDIRECT(ADDRESS($B173+1,BN$164,1,1,"Confirmed Trend")))</f>
        <v>0.13022034269999999</v>
      </c>
      <c r="BO173" s="18" cm="1">
        <f t="array" aca="1" ref="BO173" ca="1">IF(INDIRECT(ADDRESS($B173+1,BO$164,1,1,"Confirmed Trend"))=0,#N/A,INDIRECT(ADDRESS($B173+1,BO$164,1,1,"Confirmed Trend")))</f>
        <v>0.11637096769999999</v>
      </c>
      <c r="BP173" s="18" cm="1">
        <f t="array" aca="1" ref="BP173" ca="1">IF(INDIRECT(ADDRESS($B173+1,BP$164,1,1,"Confirmed Trend"))=0,#N/A,INDIRECT(ADDRESS($B173+1,BP$164,1,1,"Confirmed Trend")))</f>
        <v>0.100162631</v>
      </c>
      <c r="BQ173" s="18" cm="1">
        <f t="array" aca="1" ref="BQ173" ca="1">IF(INDIRECT(ADDRESS($B173+1,BQ$164,1,1,"Confirmed Trend"))=0,#N/A,INDIRECT(ADDRESS($B173+1,BQ$164,1,1,"Confirmed Trend")))</f>
        <v>8.8388111300000002E-2</v>
      </c>
      <c r="BR173" s="18" cm="1">
        <f t="array" aca="1" ref="BR173" ca="1">IF(INDIRECT(ADDRESS($B173+1,BR$164,1,1,"Confirmed Trend"))=0,#N/A,INDIRECT(ADDRESS($B173+1,BR$164,1,1,"Confirmed Trend")))</f>
        <v>8.1292115999999998E-2</v>
      </c>
      <c r="BS173" s="18" cm="1">
        <f t="array" aca="1" ref="BS173" ca="1">IF(INDIRECT(ADDRESS($B173+1,BS$164,1,1,"Confirmed Trend"))=0,#N/A,INDIRECT(ADDRESS($B173+1,BS$164,1,1,"Confirmed Trend")))</f>
        <v>7.7947274699999999E-2</v>
      </c>
      <c r="BT173" s="18" cm="1">
        <f t="array" aca="1" ref="BT173" ca="1">IF(INDIRECT(ADDRESS($B173+1,BT$164,1,1,"Confirmed Trend"))=0,#N/A,INDIRECT(ADDRESS($B173+1,BT$164,1,1,"Confirmed Trend")))</f>
        <v>7.4576729100000003E-2</v>
      </c>
      <c r="BU173" s="18" cm="1">
        <f t="array" aca="1" ref="BU173" ca="1">IF(INDIRECT(ADDRESS($B173+1,BU$164,1,1,"Confirmed Trend"))=0,#N/A,INDIRECT(ADDRESS($B173+1,BU$164,1,1,"Confirmed Trend")))</f>
        <v>6.8251112000000003E-2</v>
      </c>
      <c r="BV173" s="18" cm="1">
        <f t="array" aca="1" ref="BV173" ca="1">IF(INDIRECT(ADDRESS($B173+1,BV$164,1,1,"Confirmed Trend"))=0,#N/A,INDIRECT(ADDRESS($B173+1,BV$164,1,1,"Confirmed Trend")))</f>
        <v>4.1458096600000001E-2</v>
      </c>
    </row>
    <row r="174" spans="2:74" x14ac:dyDescent="0.25">
      <c r="B174">
        <f t="shared" si="132"/>
        <v>9</v>
      </c>
      <c r="C174" t="str" cm="1">
        <f t="array" aca="1" ref="C174" ca="1">INDIRECT(ADDRESS($B174+1,1,1,1,"Confirmed Trend"))</f>
        <v>Korea, South</v>
      </c>
      <c r="E174" s="18" t="e" cm="1">
        <f t="array" aca="1" ref="E174" ca="1">IF(INDIRECT(ADDRESS($B174+1,E$164,1,1,"Confirmed Trend"))=0,#N/A,INDIRECT(ADDRESS($B174+1,E$164,1,1,"Confirmed Trend")))</f>
        <v>#N/A</v>
      </c>
      <c r="F174" s="18" t="e" cm="1">
        <f t="array" aca="1" ref="F174" ca="1">IF(INDIRECT(ADDRESS($B174+1,F$164,1,1,"Confirmed Trend"))=0,#N/A,INDIRECT(ADDRESS($B174+1,F$164,1,1,"Confirmed Trend")))</f>
        <v>#N/A</v>
      </c>
      <c r="G174" s="18" t="e" cm="1">
        <f t="array" aca="1" ref="G174" ca="1">IF(INDIRECT(ADDRESS($B174+1,G$164,1,1,"Confirmed Trend"))=0,#N/A,INDIRECT(ADDRESS($B174+1,G$164,1,1,"Confirmed Trend")))</f>
        <v>#N/A</v>
      </c>
      <c r="H174" s="18" t="e" cm="1">
        <f t="array" aca="1" ref="H174" ca="1">IF(INDIRECT(ADDRESS($B174+1,H$164,1,1,"Confirmed Trend"))=0,#N/A,INDIRECT(ADDRESS($B174+1,H$164,1,1,"Confirmed Trend")))</f>
        <v>#N/A</v>
      </c>
      <c r="I174" s="18" t="e" cm="1">
        <f t="array" aca="1" ref="I174" ca="1">IF(INDIRECT(ADDRESS($B174+1,I$164,1,1,"Confirmed Trend"))=0,#N/A,INDIRECT(ADDRESS($B174+1,I$164,1,1,"Confirmed Trend")))</f>
        <v>#N/A</v>
      </c>
      <c r="J174" s="18" t="e" cm="1">
        <f t="array" aca="1" ref="J174" ca="1">IF(INDIRECT(ADDRESS($B174+1,J$164,1,1,"Confirmed Trend"))=0,#N/A,INDIRECT(ADDRESS($B174+1,J$164,1,1,"Confirmed Trend")))</f>
        <v>#N/A</v>
      </c>
      <c r="K174" s="18" t="e" cm="1">
        <f t="array" aca="1" ref="K174" ca="1">IF(INDIRECT(ADDRESS($B174+1,K$164,1,1,"Confirmed Trend"))=0,#N/A,INDIRECT(ADDRESS($B174+1,K$164,1,1,"Confirmed Trend")))</f>
        <v>#N/A</v>
      </c>
      <c r="L174" s="18" t="e" cm="1">
        <f t="array" aca="1" ref="L174" ca="1">IF(INDIRECT(ADDRESS($B174+1,L$164,1,1,"Confirmed Trend"))=0,#N/A,INDIRECT(ADDRESS($B174+1,L$164,1,1,"Confirmed Trend")))</f>
        <v>#N/A</v>
      </c>
      <c r="M174" s="18" t="e" cm="1">
        <f t="array" aca="1" ref="M174" ca="1">IF(INDIRECT(ADDRESS($B174+1,M$164,1,1,"Confirmed Trend"))=0,#N/A,INDIRECT(ADDRESS($B174+1,M$164,1,1,"Confirmed Trend")))</f>
        <v>#N/A</v>
      </c>
      <c r="N174" s="18" t="e" cm="1">
        <f t="array" aca="1" ref="N174" ca="1">IF(INDIRECT(ADDRESS($B174+1,N$164,1,1,"Confirmed Trend"))=0,#N/A,INDIRECT(ADDRESS($B174+1,N$164,1,1,"Confirmed Trend")))</f>
        <v>#N/A</v>
      </c>
      <c r="O174" s="18" t="e" cm="1">
        <f t="array" aca="1" ref="O174" ca="1">IF(INDIRECT(ADDRESS($B174+1,O$164,1,1,"Confirmed Trend"))=0,#N/A,INDIRECT(ADDRESS($B174+1,O$164,1,1,"Confirmed Trend")))</f>
        <v>#N/A</v>
      </c>
      <c r="P174" s="18" t="e" cm="1">
        <f t="array" aca="1" ref="P174" ca="1">IF(INDIRECT(ADDRESS($B174+1,P$164,1,1,"Confirmed Trend"))=0,#N/A,INDIRECT(ADDRESS($B174+1,P$164,1,1,"Confirmed Trend")))</f>
        <v>#N/A</v>
      </c>
      <c r="Q174" s="18" t="e" cm="1">
        <f t="array" aca="1" ref="Q174" ca="1">IF(INDIRECT(ADDRESS($B174+1,Q$164,1,1,"Confirmed Trend"))=0,#N/A,INDIRECT(ADDRESS($B174+1,Q$164,1,1,"Confirmed Trend")))</f>
        <v>#N/A</v>
      </c>
      <c r="R174" s="18" t="e" cm="1">
        <f t="array" aca="1" ref="R174" ca="1">IF(INDIRECT(ADDRESS($B174+1,R$164,1,1,"Confirmed Trend"))=0,#N/A,INDIRECT(ADDRESS($B174+1,R$164,1,1,"Confirmed Trend")))</f>
        <v>#N/A</v>
      </c>
      <c r="S174" s="18" t="e" cm="1">
        <f t="array" aca="1" ref="S174" ca="1">IF(INDIRECT(ADDRESS($B174+1,S$164,1,1,"Confirmed Trend"))=0,#N/A,INDIRECT(ADDRESS($B174+1,S$164,1,1,"Confirmed Trend")))</f>
        <v>#N/A</v>
      </c>
      <c r="T174" s="18" cm="1">
        <f t="array" aca="1" ref="T174" ca="1">IF(INDIRECT(ADDRESS($B174+1,T$164,1,1,"Confirmed Trend"))=0,#N/A,INDIRECT(ADDRESS($B174+1,T$164,1,1,"Confirmed Trend")))</f>
        <v>0.11150417730000001</v>
      </c>
      <c r="U174" s="18" cm="1">
        <f t="array" aca="1" ref="U174" ca="1">IF(INDIRECT(ADDRESS($B174+1,U$164,1,1,"Confirmed Trend"))=0,#N/A,INDIRECT(ADDRESS($B174+1,U$164,1,1,"Confirmed Trend")))</f>
        <v>0.11962776899999999</v>
      </c>
      <c r="V174" s="18" cm="1">
        <f t="array" aca="1" ref="V174" ca="1">IF(INDIRECT(ADDRESS($B174+1,V$164,1,1,"Confirmed Trend"))=0,#N/A,INDIRECT(ADDRESS($B174+1,V$164,1,1,"Confirmed Trend")))</f>
        <v>0.1146156312</v>
      </c>
      <c r="W174" s="18" cm="1">
        <f t="array" aca="1" ref="W174" ca="1">IF(INDIRECT(ADDRESS($B174+1,W$164,1,1,"Confirmed Trend"))=0,#N/A,INDIRECT(ADDRESS($B174+1,W$164,1,1,"Confirmed Trend")))</f>
        <v>9.9229092300000002E-2</v>
      </c>
      <c r="X174" s="18" cm="1">
        <f t="array" aca="1" ref="X174" ca="1">IF(INDIRECT(ADDRESS($B174+1,X$164,1,1,"Confirmed Trend"))=0,#N/A,INDIRECT(ADDRESS($B174+1,X$164,1,1,"Confirmed Trend")))</f>
        <v>6.9907913299999999E-2</v>
      </c>
      <c r="Y174" s="18" cm="1">
        <f t="array" aca="1" ref="Y174" ca="1">IF(INDIRECT(ADDRESS($B174+1,Y$164,1,1,"Confirmed Trend"))=0,#N/A,INDIRECT(ADDRESS($B174+1,Y$164,1,1,"Confirmed Trend")))</f>
        <v>4.9268204599999997E-2</v>
      </c>
      <c r="Z174" s="18" cm="1">
        <f t="array" aca="1" ref="Z174" ca="1">IF(INDIRECT(ADDRESS($B174+1,Z$164,1,1,"Confirmed Trend"))=0,#N/A,INDIRECT(ADDRESS($B174+1,Z$164,1,1,"Confirmed Trend")))</f>
        <v>3.9812265300000003E-2</v>
      </c>
      <c r="AA174" s="18" cm="1">
        <f t="array" aca="1" ref="AA174" ca="1">IF(INDIRECT(ADDRESS($B174+1,AA$164,1,1,"Confirmed Trend"))=0,#N/A,INDIRECT(ADDRESS($B174+1,AA$164,1,1,"Confirmed Trend")))</f>
        <v>3.5712234599999997E-2</v>
      </c>
      <c r="AB174" s="18" cm="1">
        <f t="array" aca="1" ref="AB174" ca="1">IF(INDIRECT(ADDRESS($B174+1,AB$164,1,1,"Confirmed Trend"))=0,#N/A,INDIRECT(ADDRESS($B174+1,AB$164,1,1,"Confirmed Trend")))</f>
        <v>2.5336513599999999E-2</v>
      </c>
      <c r="AC174" s="18" cm="1">
        <f t="array" aca="1" ref="AC174" ca="1">IF(INDIRECT(ADDRESS($B174+1,AC$164,1,1,"Confirmed Trend"))=0,#N/A,INDIRECT(ADDRESS($B174+1,AC$164,1,1,"Confirmed Trend")))</f>
        <v>1.22722344E-2</v>
      </c>
      <c r="AD174" s="18" cm="1">
        <f t="array" aca="1" ref="AD174" ca="1">IF(INDIRECT(ADDRESS($B174+1,AD$164,1,1,"Confirmed Trend"))=0,#N/A,INDIRECT(ADDRESS($B174+1,AD$164,1,1,"Confirmed Trend")))</f>
        <v>5.9704145E-3</v>
      </c>
      <c r="AE174" s="18" cm="1">
        <f t="array" aca="1" ref="AE174" ca="1">IF(INDIRECT(ADDRESS($B174+1,AE$164,1,1,"Confirmed Trend"))=0,#N/A,INDIRECT(ADDRESS($B174+1,AE$164,1,1,"Confirmed Trend")))</f>
        <v>8.811424E-3</v>
      </c>
      <c r="AF174" s="18" cm="1">
        <f t="array" aca="1" ref="AF174" ca="1">IF(INDIRECT(ADDRESS($B174+1,AF$164,1,1,"Confirmed Trend"))=0,#N/A,INDIRECT(ADDRESS($B174+1,AF$164,1,1,"Confirmed Trend")))</f>
        <v>1.7397827300000002E-2</v>
      </c>
      <c r="AG174" s="18" cm="1">
        <f t="array" aca="1" ref="AG174" ca="1">IF(INDIRECT(ADDRESS($B174+1,AG$164,1,1,"Confirmed Trend"))=0,#N/A,INDIRECT(ADDRESS($B174+1,AG$164,1,1,"Confirmed Trend")))</f>
        <v>2.3003537099999999E-2</v>
      </c>
      <c r="AH174" s="18" cm="1">
        <f t="array" aca="1" ref="AH174" ca="1">IF(INDIRECT(ADDRESS($B174+1,AH$164,1,1,"Confirmed Trend"))=0,#N/A,INDIRECT(ADDRESS($B174+1,AH$164,1,1,"Confirmed Trend")))</f>
        <v>0.18214919430000001</v>
      </c>
      <c r="AI174" s="18" cm="1">
        <f t="array" aca="1" ref="AI174" ca="1">IF(INDIRECT(ADDRESS($B174+1,AI$164,1,1,"Confirmed Trend"))=0,#N/A,INDIRECT(ADDRESS($B174+1,AI$164,1,1,"Confirmed Trend")))</f>
        <v>0.40497990080000001</v>
      </c>
      <c r="AJ174" s="18" cm="1">
        <f t="array" aca="1" ref="AJ174" ca="1">IF(INDIRECT(ADDRESS($B174+1,AJ$164,1,1,"Confirmed Trend"))=0,#N/A,INDIRECT(ADDRESS($B174+1,AJ$164,1,1,"Confirmed Trend")))</f>
        <v>0.69392401309999996</v>
      </c>
      <c r="AK174" s="18" cm="1">
        <f t="array" aca="1" ref="AK174" ca="1">IF(INDIRECT(ADDRESS($B174+1,AK$164,1,1,"Confirmed Trend"))=0,#N/A,INDIRECT(ADDRESS($B174+1,AK$164,1,1,"Confirmed Trend")))</f>
        <v>0.91567075720000002</v>
      </c>
      <c r="AL174" s="18" cm="1">
        <f t="array" aca="1" ref="AL174" ca="1">IF(INDIRECT(ADDRESS($B174+1,AL$164,1,1,"Confirmed Trend"))=0,#N/A,INDIRECT(ADDRESS($B174+1,AL$164,1,1,"Confirmed Trend")))</f>
        <v>0.83154332350000004</v>
      </c>
      <c r="AM174" s="18" cm="1">
        <f t="array" aca="1" ref="AM174" ca="1">IF(INDIRECT(ADDRESS($B174+1,AM$164,1,1,"Confirmed Trend"))=0,#N/A,INDIRECT(ADDRESS($B174+1,AM$164,1,1,"Confirmed Trend")))</f>
        <v>0.63321891610000003</v>
      </c>
      <c r="AN174" s="18" cm="1">
        <f t="array" aca="1" ref="AN174" ca="1">IF(INDIRECT(ADDRESS($B174+1,AN$164,1,1,"Confirmed Trend"))=0,#N/A,INDIRECT(ADDRESS($B174+1,AN$164,1,1,"Confirmed Trend")))</f>
        <v>0.426807561</v>
      </c>
      <c r="AO174" s="18" cm="1">
        <f t="array" aca="1" ref="AO174" ca="1">IF(INDIRECT(ADDRESS($B174+1,AO$164,1,1,"Confirmed Trend"))=0,#N/A,INDIRECT(ADDRESS($B174+1,AO$164,1,1,"Confirmed Trend")))</f>
        <v>0.3407743426</v>
      </c>
      <c r="AP174" s="18" cm="1">
        <f t="array" aca="1" ref="AP174" ca="1">IF(INDIRECT(ADDRESS($B174+1,AP$164,1,1,"Confirmed Trend"))=0,#N/A,INDIRECT(ADDRESS($B174+1,AP$164,1,1,"Confirmed Trend")))</f>
        <v>0.30175116289999998</v>
      </c>
      <c r="AQ174" s="18" cm="1">
        <f t="array" aca="1" ref="AQ174" ca="1">IF(INDIRECT(ADDRESS($B174+1,AQ$164,1,1,"Confirmed Trend"))=0,#N/A,INDIRECT(ADDRESS($B174+1,AQ$164,1,1,"Confirmed Trend")))</f>
        <v>0.3168463172</v>
      </c>
      <c r="AR174" s="18" cm="1">
        <f t="array" aca="1" ref="AR174" ca="1">IF(INDIRECT(ADDRESS($B174+1,AR$164,1,1,"Confirmed Trend"))=0,#N/A,INDIRECT(ADDRESS($B174+1,AR$164,1,1,"Confirmed Trend")))</f>
        <v>0.31643099190000001</v>
      </c>
      <c r="AS174" s="18" cm="1">
        <f t="array" aca="1" ref="AS174" ca="1">IF(INDIRECT(ADDRESS($B174+1,AS$164,1,1,"Confirmed Trend"))=0,#N/A,INDIRECT(ADDRESS($B174+1,AS$164,1,1,"Confirmed Trend")))</f>
        <v>0.29385132050000001</v>
      </c>
      <c r="AT174" s="18" cm="1">
        <f t="array" aca="1" ref="AT174" ca="1">IF(INDIRECT(ADDRESS($B174+1,AT$164,1,1,"Confirmed Trend"))=0,#N/A,INDIRECT(ADDRESS($B174+1,AT$164,1,1,"Confirmed Trend")))</f>
        <v>0.25383134219999998</v>
      </c>
      <c r="AU174" s="18" cm="1">
        <f t="array" aca="1" ref="AU174" ca="1">IF(INDIRECT(ADDRESS($B174+1,AU$164,1,1,"Confirmed Trend"))=0,#N/A,INDIRECT(ADDRESS($B174+1,AU$164,1,1,"Confirmed Trend")))</f>
        <v>0.20203300099999999</v>
      </c>
      <c r="AV174" s="18" cm="1">
        <f t="array" aca="1" ref="AV174" ca="1">IF(INDIRECT(ADDRESS($B174+1,AV$164,1,1,"Confirmed Trend"))=0,#N/A,INDIRECT(ADDRESS($B174+1,AV$164,1,1,"Confirmed Trend")))</f>
        <v>0.16337974129999999</v>
      </c>
      <c r="AW174" s="18" cm="1">
        <f t="array" aca="1" ref="AW174" ca="1">IF(INDIRECT(ADDRESS($B174+1,AW$164,1,1,"Confirmed Trend"))=0,#N/A,INDIRECT(ADDRESS($B174+1,AW$164,1,1,"Confirmed Trend")))</f>
        <v>0.13009966749999999</v>
      </c>
      <c r="AX174" s="18" cm="1">
        <f t="array" aca="1" ref="AX174" ca="1">IF(INDIRECT(ADDRESS($B174+1,AX$164,1,1,"Confirmed Trend"))=0,#N/A,INDIRECT(ADDRESS($B174+1,AX$164,1,1,"Confirmed Trend")))</f>
        <v>0.10440006759999999</v>
      </c>
      <c r="AY174" s="18" cm="1">
        <f t="array" aca="1" ref="AY174" ca="1">IF(INDIRECT(ADDRESS($B174+1,AY$164,1,1,"Confirmed Trend"))=0,#N/A,INDIRECT(ADDRESS($B174+1,AY$164,1,1,"Confirmed Trend")))</f>
        <v>8.4525657300000001E-2</v>
      </c>
      <c r="AZ174" s="18" cm="1">
        <f t="array" aca="1" ref="AZ174" ca="1">IF(INDIRECT(ADDRESS($B174+1,AZ$164,1,1,"Confirmed Trend"))=0,#N/A,INDIRECT(ADDRESS($B174+1,AZ$164,1,1,"Confirmed Trend")))</f>
        <v>6.6200310499999998E-2</v>
      </c>
      <c r="BA174" s="18" cm="1">
        <f t="array" aca="1" ref="BA174" ca="1">IF(INDIRECT(ADDRESS($B174+1,BA$164,1,1,"Confirmed Trend"))=0,#N/A,INDIRECT(ADDRESS($B174+1,BA$164,1,1,"Confirmed Trend")))</f>
        <v>5.06931942E-2</v>
      </c>
      <c r="BB174" s="18" cm="1">
        <f t="array" aca="1" ref="BB174" ca="1">IF(INDIRECT(ADDRESS($B174+1,BB$164,1,1,"Confirmed Trend"))=0,#N/A,INDIRECT(ADDRESS($B174+1,BB$164,1,1,"Confirmed Trend")))</f>
        <v>3.6307210899999998E-2</v>
      </c>
      <c r="BC174" s="18" cm="1">
        <f t="array" aca="1" ref="BC174" ca="1">IF(INDIRECT(ADDRESS($B174+1,BC$164,1,1,"Confirmed Trend"))=0,#N/A,INDIRECT(ADDRESS($B174+1,BC$164,1,1,"Confirmed Trend")))</f>
        <v>2.5158744E-2</v>
      </c>
      <c r="BD174" s="18" cm="1">
        <f t="array" aca="1" ref="BD174" ca="1">IF(INDIRECT(ADDRESS($B174+1,BD$164,1,1,"Confirmed Trend"))=0,#N/A,INDIRECT(ADDRESS($B174+1,BD$164,1,1,"Confirmed Trend")))</f>
        <v>1.96789359E-2</v>
      </c>
      <c r="BE174" s="18" cm="1">
        <f t="array" aca="1" ref="BE174" ca="1">IF(INDIRECT(ADDRESS($B174+1,BE$164,1,1,"Confirmed Trend"))=0,#N/A,INDIRECT(ADDRESS($B174+1,BE$164,1,1,"Confirmed Trend")))</f>
        <v>1.77784821E-2</v>
      </c>
      <c r="BF174" s="18" cm="1">
        <f t="array" aca="1" ref="BF174" ca="1">IF(INDIRECT(ADDRESS($B174+1,BF$164,1,1,"Confirmed Trend"))=0,#N/A,INDIRECT(ADDRESS($B174+1,BF$164,1,1,"Confirmed Trend")))</f>
        <v>1.58945983E-2</v>
      </c>
      <c r="BG174" s="18" cm="1">
        <f t="array" aca="1" ref="BG174" ca="1">IF(INDIRECT(ADDRESS($B174+1,BG$164,1,1,"Confirmed Trend"))=0,#N/A,INDIRECT(ADDRESS($B174+1,BG$164,1,1,"Confirmed Trend")))</f>
        <v>1.4247231799999999E-2</v>
      </c>
      <c r="BH174" s="18" cm="1">
        <f t="array" aca="1" ref="BH174" ca="1">IF(INDIRECT(ADDRESS($B174+1,BH$164,1,1,"Confirmed Trend"))=0,#N/A,INDIRECT(ADDRESS($B174+1,BH$164,1,1,"Confirmed Trend")))</f>
        <v>1.16063117E-2</v>
      </c>
      <c r="BI174" s="18" cm="1">
        <f t="array" aca="1" ref="BI174" ca="1">IF(INDIRECT(ADDRESS($B174+1,BI$164,1,1,"Confirmed Trend"))=0,#N/A,INDIRECT(ADDRESS($B174+1,BI$164,1,1,"Confirmed Trend")))</f>
        <v>1.0639959399999999E-2</v>
      </c>
      <c r="BJ174" s="18" cm="1">
        <f t="array" aca="1" ref="BJ174" ca="1">IF(INDIRECT(ADDRESS($B174+1,BJ$164,1,1,"Confirmed Trend"))=0,#N/A,INDIRECT(ADDRESS($B174+1,BJ$164,1,1,"Confirmed Trend")))</f>
        <v>1.08730939E-2</v>
      </c>
      <c r="BK174" s="18" cm="1">
        <f t="array" aca="1" ref="BK174" ca="1">IF(INDIRECT(ADDRESS($B174+1,BK$164,1,1,"Confirmed Trend"))=0,#N/A,INDIRECT(ADDRESS($B174+1,BK$164,1,1,"Confirmed Trend")))</f>
        <v>1.15015645E-2</v>
      </c>
      <c r="BL174" s="18" cm="1">
        <f t="array" aca="1" ref="BL174" ca="1">IF(INDIRECT(ADDRESS($B174+1,BL$164,1,1,"Confirmed Trend"))=0,#N/A,INDIRECT(ADDRESS($B174+1,BL$164,1,1,"Confirmed Trend")))</f>
        <v>1.28772088E-2</v>
      </c>
      <c r="BM174" s="18" cm="1">
        <f t="array" aca="1" ref="BM174" ca="1">IF(INDIRECT(ADDRESS($B174+1,BM$164,1,1,"Confirmed Trend"))=0,#N/A,INDIRECT(ADDRESS($B174+1,BM$164,1,1,"Confirmed Trend")))</f>
        <v>1.41449556E-2</v>
      </c>
      <c r="BN174" s="18" cm="1">
        <f t="array" aca="1" ref="BN174" ca="1">IF(INDIRECT(ADDRESS($B174+1,BN$164,1,1,"Confirmed Trend"))=0,#N/A,INDIRECT(ADDRESS($B174+1,BN$164,1,1,"Confirmed Trend")))</f>
        <v>1.37751226E-2</v>
      </c>
      <c r="BO174" s="18" cm="1">
        <f t="array" aca="1" ref="BO174" ca="1">IF(INDIRECT(ADDRESS($B174+1,BO$164,1,1,"Confirmed Trend"))=0,#N/A,INDIRECT(ADDRESS($B174+1,BO$164,1,1,"Confirmed Trend")))</f>
        <v>1.2718615500000001E-2</v>
      </c>
      <c r="BP174" s="18" cm="1">
        <f t="array" aca="1" ref="BP174" ca="1">IF(INDIRECT(ADDRESS($B174+1,BP$164,1,1,"Confirmed Trend"))=0,#N/A,INDIRECT(ADDRESS($B174+1,BP$164,1,1,"Confirmed Trend")))</f>
        <v>1.05837847E-2</v>
      </c>
      <c r="BQ174" s="18" cm="1">
        <f t="array" aca="1" ref="BQ174" ca="1">IF(INDIRECT(ADDRESS($B174+1,BQ$164,1,1,"Confirmed Trend"))=0,#N/A,INDIRECT(ADDRESS($B174+1,BQ$164,1,1,"Confirmed Trend")))</f>
        <v>9.3615114999999992E-3</v>
      </c>
      <c r="BR174" s="18" cm="1">
        <f t="array" aca="1" ref="BR174" ca="1">IF(INDIRECT(ADDRESS($B174+1,BR$164,1,1,"Confirmed Trend"))=0,#N/A,INDIRECT(ADDRESS($B174+1,BR$164,1,1,"Confirmed Trend")))</f>
        <v>9.1272985000000004E-3</v>
      </c>
      <c r="BS174" s="18" cm="1">
        <f t="array" aca="1" ref="BS174" ca="1">IF(INDIRECT(ADDRESS($B174+1,BS$164,1,1,"Confirmed Trend"))=0,#N/A,INDIRECT(ADDRESS($B174+1,BS$164,1,1,"Confirmed Trend")))</f>
        <v>9.9762059999999996E-3</v>
      </c>
      <c r="BT174" s="18" cm="1">
        <f t="array" aca="1" ref="BT174" ca="1">IF(INDIRECT(ADDRESS($B174+1,BT$164,1,1,"Confirmed Trend"))=0,#N/A,INDIRECT(ADDRESS($B174+1,BT$164,1,1,"Confirmed Trend")))</f>
        <v>1.13939796E-2</v>
      </c>
      <c r="BU174" s="18" cm="1">
        <f t="array" aca="1" ref="BU174" ca="1">IF(INDIRECT(ADDRESS($B174+1,BU$164,1,1,"Confirmed Trend"))=0,#N/A,INDIRECT(ADDRESS($B174+1,BU$164,1,1,"Confirmed Trend")))</f>
        <v>1.1711314400000001E-2</v>
      </c>
      <c r="BV174" s="18" cm="1">
        <f t="array" aca="1" ref="BV174" ca="1">IF(INDIRECT(ADDRESS($B174+1,BV$164,1,1,"Confirmed Trend"))=0,#N/A,INDIRECT(ADDRESS($B174+1,BV$164,1,1,"Confirmed Trend")))</f>
        <v>8.1394134999999996E-3</v>
      </c>
    </row>
    <row r="175" spans="2:74" x14ac:dyDescent="0.25">
      <c r="B175">
        <f t="shared" si="132"/>
        <v>10</v>
      </c>
      <c r="C175" t="str" cm="1">
        <f t="array" aca="1" ref="C175" ca="1">INDIRECT(ADDRESS($B175+1,1,1,1,"Confirmed Trend"))</f>
        <v>Russia</v>
      </c>
      <c r="E175" s="18" t="e" cm="1">
        <f t="array" aca="1" ref="E175" ca="1">IF(INDIRECT(ADDRESS($B175+1,E$164,1,1,"Confirmed Trend"))=0,#N/A,INDIRECT(ADDRESS($B175+1,E$164,1,1,"Confirmed Trend")))</f>
        <v>#N/A</v>
      </c>
      <c r="F175" s="18" t="e" cm="1">
        <f t="array" aca="1" ref="F175" ca="1">IF(INDIRECT(ADDRESS($B175+1,F$164,1,1,"Confirmed Trend"))=0,#N/A,INDIRECT(ADDRESS($B175+1,F$164,1,1,"Confirmed Trend")))</f>
        <v>#N/A</v>
      </c>
      <c r="G175" s="18" t="e" cm="1">
        <f t="array" aca="1" ref="G175" ca="1">IF(INDIRECT(ADDRESS($B175+1,G$164,1,1,"Confirmed Trend"))=0,#N/A,INDIRECT(ADDRESS($B175+1,G$164,1,1,"Confirmed Trend")))</f>
        <v>#N/A</v>
      </c>
      <c r="H175" s="18" t="e" cm="1">
        <f t="array" aca="1" ref="H175" ca="1">IF(INDIRECT(ADDRESS($B175+1,H$164,1,1,"Confirmed Trend"))=0,#N/A,INDIRECT(ADDRESS($B175+1,H$164,1,1,"Confirmed Trend")))</f>
        <v>#N/A</v>
      </c>
      <c r="I175" s="18" t="e" cm="1">
        <f t="array" aca="1" ref="I175" ca="1">IF(INDIRECT(ADDRESS($B175+1,I$164,1,1,"Confirmed Trend"))=0,#N/A,INDIRECT(ADDRESS($B175+1,I$164,1,1,"Confirmed Trend")))</f>
        <v>#N/A</v>
      </c>
      <c r="J175" s="18" t="e" cm="1">
        <f t="array" aca="1" ref="J175" ca="1">IF(INDIRECT(ADDRESS($B175+1,J$164,1,1,"Confirmed Trend"))=0,#N/A,INDIRECT(ADDRESS($B175+1,J$164,1,1,"Confirmed Trend")))</f>
        <v>#N/A</v>
      </c>
      <c r="K175" s="18" t="e" cm="1">
        <f t="array" aca="1" ref="K175" ca="1">IF(INDIRECT(ADDRESS($B175+1,K$164,1,1,"Confirmed Trend"))=0,#N/A,INDIRECT(ADDRESS($B175+1,K$164,1,1,"Confirmed Trend")))</f>
        <v>#N/A</v>
      </c>
      <c r="L175" s="18" t="e" cm="1">
        <f t="array" aca="1" ref="L175" ca="1">IF(INDIRECT(ADDRESS($B175+1,L$164,1,1,"Confirmed Trend"))=0,#N/A,INDIRECT(ADDRESS($B175+1,L$164,1,1,"Confirmed Trend")))</f>
        <v>#N/A</v>
      </c>
      <c r="M175" s="18" t="e" cm="1">
        <f t="array" aca="1" ref="M175" ca="1">IF(INDIRECT(ADDRESS($B175+1,M$164,1,1,"Confirmed Trend"))=0,#N/A,INDIRECT(ADDRESS($B175+1,M$164,1,1,"Confirmed Trend")))</f>
        <v>#N/A</v>
      </c>
      <c r="N175" s="18" t="e" cm="1">
        <f t="array" aca="1" ref="N175" ca="1">IF(INDIRECT(ADDRESS($B175+1,N$164,1,1,"Confirmed Trend"))=0,#N/A,INDIRECT(ADDRESS($B175+1,N$164,1,1,"Confirmed Trend")))</f>
        <v>#N/A</v>
      </c>
      <c r="O175" s="18" t="e" cm="1">
        <f t="array" aca="1" ref="O175" ca="1">IF(INDIRECT(ADDRESS($B175+1,O$164,1,1,"Confirmed Trend"))=0,#N/A,INDIRECT(ADDRESS($B175+1,O$164,1,1,"Confirmed Trend")))</f>
        <v>#N/A</v>
      </c>
      <c r="P175" s="18" t="e" cm="1">
        <f t="array" aca="1" ref="P175" ca="1">IF(INDIRECT(ADDRESS($B175+1,P$164,1,1,"Confirmed Trend"))=0,#N/A,INDIRECT(ADDRESS($B175+1,P$164,1,1,"Confirmed Trend")))</f>
        <v>#N/A</v>
      </c>
      <c r="Q175" s="18" t="e" cm="1">
        <f t="array" aca="1" ref="Q175" ca="1">IF(INDIRECT(ADDRESS($B175+1,Q$164,1,1,"Confirmed Trend"))=0,#N/A,INDIRECT(ADDRESS($B175+1,Q$164,1,1,"Confirmed Trend")))</f>
        <v>#N/A</v>
      </c>
      <c r="R175" s="18" t="e" cm="1">
        <f t="array" aca="1" ref="R175" ca="1">IF(INDIRECT(ADDRESS($B175+1,R$164,1,1,"Confirmed Trend"))=0,#N/A,INDIRECT(ADDRESS($B175+1,R$164,1,1,"Confirmed Trend")))</f>
        <v>#N/A</v>
      </c>
      <c r="S175" s="18" t="e" cm="1">
        <f t="array" aca="1" ref="S175" ca="1">IF(INDIRECT(ADDRESS($B175+1,S$164,1,1,"Confirmed Trend"))=0,#N/A,INDIRECT(ADDRESS($B175+1,S$164,1,1,"Confirmed Trend")))</f>
        <v>#N/A</v>
      </c>
      <c r="T175" s="18" t="e" cm="1">
        <f t="array" aca="1" ref="T175" ca="1">IF(INDIRECT(ADDRESS($B175+1,T$164,1,1,"Confirmed Trend"))=0,#N/A,INDIRECT(ADDRESS($B175+1,T$164,1,1,"Confirmed Trend")))</f>
        <v>#N/A</v>
      </c>
      <c r="U175" s="18" t="e" cm="1">
        <f t="array" aca="1" ref="U175" ca="1">IF(INDIRECT(ADDRESS($B175+1,U$164,1,1,"Confirmed Trend"))=0,#N/A,INDIRECT(ADDRESS($B175+1,U$164,1,1,"Confirmed Trend")))</f>
        <v>#N/A</v>
      </c>
      <c r="V175" s="18" t="e" cm="1">
        <f t="array" aca="1" ref="V175" ca="1">IF(INDIRECT(ADDRESS($B175+1,V$164,1,1,"Confirmed Trend"))=0,#N/A,INDIRECT(ADDRESS($B175+1,V$164,1,1,"Confirmed Trend")))</f>
        <v>#N/A</v>
      </c>
      <c r="W175" s="18" t="e" cm="1">
        <f t="array" aca="1" ref="W175" ca="1">IF(INDIRECT(ADDRESS($B175+1,W$164,1,1,"Confirmed Trend"))=0,#N/A,INDIRECT(ADDRESS($B175+1,W$164,1,1,"Confirmed Trend")))</f>
        <v>#N/A</v>
      </c>
      <c r="X175" s="18" t="e" cm="1">
        <f t="array" aca="1" ref="X175" ca="1">IF(INDIRECT(ADDRESS($B175+1,X$164,1,1,"Confirmed Trend"))=0,#N/A,INDIRECT(ADDRESS($B175+1,X$164,1,1,"Confirmed Trend")))</f>
        <v>#N/A</v>
      </c>
      <c r="Y175" s="18" t="e" cm="1">
        <f t="array" aca="1" ref="Y175" ca="1">IF(INDIRECT(ADDRESS($B175+1,Y$164,1,1,"Confirmed Trend"))=0,#N/A,INDIRECT(ADDRESS($B175+1,Y$164,1,1,"Confirmed Trend")))</f>
        <v>#N/A</v>
      </c>
      <c r="Z175" s="18" t="e" cm="1">
        <f t="array" aca="1" ref="Z175" ca="1">IF(INDIRECT(ADDRESS($B175+1,Z$164,1,1,"Confirmed Trend"))=0,#N/A,INDIRECT(ADDRESS($B175+1,Z$164,1,1,"Confirmed Trend")))</f>
        <v>#N/A</v>
      </c>
      <c r="AA175" s="18" t="e" cm="1">
        <f t="array" aca="1" ref="AA175" ca="1">IF(INDIRECT(ADDRESS($B175+1,AA$164,1,1,"Confirmed Trend"))=0,#N/A,INDIRECT(ADDRESS($B175+1,AA$164,1,1,"Confirmed Trend")))</f>
        <v>#N/A</v>
      </c>
      <c r="AB175" s="18" t="e" cm="1">
        <f t="array" aca="1" ref="AB175" ca="1">IF(INDIRECT(ADDRESS($B175+1,AB$164,1,1,"Confirmed Trend"))=0,#N/A,INDIRECT(ADDRESS($B175+1,AB$164,1,1,"Confirmed Trend")))</f>
        <v>#N/A</v>
      </c>
      <c r="AC175" s="18" t="e" cm="1">
        <f t="array" aca="1" ref="AC175" ca="1">IF(INDIRECT(ADDRESS($B175+1,AC$164,1,1,"Confirmed Trend"))=0,#N/A,INDIRECT(ADDRESS($B175+1,AC$164,1,1,"Confirmed Trend")))</f>
        <v>#N/A</v>
      </c>
      <c r="AD175" s="18" t="e" cm="1">
        <f t="array" aca="1" ref="AD175" ca="1">IF(INDIRECT(ADDRESS($B175+1,AD$164,1,1,"Confirmed Trend"))=0,#N/A,INDIRECT(ADDRESS($B175+1,AD$164,1,1,"Confirmed Trend")))</f>
        <v>#N/A</v>
      </c>
      <c r="AE175" s="18" t="e" cm="1">
        <f t="array" aca="1" ref="AE175" ca="1">IF(INDIRECT(ADDRESS($B175+1,AE$164,1,1,"Confirmed Trend"))=0,#N/A,INDIRECT(ADDRESS($B175+1,AE$164,1,1,"Confirmed Trend")))</f>
        <v>#N/A</v>
      </c>
      <c r="AF175" s="18" t="e" cm="1">
        <f t="array" aca="1" ref="AF175" ca="1">IF(INDIRECT(ADDRESS($B175+1,AF$164,1,1,"Confirmed Trend"))=0,#N/A,INDIRECT(ADDRESS($B175+1,AF$164,1,1,"Confirmed Trend")))</f>
        <v>#N/A</v>
      </c>
      <c r="AG175" s="18" t="e" cm="1">
        <f t="array" aca="1" ref="AG175" ca="1">IF(INDIRECT(ADDRESS($B175+1,AG$164,1,1,"Confirmed Trend"))=0,#N/A,INDIRECT(ADDRESS($B175+1,AG$164,1,1,"Confirmed Trend")))</f>
        <v>#N/A</v>
      </c>
      <c r="AH175" s="18" t="e" cm="1">
        <f t="array" aca="1" ref="AH175" ca="1">IF(INDIRECT(ADDRESS($B175+1,AH$164,1,1,"Confirmed Trend"))=0,#N/A,INDIRECT(ADDRESS($B175+1,AH$164,1,1,"Confirmed Trend")))</f>
        <v>#N/A</v>
      </c>
      <c r="AI175" s="18" t="e" cm="1">
        <f t="array" aca="1" ref="AI175" ca="1">IF(INDIRECT(ADDRESS($B175+1,AI$164,1,1,"Confirmed Trend"))=0,#N/A,INDIRECT(ADDRESS($B175+1,AI$164,1,1,"Confirmed Trend")))</f>
        <v>#N/A</v>
      </c>
      <c r="AJ175" s="18" t="e" cm="1">
        <f t="array" aca="1" ref="AJ175" ca="1">IF(INDIRECT(ADDRESS($B175+1,AJ$164,1,1,"Confirmed Trend"))=0,#N/A,INDIRECT(ADDRESS($B175+1,AJ$164,1,1,"Confirmed Trend")))</f>
        <v>#N/A</v>
      </c>
      <c r="AK175" s="18" t="e" cm="1">
        <f t="array" aca="1" ref="AK175" ca="1">IF(INDIRECT(ADDRESS($B175+1,AK$164,1,1,"Confirmed Trend"))=0,#N/A,INDIRECT(ADDRESS($B175+1,AK$164,1,1,"Confirmed Trend")))</f>
        <v>#N/A</v>
      </c>
      <c r="AL175" s="18" t="e" cm="1">
        <f t="array" aca="1" ref="AL175" ca="1">IF(INDIRECT(ADDRESS($B175+1,AL$164,1,1,"Confirmed Trend"))=0,#N/A,INDIRECT(ADDRESS($B175+1,AL$164,1,1,"Confirmed Trend")))</f>
        <v>#N/A</v>
      </c>
      <c r="AM175" s="18" t="e" cm="1">
        <f t="array" aca="1" ref="AM175" ca="1">IF(INDIRECT(ADDRESS($B175+1,AM$164,1,1,"Confirmed Trend"))=0,#N/A,INDIRECT(ADDRESS($B175+1,AM$164,1,1,"Confirmed Trend")))</f>
        <v>#N/A</v>
      </c>
      <c r="AN175" s="18" t="e" cm="1">
        <f t="array" aca="1" ref="AN175" ca="1">IF(INDIRECT(ADDRESS($B175+1,AN$164,1,1,"Confirmed Trend"))=0,#N/A,INDIRECT(ADDRESS($B175+1,AN$164,1,1,"Confirmed Trend")))</f>
        <v>#N/A</v>
      </c>
      <c r="AO175" s="18" t="e" cm="1">
        <f t="array" aca="1" ref="AO175" ca="1">IF(INDIRECT(ADDRESS($B175+1,AO$164,1,1,"Confirmed Trend"))=0,#N/A,INDIRECT(ADDRESS($B175+1,AO$164,1,1,"Confirmed Trend")))</f>
        <v>#N/A</v>
      </c>
      <c r="AP175" s="18" t="e" cm="1">
        <f t="array" aca="1" ref="AP175" ca="1">IF(INDIRECT(ADDRESS($B175+1,AP$164,1,1,"Confirmed Trend"))=0,#N/A,INDIRECT(ADDRESS($B175+1,AP$164,1,1,"Confirmed Trend")))</f>
        <v>#N/A</v>
      </c>
      <c r="AQ175" s="18" t="e" cm="1">
        <f t="array" aca="1" ref="AQ175" ca="1">IF(INDIRECT(ADDRESS($B175+1,AQ$164,1,1,"Confirmed Trend"))=0,#N/A,INDIRECT(ADDRESS($B175+1,AQ$164,1,1,"Confirmed Trend")))</f>
        <v>#N/A</v>
      </c>
      <c r="AR175" s="18" t="e" cm="1">
        <f t="array" aca="1" ref="AR175" ca="1">IF(INDIRECT(ADDRESS($B175+1,AR$164,1,1,"Confirmed Trend"))=0,#N/A,INDIRECT(ADDRESS($B175+1,AR$164,1,1,"Confirmed Trend")))</f>
        <v>#N/A</v>
      </c>
      <c r="AS175" s="18" t="e" cm="1">
        <f t="array" aca="1" ref="AS175" ca="1">IF(INDIRECT(ADDRESS($B175+1,AS$164,1,1,"Confirmed Trend"))=0,#N/A,INDIRECT(ADDRESS($B175+1,AS$164,1,1,"Confirmed Trend")))</f>
        <v>#N/A</v>
      </c>
      <c r="AT175" s="18" t="e" cm="1">
        <f t="array" aca="1" ref="AT175" ca="1">IF(INDIRECT(ADDRESS($B175+1,AT$164,1,1,"Confirmed Trend"))=0,#N/A,INDIRECT(ADDRESS($B175+1,AT$164,1,1,"Confirmed Trend")))</f>
        <v>#N/A</v>
      </c>
      <c r="AU175" s="18" t="e" cm="1">
        <f t="array" aca="1" ref="AU175" ca="1">IF(INDIRECT(ADDRESS($B175+1,AU$164,1,1,"Confirmed Trend"))=0,#N/A,INDIRECT(ADDRESS($B175+1,AU$164,1,1,"Confirmed Trend")))</f>
        <v>#N/A</v>
      </c>
      <c r="AV175" s="18" t="e" cm="1">
        <f t="array" aca="1" ref="AV175" ca="1">IF(INDIRECT(ADDRESS($B175+1,AV$164,1,1,"Confirmed Trend"))=0,#N/A,INDIRECT(ADDRESS($B175+1,AV$164,1,1,"Confirmed Trend")))</f>
        <v>#N/A</v>
      </c>
      <c r="AW175" s="18" t="e" cm="1">
        <f t="array" aca="1" ref="AW175" ca="1">IF(INDIRECT(ADDRESS($B175+1,AW$164,1,1,"Confirmed Trend"))=0,#N/A,INDIRECT(ADDRESS($B175+1,AW$164,1,1,"Confirmed Trend")))</f>
        <v>#N/A</v>
      </c>
      <c r="AX175" s="18" t="e" cm="1">
        <f t="array" aca="1" ref="AX175" ca="1">IF(INDIRECT(ADDRESS($B175+1,AX$164,1,1,"Confirmed Trend"))=0,#N/A,INDIRECT(ADDRESS($B175+1,AX$164,1,1,"Confirmed Trend")))</f>
        <v>#N/A</v>
      </c>
      <c r="AY175" s="18" t="e" cm="1">
        <f t="array" aca="1" ref="AY175" ca="1">IF(INDIRECT(ADDRESS($B175+1,AY$164,1,1,"Confirmed Trend"))=0,#N/A,INDIRECT(ADDRESS($B175+1,AY$164,1,1,"Confirmed Trend")))</f>
        <v>#N/A</v>
      </c>
      <c r="AZ175" s="18" t="e" cm="1">
        <f t="array" aca="1" ref="AZ175" ca="1">IF(INDIRECT(ADDRESS($B175+1,AZ$164,1,1,"Confirmed Trend"))=0,#N/A,INDIRECT(ADDRESS($B175+1,AZ$164,1,1,"Confirmed Trend")))</f>
        <v>#N/A</v>
      </c>
      <c r="BA175" s="18" t="e" cm="1">
        <f t="array" aca="1" ref="BA175" ca="1">IF(INDIRECT(ADDRESS($B175+1,BA$164,1,1,"Confirmed Trend"))=0,#N/A,INDIRECT(ADDRESS($B175+1,BA$164,1,1,"Confirmed Trend")))</f>
        <v>#N/A</v>
      </c>
      <c r="BB175" s="18" t="e" cm="1">
        <f t="array" aca="1" ref="BB175" ca="1">IF(INDIRECT(ADDRESS($B175+1,BB$164,1,1,"Confirmed Trend"))=0,#N/A,INDIRECT(ADDRESS($B175+1,BB$164,1,1,"Confirmed Trend")))</f>
        <v>#N/A</v>
      </c>
      <c r="BC175" s="18" cm="1">
        <f t="array" aca="1" ref="BC175" ca="1">IF(INDIRECT(ADDRESS($B175+1,BC$164,1,1,"Confirmed Trend"))=0,#N/A,INDIRECT(ADDRESS($B175+1,BC$164,1,1,"Confirmed Trend")))</f>
        <v>0.1213988704</v>
      </c>
      <c r="BD175" s="18" cm="1">
        <f t="array" aca="1" ref="BD175" ca="1">IF(INDIRECT(ADDRESS($B175+1,BD$164,1,1,"Confirmed Trend"))=0,#N/A,INDIRECT(ADDRESS($B175+1,BD$164,1,1,"Confirmed Trend")))</f>
        <v>0.18603163380000001</v>
      </c>
      <c r="BE175" s="18" cm="1">
        <f t="array" aca="1" ref="BE175" ca="1">IF(INDIRECT(ADDRESS($B175+1,BE$164,1,1,"Confirmed Trend"))=0,#N/A,INDIRECT(ADDRESS($B175+1,BE$164,1,1,"Confirmed Trend")))</f>
        <v>0.25038870749999997</v>
      </c>
      <c r="BF175" s="18" cm="1">
        <f t="array" aca="1" ref="BF175" ca="1">IF(INDIRECT(ADDRESS($B175+1,BF$164,1,1,"Confirmed Trend"))=0,#N/A,INDIRECT(ADDRESS($B175+1,BF$164,1,1,"Confirmed Trend")))</f>
        <v>0.30830922570000002</v>
      </c>
      <c r="BG175" s="18" cm="1">
        <f t="array" aca="1" ref="BG175" ca="1">IF(INDIRECT(ADDRESS($B175+1,BG$164,1,1,"Confirmed Trend"))=0,#N/A,INDIRECT(ADDRESS($B175+1,BG$164,1,1,"Confirmed Trend")))</f>
        <v>0.32879118089999998</v>
      </c>
      <c r="BH175" s="18" cm="1">
        <f t="array" aca="1" ref="BH175" ca="1">IF(INDIRECT(ADDRESS($B175+1,BH$164,1,1,"Confirmed Trend"))=0,#N/A,INDIRECT(ADDRESS($B175+1,BH$164,1,1,"Confirmed Trend")))</f>
        <v>0.3016885305</v>
      </c>
      <c r="BI175" s="18" cm="1">
        <f t="array" aca="1" ref="BI175" ca="1">IF(INDIRECT(ADDRESS($B175+1,BI$164,1,1,"Confirmed Trend"))=0,#N/A,INDIRECT(ADDRESS($B175+1,BI$164,1,1,"Confirmed Trend")))</f>
        <v>0.2769776504</v>
      </c>
      <c r="BJ175" s="18" cm="1">
        <f t="array" aca="1" ref="BJ175" ca="1">IF(INDIRECT(ADDRESS($B175+1,BJ$164,1,1,"Confirmed Trend"))=0,#N/A,INDIRECT(ADDRESS($B175+1,BJ$164,1,1,"Confirmed Trend")))</f>
        <v>0.28828022399999997</v>
      </c>
      <c r="BK175" s="18" cm="1">
        <f t="array" aca="1" ref="BK175" ca="1">IF(INDIRECT(ADDRESS($B175+1,BK$164,1,1,"Confirmed Trend"))=0,#N/A,INDIRECT(ADDRESS($B175+1,BK$164,1,1,"Confirmed Trend")))</f>
        <v>0.29650065460000002</v>
      </c>
      <c r="BL175" s="18" cm="1">
        <f t="array" aca="1" ref="BL175" ca="1">IF(INDIRECT(ADDRESS($B175+1,BL$164,1,1,"Confirmed Trend"))=0,#N/A,INDIRECT(ADDRESS($B175+1,BL$164,1,1,"Confirmed Trend")))</f>
        <v>0.29804421520000002</v>
      </c>
      <c r="BM175" s="18" cm="1">
        <f t="array" aca="1" ref="BM175" ca="1">IF(INDIRECT(ADDRESS($B175+1,BM$164,1,1,"Confirmed Trend"))=0,#N/A,INDIRECT(ADDRESS($B175+1,BM$164,1,1,"Confirmed Trend")))</f>
        <v>0.27445929050000001</v>
      </c>
      <c r="BN175" s="18" cm="1">
        <f t="array" aca="1" ref="BN175" ca="1">IF(INDIRECT(ADDRESS($B175+1,BN$164,1,1,"Confirmed Trend"))=0,#N/A,INDIRECT(ADDRESS($B175+1,BN$164,1,1,"Confirmed Trend")))</f>
        <v>0.24663425659999999</v>
      </c>
      <c r="BO175" s="18" cm="1">
        <f t="array" aca="1" ref="BO175" ca="1">IF(INDIRECT(ADDRESS($B175+1,BO$164,1,1,"Confirmed Trend"))=0,#N/A,INDIRECT(ADDRESS($B175+1,BO$164,1,1,"Confirmed Trend")))</f>
        <v>0.2137496914</v>
      </c>
      <c r="BP175" s="18" cm="1">
        <f t="array" aca="1" ref="BP175" ca="1">IF(INDIRECT(ADDRESS($B175+1,BP$164,1,1,"Confirmed Trend"))=0,#N/A,INDIRECT(ADDRESS($B175+1,BP$164,1,1,"Confirmed Trend")))</f>
        <v>0.20365006469999999</v>
      </c>
      <c r="BQ175" s="18" cm="1">
        <f t="array" aca="1" ref="BQ175" ca="1">IF(INDIRECT(ADDRESS($B175+1,BQ$164,1,1,"Confirmed Trend"))=0,#N/A,INDIRECT(ADDRESS($B175+1,BQ$164,1,1,"Confirmed Trend")))</f>
        <v>0.21122291330000001</v>
      </c>
      <c r="BR175" s="18" cm="1">
        <f t="array" aca="1" ref="BR175" ca="1">IF(INDIRECT(ADDRESS($B175+1,BR$164,1,1,"Confirmed Trend"))=0,#N/A,INDIRECT(ADDRESS($B175+1,BR$164,1,1,"Confirmed Trend")))</f>
        <v>0.22891865789999999</v>
      </c>
      <c r="BS175" s="18" cm="1">
        <f t="array" aca="1" ref="BS175" ca="1">IF(INDIRECT(ADDRESS($B175+1,BS$164,1,1,"Confirmed Trend"))=0,#N/A,INDIRECT(ADDRESS($B175+1,BS$164,1,1,"Confirmed Trend")))</f>
        <v>0.24665583460000001</v>
      </c>
      <c r="BT175" s="18" cm="1">
        <f t="array" aca="1" ref="BT175" ca="1">IF(INDIRECT(ADDRESS($B175+1,BT$164,1,1,"Confirmed Trend"))=0,#N/A,INDIRECT(ADDRESS($B175+1,BT$164,1,1,"Confirmed Trend")))</f>
        <v>0.24593527630000001</v>
      </c>
      <c r="BU175" s="18" cm="1">
        <f t="array" aca="1" ref="BU175" ca="1">IF(INDIRECT(ADDRESS($B175+1,BU$164,1,1,"Confirmed Trend"))=0,#N/A,INDIRECT(ADDRESS($B175+1,BU$164,1,1,"Confirmed Trend")))</f>
        <v>0.23484424679999999</v>
      </c>
      <c r="BV175" s="18" cm="1">
        <f t="array" aca="1" ref="BV175" ca="1">IF(INDIRECT(ADDRESS($B175+1,BV$164,1,1,"Confirmed Trend"))=0,#N/A,INDIRECT(ADDRESS($B175+1,BV$164,1,1,"Confirmed Trend")))</f>
        <v>0.1968709257</v>
      </c>
    </row>
    <row r="176" spans="2:74" x14ac:dyDescent="0.25">
      <c r="B176">
        <f t="shared" si="132"/>
        <v>11</v>
      </c>
      <c r="C176" t="str" cm="1">
        <f t="array" aca="1" ref="C176" ca="1">INDIRECT(ADDRESS($B176+1,1,1,1,"Confirmed Trend"))</f>
        <v>Spain</v>
      </c>
      <c r="E176" s="18" t="e" cm="1">
        <f t="array" aca="1" ref="E176" ca="1">IF(INDIRECT(ADDRESS($B176+1,E$164,1,1,"Confirmed Trend"))=0,#N/A,INDIRECT(ADDRESS($B176+1,E$164,1,1,"Confirmed Trend")))</f>
        <v>#N/A</v>
      </c>
      <c r="F176" s="18" t="e" cm="1">
        <f t="array" aca="1" ref="F176" ca="1">IF(INDIRECT(ADDRESS($B176+1,F$164,1,1,"Confirmed Trend"))=0,#N/A,INDIRECT(ADDRESS($B176+1,F$164,1,1,"Confirmed Trend")))</f>
        <v>#N/A</v>
      </c>
      <c r="G176" s="18" t="e" cm="1">
        <f t="array" aca="1" ref="G176" ca="1">IF(INDIRECT(ADDRESS($B176+1,G$164,1,1,"Confirmed Trend"))=0,#N/A,INDIRECT(ADDRESS($B176+1,G$164,1,1,"Confirmed Trend")))</f>
        <v>#N/A</v>
      </c>
      <c r="H176" s="18" t="e" cm="1">
        <f t="array" aca="1" ref="H176" ca="1">IF(INDIRECT(ADDRESS($B176+1,H$164,1,1,"Confirmed Trend"))=0,#N/A,INDIRECT(ADDRESS($B176+1,H$164,1,1,"Confirmed Trend")))</f>
        <v>#N/A</v>
      </c>
      <c r="I176" s="18" t="e" cm="1">
        <f t="array" aca="1" ref="I176" ca="1">IF(INDIRECT(ADDRESS($B176+1,I$164,1,1,"Confirmed Trend"))=0,#N/A,INDIRECT(ADDRESS($B176+1,I$164,1,1,"Confirmed Trend")))</f>
        <v>#N/A</v>
      </c>
      <c r="J176" s="18" t="e" cm="1">
        <f t="array" aca="1" ref="J176" ca="1">IF(INDIRECT(ADDRESS($B176+1,J$164,1,1,"Confirmed Trend"))=0,#N/A,INDIRECT(ADDRESS($B176+1,J$164,1,1,"Confirmed Trend")))</f>
        <v>#N/A</v>
      </c>
      <c r="K176" s="18" t="e" cm="1">
        <f t="array" aca="1" ref="K176" ca="1">IF(INDIRECT(ADDRESS($B176+1,K$164,1,1,"Confirmed Trend"))=0,#N/A,INDIRECT(ADDRESS($B176+1,K$164,1,1,"Confirmed Trend")))</f>
        <v>#N/A</v>
      </c>
      <c r="L176" s="18" t="e" cm="1">
        <f t="array" aca="1" ref="L176" ca="1">IF(INDIRECT(ADDRESS($B176+1,L$164,1,1,"Confirmed Trend"))=0,#N/A,INDIRECT(ADDRESS($B176+1,L$164,1,1,"Confirmed Trend")))</f>
        <v>#N/A</v>
      </c>
      <c r="M176" s="18" t="e" cm="1">
        <f t="array" aca="1" ref="M176" ca="1">IF(INDIRECT(ADDRESS($B176+1,M$164,1,1,"Confirmed Trend"))=0,#N/A,INDIRECT(ADDRESS($B176+1,M$164,1,1,"Confirmed Trend")))</f>
        <v>#N/A</v>
      </c>
      <c r="N176" s="18" t="e" cm="1">
        <f t="array" aca="1" ref="N176" ca="1">IF(INDIRECT(ADDRESS($B176+1,N$164,1,1,"Confirmed Trend"))=0,#N/A,INDIRECT(ADDRESS($B176+1,N$164,1,1,"Confirmed Trend")))</f>
        <v>#N/A</v>
      </c>
      <c r="O176" s="18" t="e" cm="1">
        <f t="array" aca="1" ref="O176" ca="1">IF(INDIRECT(ADDRESS($B176+1,O$164,1,1,"Confirmed Trend"))=0,#N/A,INDIRECT(ADDRESS($B176+1,O$164,1,1,"Confirmed Trend")))</f>
        <v>#N/A</v>
      </c>
      <c r="P176" s="18" t="e" cm="1">
        <f t="array" aca="1" ref="P176" ca="1">IF(INDIRECT(ADDRESS($B176+1,P$164,1,1,"Confirmed Trend"))=0,#N/A,INDIRECT(ADDRESS($B176+1,P$164,1,1,"Confirmed Trend")))</f>
        <v>#N/A</v>
      </c>
      <c r="Q176" s="18" t="e" cm="1">
        <f t="array" aca="1" ref="Q176" ca="1">IF(INDIRECT(ADDRESS($B176+1,Q$164,1,1,"Confirmed Trend"))=0,#N/A,INDIRECT(ADDRESS($B176+1,Q$164,1,1,"Confirmed Trend")))</f>
        <v>#N/A</v>
      </c>
      <c r="R176" s="18" t="e" cm="1">
        <f t="array" aca="1" ref="R176" ca="1">IF(INDIRECT(ADDRESS($B176+1,R$164,1,1,"Confirmed Trend"))=0,#N/A,INDIRECT(ADDRESS($B176+1,R$164,1,1,"Confirmed Trend")))</f>
        <v>#N/A</v>
      </c>
      <c r="S176" s="18" t="e" cm="1">
        <f t="array" aca="1" ref="S176" ca="1">IF(INDIRECT(ADDRESS($B176+1,S$164,1,1,"Confirmed Trend"))=0,#N/A,INDIRECT(ADDRESS($B176+1,S$164,1,1,"Confirmed Trend")))</f>
        <v>#N/A</v>
      </c>
      <c r="T176" s="18" t="e" cm="1">
        <f t="array" aca="1" ref="T176" ca="1">IF(INDIRECT(ADDRESS($B176+1,T$164,1,1,"Confirmed Trend"))=0,#N/A,INDIRECT(ADDRESS($B176+1,T$164,1,1,"Confirmed Trend")))</f>
        <v>#N/A</v>
      </c>
      <c r="U176" s="18" t="e" cm="1">
        <f t="array" aca="1" ref="U176" ca="1">IF(INDIRECT(ADDRESS($B176+1,U$164,1,1,"Confirmed Trend"))=0,#N/A,INDIRECT(ADDRESS($B176+1,U$164,1,1,"Confirmed Trend")))</f>
        <v>#N/A</v>
      </c>
      <c r="V176" s="18" t="e" cm="1">
        <f t="array" aca="1" ref="V176" ca="1">IF(INDIRECT(ADDRESS($B176+1,V$164,1,1,"Confirmed Trend"))=0,#N/A,INDIRECT(ADDRESS($B176+1,V$164,1,1,"Confirmed Trend")))</f>
        <v>#N/A</v>
      </c>
      <c r="W176" s="18" t="e" cm="1">
        <f t="array" aca="1" ref="W176" ca="1">IF(INDIRECT(ADDRESS($B176+1,W$164,1,1,"Confirmed Trend"))=0,#N/A,INDIRECT(ADDRESS($B176+1,W$164,1,1,"Confirmed Trend")))</f>
        <v>#N/A</v>
      </c>
      <c r="X176" s="18" t="e" cm="1">
        <f t="array" aca="1" ref="X176" ca="1">IF(INDIRECT(ADDRESS($B176+1,X$164,1,1,"Confirmed Trend"))=0,#N/A,INDIRECT(ADDRESS($B176+1,X$164,1,1,"Confirmed Trend")))</f>
        <v>#N/A</v>
      </c>
      <c r="Y176" s="18" t="e" cm="1">
        <f t="array" aca="1" ref="Y176" ca="1">IF(INDIRECT(ADDRESS($B176+1,Y$164,1,1,"Confirmed Trend"))=0,#N/A,INDIRECT(ADDRESS($B176+1,Y$164,1,1,"Confirmed Trend")))</f>
        <v>#N/A</v>
      </c>
      <c r="Z176" s="18" t="e" cm="1">
        <f t="array" aca="1" ref="Z176" ca="1">IF(INDIRECT(ADDRESS($B176+1,Z$164,1,1,"Confirmed Trend"))=0,#N/A,INDIRECT(ADDRESS($B176+1,Z$164,1,1,"Confirmed Trend")))</f>
        <v>#N/A</v>
      </c>
      <c r="AA176" s="18" t="e" cm="1">
        <f t="array" aca="1" ref="AA176" ca="1">IF(INDIRECT(ADDRESS($B176+1,AA$164,1,1,"Confirmed Trend"))=0,#N/A,INDIRECT(ADDRESS($B176+1,AA$164,1,1,"Confirmed Trend")))</f>
        <v>#N/A</v>
      </c>
      <c r="AB176" s="18" t="e" cm="1">
        <f t="array" aca="1" ref="AB176" ca="1">IF(INDIRECT(ADDRESS($B176+1,AB$164,1,1,"Confirmed Trend"))=0,#N/A,INDIRECT(ADDRESS($B176+1,AB$164,1,1,"Confirmed Trend")))</f>
        <v>#N/A</v>
      </c>
      <c r="AC176" s="18" t="e" cm="1">
        <f t="array" aca="1" ref="AC176" ca="1">IF(INDIRECT(ADDRESS($B176+1,AC$164,1,1,"Confirmed Trend"))=0,#N/A,INDIRECT(ADDRESS($B176+1,AC$164,1,1,"Confirmed Trend")))</f>
        <v>#N/A</v>
      </c>
      <c r="AD176" s="18" t="e" cm="1">
        <f t="array" aca="1" ref="AD176" ca="1">IF(INDIRECT(ADDRESS($B176+1,AD$164,1,1,"Confirmed Trend"))=0,#N/A,INDIRECT(ADDRESS($B176+1,AD$164,1,1,"Confirmed Trend")))</f>
        <v>#N/A</v>
      </c>
      <c r="AE176" s="18" t="e" cm="1">
        <f t="array" aca="1" ref="AE176" ca="1">IF(INDIRECT(ADDRESS($B176+1,AE$164,1,1,"Confirmed Trend"))=0,#N/A,INDIRECT(ADDRESS($B176+1,AE$164,1,1,"Confirmed Trend")))</f>
        <v>#N/A</v>
      </c>
      <c r="AF176" s="18" t="e" cm="1">
        <f t="array" aca="1" ref="AF176" ca="1">IF(INDIRECT(ADDRESS($B176+1,AF$164,1,1,"Confirmed Trend"))=0,#N/A,INDIRECT(ADDRESS($B176+1,AF$164,1,1,"Confirmed Trend")))</f>
        <v>#N/A</v>
      </c>
      <c r="AG176" s="18" t="e" cm="1">
        <f t="array" aca="1" ref="AG176" ca="1">IF(INDIRECT(ADDRESS($B176+1,AG$164,1,1,"Confirmed Trend"))=0,#N/A,INDIRECT(ADDRESS($B176+1,AG$164,1,1,"Confirmed Trend")))</f>
        <v>#N/A</v>
      </c>
      <c r="AH176" s="18" t="e" cm="1">
        <f t="array" aca="1" ref="AH176" ca="1">IF(INDIRECT(ADDRESS($B176+1,AH$164,1,1,"Confirmed Trend"))=0,#N/A,INDIRECT(ADDRESS($B176+1,AH$164,1,1,"Confirmed Trend")))</f>
        <v>#N/A</v>
      </c>
      <c r="AI176" s="18" t="e" cm="1">
        <f t="array" aca="1" ref="AI176" ca="1">IF(INDIRECT(ADDRESS($B176+1,AI$164,1,1,"Confirmed Trend"))=0,#N/A,INDIRECT(ADDRESS($B176+1,AI$164,1,1,"Confirmed Trend")))</f>
        <v>#N/A</v>
      </c>
      <c r="AJ176" s="18" t="e" cm="1">
        <f t="array" aca="1" ref="AJ176" ca="1">IF(INDIRECT(ADDRESS($B176+1,AJ$164,1,1,"Confirmed Trend"))=0,#N/A,INDIRECT(ADDRESS($B176+1,AJ$164,1,1,"Confirmed Trend")))</f>
        <v>#N/A</v>
      </c>
      <c r="AK176" s="18" t="e" cm="1">
        <f t="array" aca="1" ref="AK176" ca="1">IF(INDIRECT(ADDRESS($B176+1,AK$164,1,1,"Confirmed Trend"))=0,#N/A,INDIRECT(ADDRESS($B176+1,AK$164,1,1,"Confirmed Trend")))</f>
        <v>#N/A</v>
      </c>
      <c r="AL176" s="18" t="e" cm="1">
        <f t="array" aca="1" ref="AL176" ca="1">IF(INDIRECT(ADDRESS($B176+1,AL$164,1,1,"Confirmed Trend"))=0,#N/A,INDIRECT(ADDRESS($B176+1,AL$164,1,1,"Confirmed Trend")))</f>
        <v>#N/A</v>
      </c>
      <c r="AM176" s="18" t="e" cm="1">
        <f t="array" aca="1" ref="AM176" ca="1">IF(INDIRECT(ADDRESS($B176+1,AM$164,1,1,"Confirmed Trend"))=0,#N/A,INDIRECT(ADDRESS($B176+1,AM$164,1,1,"Confirmed Trend")))</f>
        <v>#N/A</v>
      </c>
      <c r="AN176" s="18" t="e" cm="1">
        <f t="array" aca="1" ref="AN176" ca="1">IF(INDIRECT(ADDRESS($B176+1,AN$164,1,1,"Confirmed Trend"))=0,#N/A,INDIRECT(ADDRESS($B176+1,AN$164,1,1,"Confirmed Trend")))</f>
        <v>#N/A</v>
      </c>
      <c r="AO176" s="18" t="e" cm="1">
        <f t="array" aca="1" ref="AO176" ca="1">IF(INDIRECT(ADDRESS($B176+1,AO$164,1,1,"Confirmed Trend"))=0,#N/A,INDIRECT(ADDRESS($B176+1,AO$164,1,1,"Confirmed Trend")))</f>
        <v>#N/A</v>
      </c>
      <c r="AP176" s="18" t="e" cm="1">
        <f t="array" aca="1" ref="AP176" ca="1">IF(INDIRECT(ADDRESS($B176+1,AP$164,1,1,"Confirmed Trend"))=0,#N/A,INDIRECT(ADDRESS($B176+1,AP$164,1,1,"Confirmed Trend")))</f>
        <v>#N/A</v>
      </c>
      <c r="AQ176" s="18" t="e" cm="1">
        <f t="array" aca="1" ref="AQ176" ca="1">IF(INDIRECT(ADDRESS($B176+1,AQ$164,1,1,"Confirmed Trend"))=0,#N/A,INDIRECT(ADDRESS($B176+1,AQ$164,1,1,"Confirmed Trend")))</f>
        <v>#N/A</v>
      </c>
      <c r="AR176" s="18" t="e" cm="1">
        <f t="array" aca="1" ref="AR176" ca="1">IF(INDIRECT(ADDRESS($B176+1,AR$164,1,1,"Confirmed Trend"))=0,#N/A,INDIRECT(ADDRESS($B176+1,AR$164,1,1,"Confirmed Trend")))</f>
        <v>#N/A</v>
      </c>
      <c r="AS176" s="18" t="e" cm="1">
        <f t="array" aca="1" ref="AS176" ca="1">IF(INDIRECT(ADDRESS($B176+1,AS$164,1,1,"Confirmed Trend"))=0,#N/A,INDIRECT(ADDRESS($B176+1,AS$164,1,1,"Confirmed Trend")))</f>
        <v>#N/A</v>
      </c>
      <c r="AT176" s="18" cm="1">
        <f t="array" aca="1" ref="AT176" ca="1">IF(INDIRECT(ADDRESS($B176+1,AT$164,1,1,"Confirmed Trend"))=0,#N/A,INDIRECT(ADDRESS($B176+1,AT$164,1,1,"Confirmed Trend")))</f>
        <v>0.57477596929999997</v>
      </c>
      <c r="AU176" s="18" cm="1">
        <f t="array" aca="1" ref="AU176" ca="1">IF(INDIRECT(ADDRESS($B176+1,AU$164,1,1,"Confirmed Trend"))=0,#N/A,INDIRECT(ADDRESS($B176+1,AU$164,1,1,"Confirmed Trend")))</f>
        <v>0.5321632208</v>
      </c>
      <c r="AV176" s="18" cm="1">
        <f t="array" aca="1" ref="AV176" ca="1">IF(INDIRECT(ADDRESS($B176+1,AV$164,1,1,"Confirmed Trend"))=0,#N/A,INDIRECT(ADDRESS($B176+1,AV$164,1,1,"Confirmed Trend")))</f>
        <v>0.41531027790000002</v>
      </c>
      <c r="AW176" s="18" cm="1">
        <f t="array" aca="1" ref="AW176" ca="1">IF(INDIRECT(ADDRESS($B176+1,AW$164,1,1,"Confirmed Trend"))=0,#N/A,INDIRECT(ADDRESS($B176+1,AW$164,1,1,"Confirmed Trend")))</f>
        <v>0.37149472109999998</v>
      </c>
      <c r="AX176" s="18" cm="1">
        <f t="array" aca="1" ref="AX176" ca="1">IF(INDIRECT(ADDRESS($B176+1,AX$164,1,1,"Confirmed Trend"))=0,#N/A,INDIRECT(ADDRESS($B176+1,AX$164,1,1,"Confirmed Trend")))</f>
        <v>0.33126424360000001</v>
      </c>
      <c r="AY176" s="18" cm="1">
        <f t="array" aca="1" ref="AY176" ca="1">IF(INDIRECT(ADDRESS($B176+1,AY$164,1,1,"Confirmed Trend"))=0,#N/A,INDIRECT(ADDRESS($B176+1,AY$164,1,1,"Confirmed Trend")))</f>
        <v>0.3271811074</v>
      </c>
      <c r="AZ176" s="18" cm="1">
        <f t="array" aca="1" ref="AZ176" ca="1">IF(INDIRECT(ADDRESS($B176+1,AZ$164,1,1,"Confirmed Trend"))=0,#N/A,INDIRECT(ADDRESS($B176+1,AZ$164,1,1,"Confirmed Trend")))</f>
        <v>0.36550818750000003</v>
      </c>
      <c r="BA176" s="18" cm="1">
        <f t="array" aca="1" ref="BA176" ca="1">IF(INDIRECT(ADDRESS($B176+1,BA$164,1,1,"Confirmed Trend"))=0,#N/A,INDIRECT(ADDRESS($B176+1,BA$164,1,1,"Confirmed Trend")))</f>
        <v>0.40581182170000002</v>
      </c>
      <c r="BB176" s="18" cm="1">
        <f t="array" aca="1" ref="BB176" ca="1">IF(INDIRECT(ADDRESS($B176+1,BB$164,1,1,"Confirmed Trend"))=0,#N/A,INDIRECT(ADDRESS($B176+1,BB$164,1,1,"Confirmed Trend")))</f>
        <v>0.44442312779999998</v>
      </c>
      <c r="BC176" s="18" cm="1">
        <f t="array" aca="1" ref="BC176" ca="1">IF(INDIRECT(ADDRESS($B176+1,BC$164,1,1,"Confirmed Trend"))=0,#N/A,INDIRECT(ADDRESS($B176+1,BC$164,1,1,"Confirmed Trend")))</f>
        <v>0.41179113499999997</v>
      </c>
      <c r="BD176" s="18" cm="1">
        <f t="array" aca="1" ref="BD176" ca="1">IF(INDIRECT(ADDRESS($B176+1,BD$164,1,1,"Confirmed Trend"))=0,#N/A,INDIRECT(ADDRESS($B176+1,BD$164,1,1,"Confirmed Trend")))</f>
        <v>0.44477049810000002</v>
      </c>
      <c r="BE176" s="18" cm="1">
        <f t="array" aca="1" ref="BE176" ca="1">IF(INDIRECT(ADDRESS($B176+1,BE$164,1,1,"Confirmed Trend"))=0,#N/A,INDIRECT(ADDRESS($B176+1,BE$164,1,1,"Confirmed Trend")))</f>
        <v>0.4176940998</v>
      </c>
      <c r="BF176" s="18" cm="1">
        <f t="array" aca="1" ref="BF176" ca="1">IF(INDIRECT(ADDRESS($B176+1,BF$164,1,1,"Confirmed Trend"))=0,#N/A,INDIRECT(ADDRESS($B176+1,BF$164,1,1,"Confirmed Trend")))</f>
        <v>0.40072411130000002</v>
      </c>
      <c r="BG176" s="18" cm="1">
        <f t="array" aca="1" ref="BG176" ca="1">IF(INDIRECT(ADDRESS($B176+1,BG$164,1,1,"Confirmed Trend"))=0,#N/A,INDIRECT(ADDRESS($B176+1,BG$164,1,1,"Confirmed Trend")))</f>
        <v>0.40181660079999998</v>
      </c>
      <c r="BH176" s="18" cm="1">
        <f t="array" aca="1" ref="BH176" ca="1">IF(INDIRECT(ADDRESS($B176+1,BH$164,1,1,"Confirmed Trend"))=0,#N/A,INDIRECT(ADDRESS($B176+1,BH$164,1,1,"Confirmed Trend")))</f>
        <v>0.31752852500000001</v>
      </c>
      <c r="BI176" s="18" cm="1">
        <f t="array" aca="1" ref="BI176" ca="1">IF(INDIRECT(ADDRESS($B176+1,BI$164,1,1,"Confirmed Trend"))=0,#N/A,INDIRECT(ADDRESS($B176+1,BI$164,1,1,"Confirmed Trend")))</f>
        <v>0.26505322879999998</v>
      </c>
      <c r="BJ176" s="18" cm="1">
        <f t="array" aca="1" ref="BJ176" ca="1">IF(INDIRECT(ADDRESS($B176+1,BJ$164,1,1,"Confirmed Trend"))=0,#N/A,INDIRECT(ADDRESS($B176+1,BJ$164,1,1,"Confirmed Trend")))</f>
        <v>0.22421023840000001</v>
      </c>
      <c r="BK176" s="18" cm="1">
        <f t="array" aca="1" ref="BK176" ca="1">IF(INDIRECT(ADDRESS($B176+1,BK$164,1,1,"Confirmed Trend"))=0,#N/A,INDIRECT(ADDRESS($B176+1,BK$164,1,1,"Confirmed Trend")))</f>
        <v>0.21323881149999999</v>
      </c>
      <c r="BL176" s="18" cm="1">
        <f t="array" aca="1" ref="BL176" ca="1">IF(INDIRECT(ADDRESS($B176+1,BL$164,1,1,"Confirmed Trend"))=0,#N/A,INDIRECT(ADDRESS($B176+1,BL$164,1,1,"Confirmed Trend")))</f>
        <v>0.21256103509999999</v>
      </c>
      <c r="BM176" s="18" cm="1">
        <f t="array" aca="1" ref="BM176" ca="1">IF(INDIRECT(ADDRESS($B176+1,BM$164,1,1,"Confirmed Trend"))=0,#N/A,INDIRECT(ADDRESS($B176+1,BM$164,1,1,"Confirmed Trend")))</f>
        <v>0.20296315349999999</v>
      </c>
      <c r="BN176" s="18" cm="1">
        <f t="array" aca="1" ref="BN176" ca="1">IF(INDIRECT(ADDRESS($B176+1,BN$164,1,1,"Confirmed Trend"))=0,#N/A,INDIRECT(ADDRESS($B176+1,BN$164,1,1,"Confirmed Trend")))</f>
        <v>0.19608545399999999</v>
      </c>
      <c r="BO176" s="18" cm="1">
        <f t="array" aca="1" ref="BO176" ca="1">IF(INDIRECT(ADDRESS($B176+1,BO$164,1,1,"Confirmed Trend"))=0,#N/A,INDIRECT(ADDRESS($B176+1,BO$164,1,1,"Confirmed Trend")))</f>
        <v>0.18699176789999999</v>
      </c>
      <c r="BP176" s="18" cm="1">
        <f t="array" aca="1" ref="BP176" ca="1">IF(INDIRECT(ADDRESS($B176+1,BP$164,1,1,"Confirmed Trend"))=0,#N/A,INDIRECT(ADDRESS($B176+1,BP$164,1,1,"Confirmed Trend")))</f>
        <v>0.18224855070000001</v>
      </c>
      <c r="BQ176" s="18" cm="1">
        <f t="array" aca="1" ref="BQ176" ca="1">IF(INDIRECT(ADDRESS($B176+1,BQ$164,1,1,"Confirmed Trend"))=0,#N/A,INDIRECT(ADDRESS($B176+1,BQ$164,1,1,"Confirmed Trend")))</f>
        <v>0.18536418460000001</v>
      </c>
      <c r="BR176" s="18" cm="1">
        <f t="array" aca="1" ref="BR176" ca="1">IF(INDIRECT(ADDRESS($B176+1,BR$164,1,1,"Confirmed Trend"))=0,#N/A,INDIRECT(ADDRESS($B176+1,BR$164,1,1,"Confirmed Trend")))</f>
        <v>0.17988033749999999</v>
      </c>
      <c r="BS176" s="18" cm="1">
        <f t="array" aca="1" ref="BS176" ca="1">IF(INDIRECT(ADDRESS($B176+1,BS$164,1,1,"Confirmed Trend"))=0,#N/A,INDIRECT(ADDRESS($B176+1,BS$164,1,1,"Confirmed Trend")))</f>
        <v>0.1733709581</v>
      </c>
      <c r="BT176" s="18" cm="1">
        <f t="array" aca="1" ref="BT176" ca="1">IF(INDIRECT(ADDRESS($B176+1,BT$164,1,1,"Confirmed Trend"))=0,#N/A,INDIRECT(ADDRESS($B176+1,BT$164,1,1,"Confirmed Trend")))</f>
        <v>0.1516460577</v>
      </c>
      <c r="BU176" s="18" cm="1">
        <f t="array" aca="1" ref="BU176" ca="1">IF(INDIRECT(ADDRESS($B176+1,BU$164,1,1,"Confirmed Trend"))=0,#N/A,INDIRECT(ADDRESS($B176+1,BU$164,1,1,"Confirmed Trend")))</f>
        <v>0.13154845170000001</v>
      </c>
      <c r="BV176" s="18" cm="1">
        <f t="array" aca="1" ref="BV176" ca="1">IF(INDIRECT(ADDRESS($B176+1,BV$164,1,1,"Confirmed Trend"))=0,#N/A,INDIRECT(ADDRESS($B176+1,BV$164,1,1,"Confirmed Trend")))</f>
        <v>9.7940332000000005E-2</v>
      </c>
    </row>
    <row r="177" spans="2:74" x14ac:dyDescent="0.25">
      <c r="B177">
        <f t="shared" si="132"/>
        <v>12</v>
      </c>
      <c r="C177" t="str" cm="1">
        <f t="array" aca="1" ref="C177" ca="1">INDIRECT(ADDRESS($B177+1,1,1,1,"Confirmed Trend"))</f>
        <v>Sweden</v>
      </c>
      <c r="E177" s="18" t="e" cm="1">
        <f t="array" aca="1" ref="E177" ca="1">IF(INDIRECT(ADDRESS($B177+1,E$164,1,1,"Confirmed Trend"))=0,#N/A,INDIRECT(ADDRESS($B177+1,E$164,1,1,"Confirmed Trend")))</f>
        <v>#N/A</v>
      </c>
      <c r="F177" s="18" t="e" cm="1">
        <f t="array" aca="1" ref="F177" ca="1">IF(INDIRECT(ADDRESS($B177+1,F$164,1,1,"Confirmed Trend"))=0,#N/A,INDIRECT(ADDRESS($B177+1,F$164,1,1,"Confirmed Trend")))</f>
        <v>#N/A</v>
      </c>
      <c r="G177" s="18" t="e" cm="1">
        <f t="array" aca="1" ref="G177" ca="1">IF(INDIRECT(ADDRESS($B177+1,G$164,1,1,"Confirmed Trend"))=0,#N/A,INDIRECT(ADDRESS($B177+1,G$164,1,1,"Confirmed Trend")))</f>
        <v>#N/A</v>
      </c>
      <c r="H177" s="18" t="e" cm="1">
        <f t="array" aca="1" ref="H177" ca="1">IF(INDIRECT(ADDRESS($B177+1,H$164,1,1,"Confirmed Trend"))=0,#N/A,INDIRECT(ADDRESS($B177+1,H$164,1,1,"Confirmed Trend")))</f>
        <v>#N/A</v>
      </c>
      <c r="I177" s="18" t="e" cm="1">
        <f t="array" aca="1" ref="I177" ca="1">IF(INDIRECT(ADDRESS($B177+1,I$164,1,1,"Confirmed Trend"))=0,#N/A,INDIRECT(ADDRESS($B177+1,I$164,1,1,"Confirmed Trend")))</f>
        <v>#N/A</v>
      </c>
      <c r="J177" s="18" t="e" cm="1">
        <f t="array" aca="1" ref="J177" ca="1">IF(INDIRECT(ADDRESS($B177+1,J$164,1,1,"Confirmed Trend"))=0,#N/A,INDIRECT(ADDRESS($B177+1,J$164,1,1,"Confirmed Trend")))</f>
        <v>#N/A</v>
      </c>
      <c r="K177" s="18" t="e" cm="1">
        <f t="array" aca="1" ref="K177" ca="1">IF(INDIRECT(ADDRESS($B177+1,K$164,1,1,"Confirmed Trend"))=0,#N/A,INDIRECT(ADDRESS($B177+1,K$164,1,1,"Confirmed Trend")))</f>
        <v>#N/A</v>
      </c>
      <c r="L177" s="18" t="e" cm="1">
        <f t="array" aca="1" ref="L177" ca="1">IF(INDIRECT(ADDRESS($B177+1,L$164,1,1,"Confirmed Trend"))=0,#N/A,INDIRECT(ADDRESS($B177+1,L$164,1,1,"Confirmed Trend")))</f>
        <v>#N/A</v>
      </c>
      <c r="M177" s="18" t="e" cm="1">
        <f t="array" aca="1" ref="M177" ca="1">IF(INDIRECT(ADDRESS($B177+1,M$164,1,1,"Confirmed Trend"))=0,#N/A,INDIRECT(ADDRESS($B177+1,M$164,1,1,"Confirmed Trend")))</f>
        <v>#N/A</v>
      </c>
      <c r="N177" s="18" t="e" cm="1">
        <f t="array" aca="1" ref="N177" ca="1">IF(INDIRECT(ADDRESS($B177+1,N$164,1,1,"Confirmed Trend"))=0,#N/A,INDIRECT(ADDRESS($B177+1,N$164,1,1,"Confirmed Trend")))</f>
        <v>#N/A</v>
      </c>
      <c r="O177" s="18" t="e" cm="1">
        <f t="array" aca="1" ref="O177" ca="1">IF(INDIRECT(ADDRESS($B177+1,O$164,1,1,"Confirmed Trend"))=0,#N/A,INDIRECT(ADDRESS($B177+1,O$164,1,1,"Confirmed Trend")))</f>
        <v>#N/A</v>
      </c>
      <c r="P177" s="18" t="e" cm="1">
        <f t="array" aca="1" ref="P177" ca="1">IF(INDIRECT(ADDRESS($B177+1,P$164,1,1,"Confirmed Trend"))=0,#N/A,INDIRECT(ADDRESS($B177+1,P$164,1,1,"Confirmed Trend")))</f>
        <v>#N/A</v>
      </c>
      <c r="Q177" s="18" t="e" cm="1">
        <f t="array" aca="1" ref="Q177" ca="1">IF(INDIRECT(ADDRESS($B177+1,Q$164,1,1,"Confirmed Trend"))=0,#N/A,INDIRECT(ADDRESS($B177+1,Q$164,1,1,"Confirmed Trend")))</f>
        <v>#N/A</v>
      </c>
      <c r="R177" s="18" t="e" cm="1">
        <f t="array" aca="1" ref="R177" ca="1">IF(INDIRECT(ADDRESS($B177+1,R$164,1,1,"Confirmed Trend"))=0,#N/A,INDIRECT(ADDRESS($B177+1,R$164,1,1,"Confirmed Trend")))</f>
        <v>#N/A</v>
      </c>
      <c r="S177" s="18" t="e" cm="1">
        <f t="array" aca="1" ref="S177" ca="1">IF(INDIRECT(ADDRESS($B177+1,S$164,1,1,"Confirmed Trend"))=0,#N/A,INDIRECT(ADDRESS($B177+1,S$164,1,1,"Confirmed Trend")))</f>
        <v>#N/A</v>
      </c>
      <c r="T177" s="18" t="e" cm="1">
        <f t="array" aca="1" ref="T177" ca="1">IF(INDIRECT(ADDRESS($B177+1,T$164,1,1,"Confirmed Trend"))=0,#N/A,INDIRECT(ADDRESS($B177+1,T$164,1,1,"Confirmed Trend")))</f>
        <v>#N/A</v>
      </c>
      <c r="U177" s="18" t="e" cm="1">
        <f t="array" aca="1" ref="U177" ca="1">IF(INDIRECT(ADDRESS($B177+1,U$164,1,1,"Confirmed Trend"))=0,#N/A,INDIRECT(ADDRESS($B177+1,U$164,1,1,"Confirmed Trend")))</f>
        <v>#N/A</v>
      </c>
      <c r="V177" s="18" t="e" cm="1">
        <f t="array" aca="1" ref="V177" ca="1">IF(INDIRECT(ADDRESS($B177+1,V$164,1,1,"Confirmed Trend"))=0,#N/A,INDIRECT(ADDRESS($B177+1,V$164,1,1,"Confirmed Trend")))</f>
        <v>#N/A</v>
      </c>
      <c r="W177" s="18" t="e" cm="1">
        <f t="array" aca="1" ref="W177" ca="1">IF(INDIRECT(ADDRESS($B177+1,W$164,1,1,"Confirmed Trend"))=0,#N/A,INDIRECT(ADDRESS($B177+1,W$164,1,1,"Confirmed Trend")))</f>
        <v>#N/A</v>
      </c>
      <c r="X177" s="18" t="e" cm="1">
        <f t="array" aca="1" ref="X177" ca="1">IF(INDIRECT(ADDRESS($B177+1,X$164,1,1,"Confirmed Trend"))=0,#N/A,INDIRECT(ADDRESS($B177+1,X$164,1,1,"Confirmed Trend")))</f>
        <v>#N/A</v>
      </c>
      <c r="Y177" s="18" t="e" cm="1">
        <f t="array" aca="1" ref="Y177" ca="1">IF(INDIRECT(ADDRESS($B177+1,Y$164,1,1,"Confirmed Trend"))=0,#N/A,INDIRECT(ADDRESS($B177+1,Y$164,1,1,"Confirmed Trend")))</f>
        <v>#N/A</v>
      </c>
      <c r="Z177" s="18" t="e" cm="1">
        <f t="array" aca="1" ref="Z177" ca="1">IF(INDIRECT(ADDRESS($B177+1,Z$164,1,1,"Confirmed Trend"))=0,#N/A,INDIRECT(ADDRESS($B177+1,Z$164,1,1,"Confirmed Trend")))</f>
        <v>#N/A</v>
      </c>
      <c r="AA177" s="18" t="e" cm="1">
        <f t="array" aca="1" ref="AA177" ca="1">IF(INDIRECT(ADDRESS($B177+1,AA$164,1,1,"Confirmed Trend"))=0,#N/A,INDIRECT(ADDRESS($B177+1,AA$164,1,1,"Confirmed Trend")))</f>
        <v>#N/A</v>
      </c>
      <c r="AB177" s="18" t="e" cm="1">
        <f t="array" aca="1" ref="AB177" ca="1">IF(INDIRECT(ADDRESS($B177+1,AB$164,1,1,"Confirmed Trend"))=0,#N/A,INDIRECT(ADDRESS($B177+1,AB$164,1,1,"Confirmed Trend")))</f>
        <v>#N/A</v>
      </c>
      <c r="AC177" s="18" t="e" cm="1">
        <f t="array" aca="1" ref="AC177" ca="1">IF(INDIRECT(ADDRESS($B177+1,AC$164,1,1,"Confirmed Trend"))=0,#N/A,INDIRECT(ADDRESS($B177+1,AC$164,1,1,"Confirmed Trend")))</f>
        <v>#N/A</v>
      </c>
      <c r="AD177" s="18" t="e" cm="1">
        <f t="array" aca="1" ref="AD177" ca="1">IF(INDIRECT(ADDRESS($B177+1,AD$164,1,1,"Confirmed Trend"))=0,#N/A,INDIRECT(ADDRESS($B177+1,AD$164,1,1,"Confirmed Trend")))</f>
        <v>#N/A</v>
      </c>
      <c r="AE177" s="18" t="e" cm="1">
        <f t="array" aca="1" ref="AE177" ca="1">IF(INDIRECT(ADDRESS($B177+1,AE$164,1,1,"Confirmed Trend"))=0,#N/A,INDIRECT(ADDRESS($B177+1,AE$164,1,1,"Confirmed Trend")))</f>
        <v>#N/A</v>
      </c>
      <c r="AF177" s="18" t="e" cm="1">
        <f t="array" aca="1" ref="AF177" ca="1">IF(INDIRECT(ADDRESS($B177+1,AF$164,1,1,"Confirmed Trend"))=0,#N/A,INDIRECT(ADDRESS($B177+1,AF$164,1,1,"Confirmed Trend")))</f>
        <v>#N/A</v>
      </c>
      <c r="AG177" s="18" t="e" cm="1">
        <f t="array" aca="1" ref="AG177" ca="1">IF(INDIRECT(ADDRESS($B177+1,AG$164,1,1,"Confirmed Trend"))=0,#N/A,INDIRECT(ADDRESS($B177+1,AG$164,1,1,"Confirmed Trend")))</f>
        <v>#N/A</v>
      </c>
      <c r="AH177" s="18" t="e" cm="1">
        <f t="array" aca="1" ref="AH177" ca="1">IF(INDIRECT(ADDRESS($B177+1,AH$164,1,1,"Confirmed Trend"))=0,#N/A,INDIRECT(ADDRESS($B177+1,AH$164,1,1,"Confirmed Trend")))</f>
        <v>#N/A</v>
      </c>
      <c r="AI177" s="18" t="e" cm="1">
        <f t="array" aca="1" ref="AI177" ca="1">IF(INDIRECT(ADDRESS($B177+1,AI$164,1,1,"Confirmed Trend"))=0,#N/A,INDIRECT(ADDRESS($B177+1,AI$164,1,1,"Confirmed Trend")))</f>
        <v>#N/A</v>
      </c>
      <c r="AJ177" s="18" t="e" cm="1">
        <f t="array" aca="1" ref="AJ177" ca="1">IF(INDIRECT(ADDRESS($B177+1,AJ$164,1,1,"Confirmed Trend"))=0,#N/A,INDIRECT(ADDRESS($B177+1,AJ$164,1,1,"Confirmed Trend")))</f>
        <v>#N/A</v>
      </c>
      <c r="AK177" s="18" t="e" cm="1">
        <f t="array" aca="1" ref="AK177" ca="1">IF(INDIRECT(ADDRESS($B177+1,AK$164,1,1,"Confirmed Trend"))=0,#N/A,INDIRECT(ADDRESS($B177+1,AK$164,1,1,"Confirmed Trend")))</f>
        <v>#N/A</v>
      </c>
      <c r="AL177" s="18" t="e" cm="1">
        <f t="array" aca="1" ref="AL177" ca="1">IF(INDIRECT(ADDRESS($B177+1,AL$164,1,1,"Confirmed Trend"))=0,#N/A,INDIRECT(ADDRESS($B177+1,AL$164,1,1,"Confirmed Trend")))</f>
        <v>#N/A</v>
      </c>
      <c r="AM177" s="18" t="e" cm="1">
        <f t="array" aca="1" ref="AM177" ca="1">IF(INDIRECT(ADDRESS($B177+1,AM$164,1,1,"Confirmed Trend"))=0,#N/A,INDIRECT(ADDRESS($B177+1,AM$164,1,1,"Confirmed Trend")))</f>
        <v>#N/A</v>
      </c>
      <c r="AN177" s="18" t="e" cm="1">
        <f t="array" aca="1" ref="AN177" ca="1">IF(INDIRECT(ADDRESS($B177+1,AN$164,1,1,"Confirmed Trend"))=0,#N/A,INDIRECT(ADDRESS($B177+1,AN$164,1,1,"Confirmed Trend")))</f>
        <v>#N/A</v>
      </c>
      <c r="AO177" s="18" t="e" cm="1">
        <f t="array" aca="1" ref="AO177" ca="1">IF(INDIRECT(ADDRESS($B177+1,AO$164,1,1,"Confirmed Trend"))=0,#N/A,INDIRECT(ADDRESS($B177+1,AO$164,1,1,"Confirmed Trend")))</f>
        <v>#N/A</v>
      </c>
      <c r="AP177" s="18" t="e" cm="1">
        <f t="array" aca="1" ref="AP177" ca="1">IF(INDIRECT(ADDRESS($B177+1,AP$164,1,1,"Confirmed Trend"))=0,#N/A,INDIRECT(ADDRESS($B177+1,AP$164,1,1,"Confirmed Trend")))</f>
        <v>#N/A</v>
      </c>
      <c r="AQ177" s="18" t="e" cm="1">
        <f t="array" aca="1" ref="AQ177" ca="1">IF(INDIRECT(ADDRESS($B177+1,AQ$164,1,1,"Confirmed Trend"))=0,#N/A,INDIRECT(ADDRESS($B177+1,AQ$164,1,1,"Confirmed Trend")))</f>
        <v>#N/A</v>
      </c>
      <c r="AR177" s="18" t="e" cm="1">
        <f t="array" aca="1" ref="AR177" ca="1">IF(INDIRECT(ADDRESS($B177+1,AR$164,1,1,"Confirmed Trend"))=0,#N/A,INDIRECT(ADDRESS($B177+1,AR$164,1,1,"Confirmed Trend")))</f>
        <v>#N/A</v>
      </c>
      <c r="AS177" s="18" t="e" cm="1">
        <f t="array" aca="1" ref="AS177" ca="1">IF(INDIRECT(ADDRESS($B177+1,AS$164,1,1,"Confirmed Trend"))=0,#N/A,INDIRECT(ADDRESS($B177+1,AS$164,1,1,"Confirmed Trend")))</f>
        <v>#N/A</v>
      </c>
      <c r="AT177" s="18" t="e" cm="1">
        <f t="array" aca="1" ref="AT177" ca="1">IF(INDIRECT(ADDRESS($B177+1,AT$164,1,1,"Confirmed Trend"))=0,#N/A,INDIRECT(ADDRESS($B177+1,AT$164,1,1,"Confirmed Trend")))</f>
        <v>#N/A</v>
      </c>
      <c r="AU177" s="18" t="e" cm="1">
        <f t="array" aca="1" ref="AU177" ca="1">IF(INDIRECT(ADDRESS($B177+1,AU$164,1,1,"Confirmed Trend"))=0,#N/A,INDIRECT(ADDRESS($B177+1,AU$164,1,1,"Confirmed Trend")))</f>
        <v>#N/A</v>
      </c>
      <c r="AV177" s="18" t="e" cm="1">
        <f t="array" aca="1" ref="AV177" ca="1">IF(INDIRECT(ADDRESS($B177+1,AV$164,1,1,"Confirmed Trend"))=0,#N/A,INDIRECT(ADDRESS($B177+1,AV$164,1,1,"Confirmed Trend")))</f>
        <v>#N/A</v>
      </c>
      <c r="AW177" s="18" cm="1">
        <f t="array" aca="1" ref="AW177" ca="1">IF(INDIRECT(ADDRESS($B177+1,AW$164,1,1,"Confirmed Trend"))=0,#N/A,INDIRECT(ADDRESS($B177+1,AW$164,1,1,"Confirmed Trend")))</f>
        <v>0.53899069779999997</v>
      </c>
      <c r="AX177" s="18" cm="1">
        <f t="array" aca="1" ref="AX177" ca="1">IF(INDIRECT(ADDRESS($B177+1,AX$164,1,1,"Confirmed Trend"))=0,#N/A,INDIRECT(ADDRESS($B177+1,AX$164,1,1,"Confirmed Trend")))</f>
        <v>0.63350323320000002</v>
      </c>
      <c r="AY177" s="18" cm="1">
        <f t="array" aca="1" ref="AY177" ca="1">IF(INDIRECT(ADDRESS($B177+1,AY$164,1,1,"Confirmed Trend"))=0,#N/A,INDIRECT(ADDRESS($B177+1,AY$164,1,1,"Confirmed Trend")))</f>
        <v>0.59973722620000003</v>
      </c>
      <c r="AZ177" s="18" cm="1">
        <f t="array" aca="1" ref="AZ177" ca="1">IF(INDIRECT(ADDRESS($B177+1,AZ$164,1,1,"Confirmed Trend"))=0,#N/A,INDIRECT(ADDRESS($B177+1,AZ$164,1,1,"Confirmed Trend")))</f>
        <v>0.42123220750000001</v>
      </c>
      <c r="BA177" s="18" cm="1">
        <f t="array" aca="1" ref="BA177" ca="1">IF(INDIRECT(ADDRESS($B177+1,BA$164,1,1,"Confirmed Trend"))=0,#N/A,INDIRECT(ADDRESS($B177+1,BA$164,1,1,"Confirmed Trend")))</f>
        <v>0.36820697930000001</v>
      </c>
      <c r="BB177" s="18" cm="1">
        <f t="array" aca="1" ref="BB177" ca="1">IF(INDIRECT(ADDRESS($B177+1,BB$164,1,1,"Confirmed Trend"))=0,#N/A,INDIRECT(ADDRESS($B177+1,BB$164,1,1,"Confirmed Trend")))</f>
        <v>0.32672642299999999</v>
      </c>
      <c r="BC177" s="18" cm="1">
        <f t="array" aca="1" ref="BC177" ca="1">IF(INDIRECT(ADDRESS($B177+1,BC$164,1,1,"Confirmed Trend"))=0,#N/A,INDIRECT(ADDRESS($B177+1,BC$164,1,1,"Confirmed Trend")))</f>
        <v>0.32977408000000002</v>
      </c>
      <c r="BD177" s="18" cm="1">
        <f t="array" aca="1" ref="BD177" ca="1">IF(INDIRECT(ADDRESS($B177+1,BD$164,1,1,"Confirmed Trend"))=0,#N/A,INDIRECT(ADDRESS($B177+1,BD$164,1,1,"Confirmed Trend")))</f>
        <v>0.329660866</v>
      </c>
      <c r="BE177" s="18" cm="1">
        <f t="array" aca="1" ref="BE177" ca="1">IF(INDIRECT(ADDRESS($B177+1,BE$164,1,1,"Confirmed Trend"))=0,#N/A,INDIRECT(ADDRESS($B177+1,BE$164,1,1,"Confirmed Trend")))</f>
        <v>0.31004561619999998</v>
      </c>
      <c r="BF177" s="18" cm="1">
        <f t="array" aca="1" ref="BF177" ca="1">IF(INDIRECT(ADDRESS($B177+1,BF$164,1,1,"Confirmed Trend"))=0,#N/A,INDIRECT(ADDRESS($B177+1,BF$164,1,1,"Confirmed Trend")))</f>
        <v>0.26191248880000001</v>
      </c>
      <c r="BG177" s="18" cm="1">
        <f t="array" aca="1" ref="BG177" ca="1">IF(INDIRECT(ADDRESS($B177+1,BG$164,1,1,"Confirmed Trend"))=0,#N/A,INDIRECT(ADDRESS($B177+1,BG$164,1,1,"Confirmed Trend")))</f>
        <v>0.20700169169999999</v>
      </c>
      <c r="BH177" s="18" cm="1">
        <f t="array" aca="1" ref="BH177" ca="1">IF(INDIRECT(ADDRESS($B177+1,BH$164,1,1,"Confirmed Trend"))=0,#N/A,INDIRECT(ADDRESS($B177+1,BH$164,1,1,"Confirmed Trend")))</f>
        <v>0.14734001560000001</v>
      </c>
      <c r="BI177" s="18" cm="1">
        <f t="array" aca="1" ref="BI177" ca="1">IF(INDIRECT(ADDRESS($B177+1,BI$164,1,1,"Confirmed Trend"))=0,#N/A,INDIRECT(ADDRESS($B177+1,BI$164,1,1,"Confirmed Trend")))</f>
        <v>0.1075355721</v>
      </c>
      <c r="BJ177" s="18" cm="1">
        <f t="array" aca="1" ref="BJ177" ca="1">IF(INDIRECT(ADDRESS($B177+1,BJ$164,1,1,"Confirmed Trend"))=0,#N/A,INDIRECT(ADDRESS($B177+1,BJ$164,1,1,"Confirmed Trend")))</f>
        <v>8.7215216700000001E-2</v>
      </c>
      <c r="BK177" s="18" cm="1">
        <f t="array" aca="1" ref="BK177" ca="1">IF(INDIRECT(ADDRESS($B177+1,BK$164,1,1,"Confirmed Trend"))=0,#N/A,INDIRECT(ADDRESS($B177+1,BK$164,1,1,"Confirmed Trend")))</f>
        <v>9.0053740600000001E-2</v>
      </c>
      <c r="BL177" s="18" cm="1">
        <f t="array" aca="1" ref="BL177" ca="1">IF(INDIRECT(ADDRESS($B177+1,BL$164,1,1,"Confirmed Trend"))=0,#N/A,INDIRECT(ADDRESS($B177+1,BL$164,1,1,"Confirmed Trend")))</f>
        <v>9.9291544499999995E-2</v>
      </c>
      <c r="BM177" s="18" cm="1">
        <f t="array" aca="1" ref="BM177" ca="1">IF(INDIRECT(ADDRESS($B177+1,BM$164,1,1,"Confirmed Trend"))=0,#N/A,INDIRECT(ADDRESS($B177+1,BM$164,1,1,"Confirmed Trend")))</f>
        <v>0.1055441546</v>
      </c>
      <c r="BN177" s="18" cm="1">
        <f t="array" aca="1" ref="BN177" ca="1">IF(INDIRECT(ADDRESS($B177+1,BN$164,1,1,"Confirmed Trend"))=0,#N/A,INDIRECT(ADDRESS($B177+1,BN$164,1,1,"Confirmed Trend")))</f>
        <v>0.10102217350000001</v>
      </c>
      <c r="BO177" s="18" cm="1">
        <f t="array" aca="1" ref="BO177" ca="1">IF(INDIRECT(ADDRESS($B177+1,BO$164,1,1,"Confirmed Trend"))=0,#N/A,INDIRECT(ADDRESS($B177+1,BO$164,1,1,"Confirmed Trend")))</f>
        <v>9.50922555E-2</v>
      </c>
      <c r="BP177" s="18" cm="1">
        <f t="array" aca="1" ref="BP177" ca="1">IF(INDIRECT(ADDRESS($B177+1,BP$164,1,1,"Confirmed Trend"))=0,#N/A,INDIRECT(ADDRESS($B177+1,BP$164,1,1,"Confirmed Trend")))</f>
        <v>9.0977011699999999E-2</v>
      </c>
      <c r="BQ177" s="18" cm="1">
        <f t="array" aca="1" ref="BQ177" ca="1">IF(INDIRECT(ADDRESS($B177+1,BQ$164,1,1,"Confirmed Trend"))=0,#N/A,INDIRECT(ADDRESS($B177+1,BQ$164,1,1,"Confirmed Trend")))</f>
        <v>9.4308531500000001E-2</v>
      </c>
      <c r="BR177" s="18" cm="1">
        <f t="array" aca="1" ref="BR177" ca="1">IF(INDIRECT(ADDRESS($B177+1,BR$164,1,1,"Confirmed Trend"))=0,#N/A,INDIRECT(ADDRESS($B177+1,BR$164,1,1,"Confirmed Trend")))</f>
        <v>0.1008713455</v>
      </c>
      <c r="BS177" s="18" cm="1">
        <f t="array" aca="1" ref="BS177" ca="1">IF(INDIRECT(ADDRESS($B177+1,BS$164,1,1,"Confirmed Trend"))=0,#N/A,INDIRECT(ADDRESS($B177+1,BS$164,1,1,"Confirmed Trend")))</f>
        <v>0.10541398740000001</v>
      </c>
      <c r="BT177" s="18" cm="1">
        <f t="array" aca="1" ref="BT177" ca="1">IF(INDIRECT(ADDRESS($B177+1,BT$164,1,1,"Confirmed Trend"))=0,#N/A,INDIRECT(ADDRESS($B177+1,BT$164,1,1,"Confirmed Trend")))</f>
        <v>0.1047674012</v>
      </c>
      <c r="BU177" s="18" cm="1">
        <f t="array" aca="1" ref="BU177" ca="1">IF(INDIRECT(ADDRESS($B177+1,BU$164,1,1,"Confirmed Trend"))=0,#N/A,INDIRECT(ADDRESS($B177+1,BU$164,1,1,"Confirmed Trend")))</f>
        <v>9.9304846399999994E-2</v>
      </c>
      <c r="BV177" s="18" cm="1">
        <f t="array" aca="1" ref="BV177" ca="1">IF(INDIRECT(ADDRESS($B177+1,BV$164,1,1,"Confirmed Trend"))=0,#N/A,INDIRECT(ADDRESS($B177+1,BV$164,1,1,"Confirmed Trend")))</f>
        <v>8.8648648600000005E-2</v>
      </c>
    </row>
    <row r="178" spans="2:74" x14ac:dyDescent="0.25">
      <c r="B178">
        <f t="shared" si="132"/>
        <v>13</v>
      </c>
      <c r="C178" t="str" cm="1">
        <f t="array" aca="1" ref="C178" ca="1">INDIRECT(ADDRESS($B178+1,1,1,1,"Confirmed Trend"))</f>
        <v>Switzerland</v>
      </c>
      <c r="E178" s="18" t="e" cm="1">
        <f t="array" aca="1" ref="E178" ca="1">IF(INDIRECT(ADDRESS($B178+1,E$164,1,1,"Confirmed Trend"))=0,#N/A,INDIRECT(ADDRESS($B178+1,E$164,1,1,"Confirmed Trend")))</f>
        <v>#N/A</v>
      </c>
      <c r="F178" s="18" t="e" cm="1">
        <f t="array" aca="1" ref="F178" ca="1">IF(INDIRECT(ADDRESS($B178+1,F$164,1,1,"Confirmed Trend"))=0,#N/A,INDIRECT(ADDRESS($B178+1,F$164,1,1,"Confirmed Trend")))</f>
        <v>#N/A</v>
      </c>
      <c r="G178" s="18" t="e" cm="1">
        <f t="array" aca="1" ref="G178" ca="1">IF(INDIRECT(ADDRESS($B178+1,G$164,1,1,"Confirmed Trend"))=0,#N/A,INDIRECT(ADDRESS($B178+1,G$164,1,1,"Confirmed Trend")))</f>
        <v>#N/A</v>
      </c>
      <c r="H178" s="18" t="e" cm="1">
        <f t="array" aca="1" ref="H178" ca="1">IF(INDIRECT(ADDRESS($B178+1,H$164,1,1,"Confirmed Trend"))=0,#N/A,INDIRECT(ADDRESS($B178+1,H$164,1,1,"Confirmed Trend")))</f>
        <v>#N/A</v>
      </c>
      <c r="I178" s="18" t="e" cm="1">
        <f t="array" aca="1" ref="I178" ca="1">IF(INDIRECT(ADDRESS($B178+1,I$164,1,1,"Confirmed Trend"))=0,#N/A,INDIRECT(ADDRESS($B178+1,I$164,1,1,"Confirmed Trend")))</f>
        <v>#N/A</v>
      </c>
      <c r="J178" s="18" t="e" cm="1">
        <f t="array" aca="1" ref="J178" ca="1">IF(INDIRECT(ADDRESS($B178+1,J$164,1,1,"Confirmed Trend"))=0,#N/A,INDIRECT(ADDRESS($B178+1,J$164,1,1,"Confirmed Trend")))</f>
        <v>#N/A</v>
      </c>
      <c r="K178" s="18" t="e" cm="1">
        <f t="array" aca="1" ref="K178" ca="1">IF(INDIRECT(ADDRESS($B178+1,K$164,1,1,"Confirmed Trend"))=0,#N/A,INDIRECT(ADDRESS($B178+1,K$164,1,1,"Confirmed Trend")))</f>
        <v>#N/A</v>
      </c>
      <c r="L178" s="18" t="e" cm="1">
        <f t="array" aca="1" ref="L178" ca="1">IF(INDIRECT(ADDRESS($B178+1,L$164,1,1,"Confirmed Trend"))=0,#N/A,INDIRECT(ADDRESS($B178+1,L$164,1,1,"Confirmed Trend")))</f>
        <v>#N/A</v>
      </c>
      <c r="M178" s="18" t="e" cm="1">
        <f t="array" aca="1" ref="M178" ca="1">IF(INDIRECT(ADDRESS($B178+1,M$164,1,1,"Confirmed Trend"))=0,#N/A,INDIRECT(ADDRESS($B178+1,M$164,1,1,"Confirmed Trend")))</f>
        <v>#N/A</v>
      </c>
      <c r="N178" s="18" t="e" cm="1">
        <f t="array" aca="1" ref="N178" ca="1">IF(INDIRECT(ADDRESS($B178+1,N$164,1,1,"Confirmed Trend"))=0,#N/A,INDIRECT(ADDRESS($B178+1,N$164,1,1,"Confirmed Trend")))</f>
        <v>#N/A</v>
      </c>
      <c r="O178" s="18" t="e" cm="1">
        <f t="array" aca="1" ref="O178" ca="1">IF(INDIRECT(ADDRESS($B178+1,O$164,1,1,"Confirmed Trend"))=0,#N/A,INDIRECT(ADDRESS($B178+1,O$164,1,1,"Confirmed Trend")))</f>
        <v>#N/A</v>
      </c>
      <c r="P178" s="18" t="e" cm="1">
        <f t="array" aca="1" ref="P178" ca="1">IF(INDIRECT(ADDRESS($B178+1,P$164,1,1,"Confirmed Trend"))=0,#N/A,INDIRECT(ADDRESS($B178+1,P$164,1,1,"Confirmed Trend")))</f>
        <v>#N/A</v>
      </c>
      <c r="Q178" s="18" t="e" cm="1">
        <f t="array" aca="1" ref="Q178" ca="1">IF(INDIRECT(ADDRESS($B178+1,Q$164,1,1,"Confirmed Trend"))=0,#N/A,INDIRECT(ADDRESS($B178+1,Q$164,1,1,"Confirmed Trend")))</f>
        <v>#N/A</v>
      </c>
      <c r="R178" s="18" t="e" cm="1">
        <f t="array" aca="1" ref="R178" ca="1">IF(INDIRECT(ADDRESS($B178+1,R$164,1,1,"Confirmed Trend"))=0,#N/A,INDIRECT(ADDRESS($B178+1,R$164,1,1,"Confirmed Trend")))</f>
        <v>#N/A</v>
      </c>
      <c r="S178" s="18" t="e" cm="1">
        <f t="array" aca="1" ref="S178" ca="1">IF(INDIRECT(ADDRESS($B178+1,S$164,1,1,"Confirmed Trend"))=0,#N/A,INDIRECT(ADDRESS($B178+1,S$164,1,1,"Confirmed Trend")))</f>
        <v>#N/A</v>
      </c>
      <c r="T178" s="18" t="e" cm="1">
        <f t="array" aca="1" ref="T178" ca="1">IF(INDIRECT(ADDRESS($B178+1,T$164,1,1,"Confirmed Trend"))=0,#N/A,INDIRECT(ADDRESS($B178+1,T$164,1,1,"Confirmed Trend")))</f>
        <v>#N/A</v>
      </c>
      <c r="U178" s="18" t="e" cm="1">
        <f t="array" aca="1" ref="U178" ca="1">IF(INDIRECT(ADDRESS($B178+1,U$164,1,1,"Confirmed Trend"))=0,#N/A,INDIRECT(ADDRESS($B178+1,U$164,1,1,"Confirmed Trend")))</f>
        <v>#N/A</v>
      </c>
      <c r="V178" s="18" t="e" cm="1">
        <f t="array" aca="1" ref="V178" ca="1">IF(INDIRECT(ADDRESS($B178+1,V$164,1,1,"Confirmed Trend"))=0,#N/A,INDIRECT(ADDRESS($B178+1,V$164,1,1,"Confirmed Trend")))</f>
        <v>#N/A</v>
      </c>
      <c r="W178" s="18" t="e" cm="1">
        <f t="array" aca="1" ref="W178" ca="1">IF(INDIRECT(ADDRESS($B178+1,W$164,1,1,"Confirmed Trend"))=0,#N/A,INDIRECT(ADDRESS($B178+1,W$164,1,1,"Confirmed Trend")))</f>
        <v>#N/A</v>
      </c>
      <c r="X178" s="18" t="e" cm="1">
        <f t="array" aca="1" ref="X178" ca="1">IF(INDIRECT(ADDRESS($B178+1,X$164,1,1,"Confirmed Trend"))=0,#N/A,INDIRECT(ADDRESS($B178+1,X$164,1,1,"Confirmed Trend")))</f>
        <v>#N/A</v>
      </c>
      <c r="Y178" s="18" t="e" cm="1">
        <f t="array" aca="1" ref="Y178" ca="1">IF(INDIRECT(ADDRESS($B178+1,Y$164,1,1,"Confirmed Trend"))=0,#N/A,INDIRECT(ADDRESS($B178+1,Y$164,1,1,"Confirmed Trend")))</f>
        <v>#N/A</v>
      </c>
      <c r="Z178" s="18" t="e" cm="1">
        <f t="array" aca="1" ref="Z178" ca="1">IF(INDIRECT(ADDRESS($B178+1,Z$164,1,1,"Confirmed Trend"))=0,#N/A,INDIRECT(ADDRESS($B178+1,Z$164,1,1,"Confirmed Trend")))</f>
        <v>#N/A</v>
      </c>
      <c r="AA178" s="18" t="e" cm="1">
        <f t="array" aca="1" ref="AA178" ca="1">IF(INDIRECT(ADDRESS($B178+1,AA$164,1,1,"Confirmed Trend"))=0,#N/A,INDIRECT(ADDRESS($B178+1,AA$164,1,1,"Confirmed Trend")))</f>
        <v>#N/A</v>
      </c>
      <c r="AB178" s="18" t="e" cm="1">
        <f t="array" aca="1" ref="AB178" ca="1">IF(INDIRECT(ADDRESS($B178+1,AB$164,1,1,"Confirmed Trend"))=0,#N/A,INDIRECT(ADDRESS($B178+1,AB$164,1,1,"Confirmed Trend")))</f>
        <v>#N/A</v>
      </c>
      <c r="AC178" s="18" t="e" cm="1">
        <f t="array" aca="1" ref="AC178" ca="1">IF(INDIRECT(ADDRESS($B178+1,AC$164,1,1,"Confirmed Trend"))=0,#N/A,INDIRECT(ADDRESS($B178+1,AC$164,1,1,"Confirmed Trend")))</f>
        <v>#N/A</v>
      </c>
      <c r="AD178" s="18" t="e" cm="1">
        <f t="array" aca="1" ref="AD178" ca="1">IF(INDIRECT(ADDRESS($B178+1,AD$164,1,1,"Confirmed Trend"))=0,#N/A,INDIRECT(ADDRESS($B178+1,AD$164,1,1,"Confirmed Trend")))</f>
        <v>#N/A</v>
      </c>
      <c r="AE178" s="18" t="e" cm="1">
        <f t="array" aca="1" ref="AE178" ca="1">IF(INDIRECT(ADDRESS($B178+1,AE$164,1,1,"Confirmed Trend"))=0,#N/A,INDIRECT(ADDRESS($B178+1,AE$164,1,1,"Confirmed Trend")))</f>
        <v>#N/A</v>
      </c>
      <c r="AF178" s="18" t="e" cm="1">
        <f t="array" aca="1" ref="AF178" ca="1">IF(INDIRECT(ADDRESS($B178+1,AF$164,1,1,"Confirmed Trend"))=0,#N/A,INDIRECT(ADDRESS($B178+1,AF$164,1,1,"Confirmed Trend")))</f>
        <v>#N/A</v>
      </c>
      <c r="AG178" s="18" t="e" cm="1">
        <f t="array" aca="1" ref="AG178" ca="1">IF(INDIRECT(ADDRESS($B178+1,AG$164,1,1,"Confirmed Trend"))=0,#N/A,INDIRECT(ADDRESS($B178+1,AG$164,1,1,"Confirmed Trend")))</f>
        <v>#N/A</v>
      </c>
      <c r="AH178" s="18" t="e" cm="1">
        <f t="array" aca="1" ref="AH178" ca="1">IF(INDIRECT(ADDRESS($B178+1,AH$164,1,1,"Confirmed Trend"))=0,#N/A,INDIRECT(ADDRESS($B178+1,AH$164,1,1,"Confirmed Trend")))</f>
        <v>#N/A</v>
      </c>
      <c r="AI178" s="18" t="e" cm="1">
        <f t="array" aca="1" ref="AI178" ca="1">IF(INDIRECT(ADDRESS($B178+1,AI$164,1,1,"Confirmed Trend"))=0,#N/A,INDIRECT(ADDRESS($B178+1,AI$164,1,1,"Confirmed Trend")))</f>
        <v>#N/A</v>
      </c>
      <c r="AJ178" s="18" t="e" cm="1">
        <f t="array" aca="1" ref="AJ178" ca="1">IF(INDIRECT(ADDRESS($B178+1,AJ$164,1,1,"Confirmed Trend"))=0,#N/A,INDIRECT(ADDRESS($B178+1,AJ$164,1,1,"Confirmed Trend")))</f>
        <v>#N/A</v>
      </c>
      <c r="AK178" s="18" t="e" cm="1">
        <f t="array" aca="1" ref="AK178" ca="1">IF(INDIRECT(ADDRESS($B178+1,AK$164,1,1,"Confirmed Trend"))=0,#N/A,INDIRECT(ADDRESS($B178+1,AK$164,1,1,"Confirmed Trend")))</f>
        <v>#N/A</v>
      </c>
      <c r="AL178" s="18" t="e" cm="1">
        <f t="array" aca="1" ref="AL178" ca="1">IF(INDIRECT(ADDRESS($B178+1,AL$164,1,1,"Confirmed Trend"))=0,#N/A,INDIRECT(ADDRESS($B178+1,AL$164,1,1,"Confirmed Trend")))</f>
        <v>#N/A</v>
      </c>
      <c r="AM178" s="18" t="e" cm="1">
        <f t="array" aca="1" ref="AM178" ca="1">IF(INDIRECT(ADDRESS($B178+1,AM$164,1,1,"Confirmed Trend"))=0,#N/A,INDIRECT(ADDRESS($B178+1,AM$164,1,1,"Confirmed Trend")))</f>
        <v>#N/A</v>
      </c>
      <c r="AN178" s="18" t="e" cm="1">
        <f t="array" aca="1" ref="AN178" ca="1">IF(INDIRECT(ADDRESS($B178+1,AN$164,1,1,"Confirmed Trend"))=0,#N/A,INDIRECT(ADDRESS($B178+1,AN$164,1,1,"Confirmed Trend")))</f>
        <v>#N/A</v>
      </c>
      <c r="AO178" s="18" t="e" cm="1">
        <f t="array" aca="1" ref="AO178" ca="1">IF(INDIRECT(ADDRESS($B178+1,AO$164,1,1,"Confirmed Trend"))=0,#N/A,INDIRECT(ADDRESS($B178+1,AO$164,1,1,"Confirmed Trend")))</f>
        <v>#N/A</v>
      </c>
      <c r="AP178" s="18" t="e" cm="1">
        <f t="array" aca="1" ref="AP178" ca="1">IF(INDIRECT(ADDRESS($B178+1,AP$164,1,1,"Confirmed Trend"))=0,#N/A,INDIRECT(ADDRESS($B178+1,AP$164,1,1,"Confirmed Trend")))</f>
        <v>#N/A</v>
      </c>
      <c r="AQ178" s="18" t="e" cm="1">
        <f t="array" aca="1" ref="AQ178" ca="1">IF(INDIRECT(ADDRESS($B178+1,AQ$164,1,1,"Confirmed Trend"))=0,#N/A,INDIRECT(ADDRESS($B178+1,AQ$164,1,1,"Confirmed Trend")))</f>
        <v>#N/A</v>
      </c>
      <c r="AR178" s="18" t="e" cm="1">
        <f t="array" aca="1" ref="AR178" ca="1">IF(INDIRECT(ADDRESS($B178+1,AR$164,1,1,"Confirmed Trend"))=0,#N/A,INDIRECT(ADDRESS($B178+1,AR$164,1,1,"Confirmed Trend")))</f>
        <v>#N/A</v>
      </c>
      <c r="AS178" s="18" t="e" cm="1">
        <f t="array" aca="1" ref="AS178" ca="1">IF(INDIRECT(ADDRESS($B178+1,AS$164,1,1,"Confirmed Trend"))=0,#N/A,INDIRECT(ADDRESS($B178+1,AS$164,1,1,"Confirmed Trend")))</f>
        <v>#N/A</v>
      </c>
      <c r="AT178" s="18" t="e" cm="1">
        <f t="array" aca="1" ref="AT178" ca="1">IF(INDIRECT(ADDRESS($B178+1,AT$164,1,1,"Confirmed Trend"))=0,#N/A,INDIRECT(ADDRESS($B178+1,AT$164,1,1,"Confirmed Trend")))</f>
        <v>#N/A</v>
      </c>
      <c r="AU178" s="18" t="e" cm="1">
        <f t="array" aca="1" ref="AU178" ca="1">IF(INDIRECT(ADDRESS($B178+1,AU$164,1,1,"Confirmed Trend"))=0,#N/A,INDIRECT(ADDRESS($B178+1,AU$164,1,1,"Confirmed Trend")))</f>
        <v>#N/A</v>
      </c>
      <c r="AV178" s="18" t="e" cm="1">
        <f t="array" aca="1" ref="AV178" ca="1">IF(INDIRECT(ADDRESS($B178+1,AV$164,1,1,"Confirmed Trend"))=0,#N/A,INDIRECT(ADDRESS($B178+1,AV$164,1,1,"Confirmed Trend")))</f>
        <v>#N/A</v>
      </c>
      <c r="AW178" s="18" cm="1">
        <f t="array" aca="1" ref="AW178" ca="1">IF(INDIRECT(ADDRESS($B178+1,AW$164,1,1,"Confirmed Trend"))=0,#N/A,INDIRECT(ADDRESS($B178+1,AW$164,1,1,"Confirmed Trend")))</f>
        <v>0.4805199275</v>
      </c>
      <c r="AX178" s="18" cm="1">
        <f t="array" aca="1" ref="AX178" ca="1">IF(INDIRECT(ADDRESS($B178+1,AX$164,1,1,"Confirmed Trend"))=0,#N/A,INDIRECT(ADDRESS($B178+1,AX$164,1,1,"Confirmed Trend")))</f>
        <v>0.4776924749</v>
      </c>
      <c r="AY178" s="18" cm="1">
        <f t="array" aca="1" ref="AY178" ca="1">IF(INDIRECT(ADDRESS($B178+1,AY$164,1,1,"Confirmed Trend"))=0,#N/A,INDIRECT(ADDRESS($B178+1,AY$164,1,1,"Confirmed Trend")))</f>
        <v>0.44471277510000001</v>
      </c>
      <c r="AZ178" s="18" cm="1">
        <f t="array" aca="1" ref="AZ178" ca="1">IF(INDIRECT(ADDRESS($B178+1,AZ$164,1,1,"Confirmed Trend"))=0,#N/A,INDIRECT(ADDRESS($B178+1,AZ$164,1,1,"Confirmed Trend")))</f>
        <v>0.39300391169999999</v>
      </c>
      <c r="BA178" s="18" cm="1">
        <f t="array" aca="1" ref="BA178" ca="1">IF(INDIRECT(ADDRESS($B178+1,BA$164,1,1,"Confirmed Trend"))=0,#N/A,INDIRECT(ADDRESS($B178+1,BA$164,1,1,"Confirmed Trend")))</f>
        <v>0.3022130596</v>
      </c>
      <c r="BB178" s="18" cm="1">
        <f t="array" aca="1" ref="BB178" ca="1">IF(INDIRECT(ADDRESS($B178+1,BB$164,1,1,"Confirmed Trend"))=0,#N/A,INDIRECT(ADDRESS($B178+1,BB$164,1,1,"Confirmed Trend")))</f>
        <v>0.26309155150000002</v>
      </c>
      <c r="BC178" s="18" cm="1">
        <f t="array" aca="1" ref="BC178" ca="1">IF(INDIRECT(ADDRESS($B178+1,BC$164,1,1,"Confirmed Trend"))=0,#N/A,INDIRECT(ADDRESS($B178+1,BC$164,1,1,"Confirmed Trend")))</f>
        <v>0.21673258179999999</v>
      </c>
      <c r="BD178" s="18" cm="1">
        <f t="array" aca="1" ref="BD178" ca="1">IF(INDIRECT(ADDRESS($B178+1,BD$164,1,1,"Confirmed Trend"))=0,#N/A,INDIRECT(ADDRESS($B178+1,BD$164,1,1,"Confirmed Trend")))</f>
        <v>0.25685504809999998</v>
      </c>
      <c r="BE178" s="18" cm="1">
        <f t="array" aca="1" ref="BE178" ca="1">IF(INDIRECT(ADDRESS($B178+1,BE$164,1,1,"Confirmed Trend"))=0,#N/A,INDIRECT(ADDRESS($B178+1,BE$164,1,1,"Confirmed Trend")))</f>
        <v>0.2723351389</v>
      </c>
      <c r="BF178" s="18" cm="1">
        <f t="array" aca="1" ref="BF178" ca="1">IF(INDIRECT(ADDRESS($B178+1,BF$164,1,1,"Confirmed Trend"))=0,#N/A,INDIRECT(ADDRESS($B178+1,BF$164,1,1,"Confirmed Trend")))</f>
        <v>0.32657515079999999</v>
      </c>
      <c r="BG178" s="18" cm="1">
        <f t="array" aca="1" ref="BG178" ca="1">IF(INDIRECT(ADDRESS($B178+1,BG$164,1,1,"Confirmed Trend"))=0,#N/A,INDIRECT(ADDRESS($B178+1,BG$164,1,1,"Confirmed Trend")))</f>
        <v>0.33835293729999999</v>
      </c>
      <c r="BH178" s="18" cm="1">
        <f t="array" aca="1" ref="BH178" ca="1">IF(INDIRECT(ADDRESS($B178+1,BH$164,1,1,"Confirmed Trend"))=0,#N/A,INDIRECT(ADDRESS($B178+1,BH$164,1,1,"Confirmed Trend")))</f>
        <v>0.30567088650000002</v>
      </c>
      <c r="BI178" s="18" cm="1">
        <f t="array" aca="1" ref="BI178" ca="1">IF(INDIRECT(ADDRESS($B178+1,BI$164,1,1,"Confirmed Trend"))=0,#N/A,INDIRECT(ADDRESS($B178+1,BI$164,1,1,"Confirmed Trend")))</f>
        <v>0.25954379259999999</v>
      </c>
      <c r="BJ178" s="18" cm="1">
        <f t="array" aca="1" ref="BJ178" ca="1">IF(INDIRECT(ADDRESS($B178+1,BJ$164,1,1,"Confirmed Trend"))=0,#N/A,INDIRECT(ADDRESS($B178+1,BJ$164,1,1,"Confirmed Trend")))</f>
        <v>0.20188107720000001</v>
      </c>
      <c r="BK178" s="18" cm="1">
        <f t="array" aca="1" ref="BK178" ca="1">IF(INDIRECT(ADDRESS($B178+1,BK$164,1,1,"Confirmed Trend"))=0,#N/A,INDIRECT(ADDRESS($B178+1,BK$164,1,1,"Confirmed Trend")))</f>
        <v>0.2112739595</v>
      </c>
      <c r="BL178" s="18" cm="1">
        <f t="array" aca="1" ref="BL178" ca="1">IF(INDIRECT(ADDRESS($B178+1,BL$164,1,1,"Confirmed Trend"))=0,#N/A,INDIRECT(ADDRESS($B178+1,BL$164,1,1,"Confirmed Trend")))</f>
        <v>0.22415027430000001</v>
      </c>
      <c r="BM178" s="18" cm="1">
        <f t="array" aca="1" ref="BM178" ca="1">IF(INDIRECT(ADDRESS($B178+1,BM$164,1,1,"Confirmed Trend"))=0,#N/A,INDIRECT(ADDRESS($B178+1,BM$164,1,1,"Confirmed Trend")))</f>
        <v>0.2497986395</v>
      </c>
      <c r="BN178" s="18" cm="1">
        <f t="array" aca="1" ref="BN178" ca="1">IF(INDIRECT(ADDRESS($B178+1,BN$164,1,1,"Confirmed Trend"))=0,#N/A,INDIRECT(ADDRESS($B178+1,BN$164,1,1,"Confirmed Trend")))</f>
        <v>0.23552997780000001</v>
      </c>
      <c r="BO178" s="18" cm="1">
        <f t="array" aca="1" ref="BO178" ca="1">IF(INDIRECT(ADDRESS($B178+1,BO$164,1,1,"Confirmed Trend"))=0,#N/A,INDIRECT(ADDRESS($B178+1,BO$164,1,1,"Confirmed Trend")))</f>
        <v>0.2050974401</v>
      </c>
      <c r="BP178" s="18" cm="1">
        <f t="array" aca="1" ref="BP178" ca="1">IF(INDIRECT(ADDRESS($B178+1,BP$164,1,1,"Confirmed Trend"))=0,#N/A,INDIRECT(ADDRESS($B178+1,BP$164,1,1,"Confirmed Trend")))</f>
        <v>0.16697039329999999</v>
      </c>
      <c r="BQ178" s="18" cm="1">
        <f t="array" aca="1" ref="BQ178" ca="1">IF(INDIRECT(ADDRESS($B178+1,BQ$164,1,1,"Confirmed Trend"))=0,#N/A,INDIRECT(ADDRESS($B178+1,BQ$164,1,1,"Confirmed Trend")))</f>
        <v>0.13926163699999999</v>
      </c>
      <c r="BR178" s="18" cm="1">
        <f t="array" aca="1" ref="BR178" ca="1">IF(INDIRECT(ADDRESS($B178+1,BR$164,1,1,"Confirmed Trend"))=0,#N/A,INDIRECT(ADDRESS($B178+1,BR$164,1,1,"Confirmed Trend")))</f>
        <v>0.11758148879999999</v>
      </c>
      <c r="BS178" s="18" cm="1">
        <f t="array" aca="1" ref="BS178" ca="1">IF(INDIRECT(ADDRESS($B178+1,BS$164,1,1,"Confirmed Trend"))=0,#N/A,INDIRECT(ADDRESS($B178+1,BS$164,1,1,"Confirmed Trend")))</f>
        <v>0.10382082519999999</v>
      </c>
      <c r="BT178" s="18" cm="1">
        <f t="array" aca="1" ref="BT178" ca="1">IF(INDIRECT(ADDRESS($B178+1,BT$164,1,1,"Confirmed Trend"))=0,#N/A,INDIRECT(ADDRESS($B178+1,BT$164,1,1,"Confirmed Trend")))</f>
        <v>9.0612807099999998E-2</v>
      </c>
      <c r="BU178" s="18" cm="1">
        <f t="array" aca="1" ref="BU178" ca="1">IF(INDIRECT(ADDRESS($B178+1,BU$164,1,1,"Confirmed Trend"))=0,#N/A,INDIRECT(ADDRESS($B178+1,BU$164,1,1,"Confirmed Trend")))</f>
        <v>8.30050643E-2</v>
      </c>
      <c r="BV178" s="18" cm="1">
        <f t="array" aca="1" ref="BV178" ca="1">IF(INDIRECT(ADDRESS($B178+1,BV$164,1,1,"Confirmed Trend"))=0,#N/A,INDIRECT(ADDRESS($B178+1,BV$164,1,1,"Confirmed Trend")))</f>
        <v>7.3706925600000001E-2</v>
      </c>
    </row>
    <row r="179" spans="2:74" x14ac:dyDescent="0.25">
      <c r="B179">
        <f t="shared" si="132"/>
        <v>14</v>
      </c>
      <c r="C179" t="str" cm="1">
        <f t="array" aca="1" ref="C179" ca="1">INDIRECT(ADDRESS($B179+1,1,1,1,"Confirmed Trend"))</f>
        <v>US</v>
      </c>
      <c r="E179" s="18" t="e" cm="1">
        <f t="array" aca="1" ref="E179" ca="1">IF(INDIRECT(ADDRESS($B179+1,E$164,1,1,"Confirmed Trend"))=0,#N/A,INDIRECT(ADDRESS($B179+1,E$164,1,1,"Confirmed Trend")))</f>
        <v>#N/A</v>
      </c>
      <c r="F179" s="18" t="e" cm="1">
        <f t="array" aca="1" ref="F179" ca="1">IF(INDIRECT(ADDRESS($B179+1,F$164,1,1,"Confirmed Trend"))=0,#N/A,INDIRECT(ADDRESS($B179+1,F$164,1,1,"Confirmed Trend")))</f>
        <v>#N/A</v>
      </c>
      <c r="G179" s="18" t="e" cm="1">
        <f t="array" aca="1" ref="G179" ca="1">IF(INDIRECT(ADDRESS($B179+1,G$164,1,1,"Confirmed Trend"))=0,#N/A,INDIRECT(ADDRESS($B179+1,G$164,1,1,"Confirmed Trend")))</f>
        <v>#N/A</v>
      </c>
      <c r="H179" s="18" t="e" cm="1">
        <f t="array" aca="1" ref="H179" ca="1">IF(INDIRECT(ADDRESS($B179+1,H$164,1,1,"Confirmed Trend"))=0,#N/A,INDIRECT(ADDRESS($B179+1,H$164,1,1,"Confirmed Trend")))</f>
        <v>#N/A</v>
      </c>
      <c r="I179" s="18" t="e" cm="1">
        <f t="array" aca="1" ref="I179" ca="1">IF(INDIRECT(ADDRESS($B179+1,I$164,1,1,"Confirmed Trend"))=0,#N/A,INDIRECT(ADDRESS($B179+1,I$164,1,1,"Confirmed Trend")))</f>
        <v>#N/A</v>
      </c>
      <c r="J179" s="18" t="e" cm="1">
        <f t="array" aca="1" ref="J179" ca="1">IF(INDIRECT(ADDRESS($B179+1,J$164,1,1,"Confirmed Trend"))=0,#N/A,INDIRECT(ADDRESS($B179+1,J$164,1,1,"Confirmed Trend")))</f>
        <v>#N/A</v>
      </c>
      <c r="K179" s="18" t="e" cm="1">
        <f t="array" aca="1" ref="K179" ca="1">IF(INDIRECT(ADDRESS($B179+1,K$164,1,1,"Confirmed Trend"))=0,#N/A,INDIRECT(ADDRESS($B179+1,K$164,1,1,"Confirmed Trend")))</f>
        <v>#N/A</v>
      </c>
      <c r="L179" s="18" t="e" cm="1">
        <f t="array" aca="1" ref="L179" ca="1">IF(INDIRECT(ADDRESS($B179+1,L$164,1,1,"Confirmed Trend"))=0,#N/A,INDIRECT(ADDRESS($B179+1,L$164,1,1,"Confirmed Trend")))</f>
        <v>#N/A</v>
      </c>
      <c r="M179" s="18" t="e" cm="1">
        <f t="array" aca="1" ref="M179" ca="1">IF(INDIRECT(ADDRESS($B179+1,M$164,1,1,"Confirmed Trend"))=0,#N/A,INDIRECT(ADDRESS($B179+1,M$164,1,1,"Confirmed Trend")))</f>
        <v>#N/A</v>
      </c>
      <c r="N179" s="18" t="e" cm="1">
        <f t="array" aca="1" ref="N179" ca="1">IF(INDIRECT(ADDRESS($B179+1,N$164,1,1,"Confirmed Trend"))=0,#N/A,INDIRECT(ADDRESS($B179+1,N$164,1,1,"Confirmed Trend")))</f>
        <v>#N/A</v>
      </c>
      <c r="O179" s="18" t="e" cm="1">
        <f t="array" aca="1" ref="O179" ca="1">IF(INDIRECT(ADDRESS($B179+1,O$164,1,1,"Confirmed Trend"))=0,#N/A,INDIRECT(ADDRESS($B179+1,O$164,1,1,"Confirmed Trend")))</f>
        <v>#N/A</v>
      </c>
      <c r="P179" s="18" t="e" cm="1">
        <f t="array" aca="1" ref="P179" ca="1">IF(INDIRECT(ADDRESS($B179+1,P$164,1,1,"Confirmed Trend"))=0,#N/A,INDIRECT(ADDRESS($B179+1,P$164,1,1,"Confirmed Trend")))</f>
        <v>#N/A</v>
      </c>
      <c r="Q179" s="18" t="e" cm="1">
        <f t="array" aca="1" ref="Q179" ca="1">IF(INDIRECT(ADDRESS($B179+1,Q$164,1,1,"Confirmed Trend"))=0,#N/A,INDIRECT(ADDRESS($B179+1,Q$164,1,1,"Confirmed Trend")))</f>
        <v>#N/A</v>
      </c>
      <c r="R179" s="18" t="e" cm="1">
        <f t="array" aca="1" ref="R179" ca="1">IF(INDIRECT(ADDRESS($B179+1,R$164,1,1,"Confirmed Trend"))=0,#N/A,INDIRECT(ADDRESS($B179+1,R$164,1,1,"Confirmed Trend")))</f>
        <v>#N/A</v>
      </c>
      <c r="S179" s="18" t="e" cm="1">
        <f t="array" aca="1" ref="S179" ca="1">IF(INDIRECT(ADDRESS($B179+1,S$164,1,1,"Confirmed Trend"))=0,#N/A,INDIRECT(ADDRESS($B179+1,S$164,1,1,"Confirmed Trend")))</f>
        <v>#N/A</v>
      </c>
      <c r="T179" s="18" t="e" cm="1">
        <f t="array" aca="1" ref="T179" ca="1">IF(INDIRECT(ADDRESS($B179+1,T$164,1,1,"Confirmed Trend"))=0,#N/A,INDIRECT(ADDRESS($B179+1,T$164,1,1,"Confirmed Trend")))</f>
        <v>#N/A</v>
      </c>
      <c r="U179" s="18" t="e" cm="1">
        <f t="array" aca="1" ref="U179" ca="1">IF(INDIRECT(ADDRESS($B179+1,U$164,1,1,"Confirmed Trend"))=0,#N/A,INDIRECT(ADDRESS($B179+1,U$164,1,1,"Confirmed Trend")))</f>
        <v>#N/A</v>
      </c>
      <c r="V179" s="18" t="e" cm="1">
        <f t="array" aca="1" ref="V179" ca="1">IF(INDIRECT(ADDRESS($B179+1,V$164,1,1,"Confirmed Trend"))=0,#N/A,INDIRECT(ADDRESS($B179+1,V$164,1,1,"Confirmed Trend")))</f>
        <v>#N/A</v>
      </c>
      <c r="W179" s="18" t="e" cm="1">
        <f t="array" aca="1" ref="W179" ca="1">IF(INDIRECT(ADDRESS($B179+1,W$164,1,1,"Confirmed Trend"))=0,#N/A,INDIRECT(ADDRESS($B179+1,W$164,1,1,"Confirmed Trend")))</f>
        <v>#N/A</v>
      </c>
      <c r="X179" s="18" t="e" cm="1">
        <f t="array" aca="1" ref="X179" ca="1">IF(INDIRECT(ADDRESS($B179+1,X$164,1,1,"Confirmed Trend"))=0,#N/A,INDIRECT(ADDRESS($B179+1,X$164,1,1,"Confirmed Trend")))</f>
        <v>#N/A</v>
      </c>
      <c r="Y179" s="18" cm="1">
        <f t="array" aca="1" ref="Y179" ca="1">IF(INDIRECT(ADDRESS($B179+1,Y$164,1,1,"Confirmed Trend"))=0,#N/A,INDIRECT(ADDRESS($B179+1,Y$164,1,1,"Confirmed Trend")))</f>
        <v>7.4911602000000002E-3</v>
      </c>
      <c r="Z179" s="18" cm="1">
        <f t="array" aca="1" ref="Z179" ca="1">IF(INDIRECT(ADDRESS($B179+1,Z$164,1,1,"Confirmed Trend"))=0,#N/A,INDIRECT(ADDRESS($B179+1,Z$164,1,1,"Confirmed Trend")))</f>
        <v>1.4818851399999999E-2</v>
      </c>
      <c r="AA179" s="18" cm="1">
        <f t="array" aca="1" ref="AA179" ca="1">IF(INDIRECT(ADDRESS($B179+1,AA$164,1,1,"Confirmed Trend"))=0,#N/A,INDIRECT(ADDRESS($B179+1,AA$164,1,1,"Confirmed Trend")))</f>
        <v>2.90155699E-2</v>
      </c>
      <c r="AB179" s="18" cm="1">
        <f t="array" aca="1" ref="AB179" ca="1">IF(INDIRECT(ADDRESS($B179+1,AB$164,1,1,"Confirmed Trend"))=0,#N/A,INDIRECT(ADDRESS($B179+1,AB$164,1,1,"Confirmed Trend")))</f>
        <v>3.5899000899999998E-2</v>
      </c>
      <c r="AC179" s="18" cm="1">
        <f t="array" aca="1" ref="AC179" ca="1">IF(INDIRECT(ADDRESS($B179+1,AC$164,1,1,"Confirmed Trend"))=0,#N/A,INDIRECT(ADDRESS($B179+1,AC$164,1,1,"Confirmed Trend")))</f>
        <v>3.4895318799999998E-2</v>
      </c>
      <c r="AD179" s="18" cm="1">
        <f t="array" aca="1" ref="AD179" ca="1">IF(INDIRECT(ADDRESS($B179+1,AD$164,1,1,"Confirmed Trend"))=0,#N/A,INDIRECT(ADDRESS($B179+1,AD$164,1,1,"Confirmed Trend")))</f>
        <v>2.74226617E-2</v>
      </c>
      <c r="AE179" s="18" cm="1">
        <f t="array" aca="1" ref="AE179" ca="1">IF(INDIRECT(ADDRESS($B179+1,AE$164,1,1,"Confirmed Trend"))=0,#N/A,INDIRECT(ADDRESS($B179+1,AE$164,1,1,"Confirmed Trend")))</f>
        <v>1.32479196E-2</v>
      </c>
      <c r="AF179" s="18" cm="1">
        <f t="array" aca="1" ref="AF179" ca="1">IF(INDIRECT(ADDRESS($B179+1,AF$164,1,1,"Confirmed Trend"))=0,#N/A,INDIRECT(ADDRESS($B179+1,AF$164,1,1,"Confirmed Trend")))</f>
        <v>6.5150025000000004E-3</v>
      </c>
      <c r="AG179" s="18" t="e" cm="1">
        <f t="array" aca="1" ref="AG179" ca="1">IF(INDIRECT(ADDRESS($B179+1,AG$164,1,1,"Confirmed Trend"))=0,#N/A,INDIRECT(ADDRESS($B179+1,AG$164,1,1,"Confirmed Trend")))</f>
        <v>#N/A</v>
      </c>
      <c r="AH179" s="18" t="e" cm="1">
        <f t="array" aca="1" ref="AH179" ca="1">IF(INDIRECT(ADDRESS($B179+1,AH$164,1,1,"Confirmed Trend"))=0,#N/A,INDIRECT(ADDRESS($B179+1,AH$164,1,1,"Confirmed Trend")))</f>
        <v>#N/A</v>
      </c>
      <c r="AI179" s="18" cm="1">
        <f t="array" aca="1" ref="AI179" ca="1">IF(INDIRECT(ADDRESS($B179+1,AI$164,1,1,"Confirmed Trend"))=0,#N/A,INDIRECT(ADDRESS($B179+1,AI$164,1,1,"Confirmed Trend")))</f>
        <v>1.25810895E-2</v>
      </c>
      <c r="AJ179" s="18" cm="1">
        <f t="array" aca="1" ref="AJ179" ca="1">IF(INDIRECT(ADDRESS($B179+1,AJ$164,1,1,"Confirmed Trend"))=0,#N/A,INDIRECT(ADDRESS($B179+1,AJ$164,1,1,"Confirmed Trend")))</f>
        <v>2.4709971000000001E-2</v>
      </c>
      <c r="AK179" s="18" cm="1">
        <f t="array" aca="1" ref="AK179" ca="1">IF(INDIRECT(ADDRESS($B179+1,AK$164,1,1,"Confirmed Trend"))=0,#N/A,INDIRECT(ADDRESS($B179+1,AK$164,1,1,"Confirmed Trend")))</f>
        <v>3.64228438E-2</v>
      </c>
      <c r="AL179" s="18" cm="1">
        <f t="array" aca="1" ref="AL179" ca="1">IF(INDIRECT(ADDRESS($B179+1,AL$164,1,1,"Confirmed Trend"))=0,#N/A,INDIRECT(ADDRESS($B179+1,AL$164,1,1,"Confirmed Trend")))</f>
        <v>0.20048048060000001</v>
      </c>
      <c r="AM179" s="18" cm="1">
        <f t="array" aca="1" ref="AM179" ca="1">IF(INDIRECT(ADDRESS($B179+1,AM$164,1,1,"Confirmed Trend"))=0,#N/A,INDIRECT(ADDRESS($B179+1,AM$164,1,1,"Confirmed Trend")))</f>
        <v>0.29972209300000002</v>
      </c>
      <c r="AN179" s="18" cm="1">
        <f t="array" aca="1" ref="AN179" ca="1">IF(INDIRECT(ADDRESS($B179+1,AN$164,1,1,"Confirmed Trend"))=0,#N/A,INDIRECT(ADDRESS($B179+1,AN$164,1,1,"Confirmed Trend")))</f>
        <v>0.38669888769999999</v>
      </c>
      <c r="AO179" s="18" cm="1">
        <f t="array" aca="1" ref="AO179" ca="1">IF(INDIRECT(ADDRESS($B179+1,AO$164,1,1,"Confirmed Trend"))=0,#N/A,INDIRECT(ADDRESS($B179+1,AO$164,1,1,"Confirmed Trend")))</f>
        <v>0.38587446720000002</v>
      </c>
      <c r="AP179" s="18" cm="1">
        <f t="array" aca="1" ref="AP179" ca="1">IF(INDIRECT(ADDRESS($B179+1,AP$164,1,1,"Confirmed Trend"))=0,#N/A,INDIRECT(ADDRESS($B179+1,AP$164,1,1,"Confirmed Trend")))</f>
        <v>0.21237858749999999</v>
      </c>
      <c r="AQ179" s="18" cm="1">
        <f t="array" aca="1" ref="AQ179" ca="1">IF(INDIRECT(ADDRESS($B179+1,AQ$164,1,1,"Confirmed Trend"))=0,#N/A,INDIRECT(ADDRESS($B179+1,AQ$164,1,1,"Confirmed Trend")))</f>
        <v>0.1228759254</v>
      </c>
      <c r="AR179" s="18" cm="1">
        <f t="array" aca="1" ref="AR179" ca="1">IF(INDIRECT(ADDRESS($B179+1,AR$164,1,1,"Confirmed Trend"))=0,#N/A,INDIRECT(ADDRESS($B179+1,AR$164,1,1,"Confirmed Trend")))</f>
        <v>6.1667593999999999E-2</v>
      </c>
      <c r="AS179" s="18" cm="1">
        <f t="array" aca="1" ref="AS179" ca="1">IF(INDIRECT(ADDRESS($B179+1,AS$164,1,1,"Confirmed Trend"))=0,#N/A,INDIRECT(ADDRESS($B179+1,AS$164,1,1,"Confirmed Trend")))</f>
        <v>9.6543306999999995E-2</v>
      </c>
      <c r="AT179" s="18" cm="1">
        <f t="array" aca="1" ref="AT179" ca="1">IF(INDIRECT(ADDRESS($B179+1,AT$164,1,1,"Confirmed Trend"))=0,#N/A,INDIRECT(ADDRESS($B179+1,AT$164,1,1,"Confirmed Trend")))</f>
        <v>0.13459270609999999</v>
      </c>
      <c r="AU179" s="18" cm="1">
        <f t="array" aca="1" ref="AU179" ca="1">IF(INDIRECT(ADDRESS($B179+1,AU$164,1,1,"Confirmed Trend"))=0,#N/A,INDIRECT(ADDRESS($B179+1,AU$164,1,1,"Confirmed Trend")))</f>
        <v>0.18357281119999999</v>
      </c>
      <c r="AV179" s="18" cm="1">
        <f t="array" aca="1" ref="AV179" ca="1">IF(INDIRECT(ADDRESS($B179+1,AV$164,1,1,"Confirmed Trend"))=0,#N/A,INDIRECT(ADDRESS($B179+1,AV$164,1,1,"Confirmed Trend")))</f>
        <v>0.24415216049999999</v>
      </c>
      <c r="AW179" s="18" cm="1">
        <f t="array" aca="1" ref="AW179" ca="1">IF(INDIRECT(ADDRESS($B179+1,AW$164,1,1,"Confirmed Trend"))=0,#N/A,INDIRECT(ADDRESS($B179+1,AW$164,1,1,"Confirmed Trend")))</f>
        <v>0.27185353239999999</v>
      </c>
      <c r="AX179" s="18" cm="1">
        <f t="array" aca="1" ref="AX179" ca="1">IF(INDIRECT(ADDRESS($B179+1,AX$164,1,1,"Confirmed Trend"))=0,#N/A,INDIRECT(ADDRESS($B179+1,AX$164,1,1,"Confirmed Trend")))</f>
        <v>0.32021443710000003</v>
      </c>
      <c r="AY179" s="18" cm="1">
        <f t="array" aca="1" ref="AY179" ca="1">IF(INDIRECT(ADDRESS($B179+1,AY$164,1,1,"Confirmed Trend"))=0,#N/A,INDIRECT(ADDRESS($B179+1,AY$164,1,1,"Confirmed Trend")))</f>
        <v>0.34147058149999998</v>
      </c>
      <c r="AZ179" s="18" cm="1">
        <f t="array" aca="1" ref="AZ179" ca="1">IF(INDIRECT(ADDRESS($B179+1,AZ$164,1,1,"Confirmed Trend"))=0,#N/A,INDIRECT(ADDRESS($B179+1,AZ$164,1,1,"Confirmed Trend")))</f>
        <v>0.32748127789999998</v>
      </c>
      <c r="BA179" s="18" cm="1">
        <f t="array" aca="1" ref="BA179" ca="1">IF(INDIRECT(ADDRESS($B179+1,BA$164,1,1,"Confirmed Trend"))=0,#N/A,INDIRECT(ADDRESS($B179+1,BA$164,1,1,"Confirmed Trend")))</f>
        <v>0.34578875190000002</v>
      </c>
      <c r="BB179" s="18" cm="1">
        <f t="array" aca="1" ref="BB179" ca="1">IF(INDIRECT(ADDRESS($B179+1,BB$164,1,1,"Confirmed Trend"))=0,#N/A,INDIRECT(ADDRESS($B179+1,BB$164,1,1,"Confirmed Trend")))</f>
        <v>0.33793107989999999</v>
      </c>
      <c r="BC179" s="18" cm="1">
        <f t="array" aca="1" ref="BC179" ca="1">IF(INDIRECT(ADDRESS($B179+1,BC$164,1,1,"Confirmed Trend"))=0,#N/A,INDIRECT(ADDRESS($B179+1,BC$164,1,1,"Confirmed Trend")))</f>
        <v>0.34801668810000003</v>
      </c>
      <c r="BD179" s="18" cm="1">
        <f t="array" aca="1" ref="BD179" ca="1">IF(INDIRECT(ADDRESS($B179+1,BD$164,1,1,"Confirmed Trend"))=0,#N/A,INDIRECT(ADDRESS($B179+1,BD$164,1,1,"Confirmed Trend")))</f>
        <v>0.35875559000000001</v>
      </c>
      <c r="BE179" s="18" cm="1">
        <f t="array" aca="1" ref="BE179" ca="1">IF(INDIRECT(ADDRESS($B179+1,BE$164,1,1,"Confirmed Trend"))=0,#N/A,INDIRECT(ADDRESS($B179+1,BE$164,1,1,"Confirmed Trend")))</f>
        <v>0.33631243700000002</v>
      </c>
      <c r="BF179" s="18" cm="1">
        <f t="array" aca="1" ref="BF179" ca="1">IF(INDIRECT(ADDRESS($B179+1,BF$164,1,1,"Confirmed Trend"))=0,#N/A,INDIRECT(ADDRESS($B179+1,BF$164,1,1,"Confirmed Trend")))</f>
        <v>0.3135805519</v>
      </c>
      <c r="BG179" s="18" cm="1">
        <f t="array" aca="1" ref="BG179" ca="1">IF(INDIRECT(ADDRESS($B179+1,BG$164,1,1,"Confirmed Trend"))=0,#N/A,INDIRECT(ADDRESS($B179+1,BG$164,1,1,"Confirmed Trend")))</f>
        <v>0.29148040590000002</v>
      </c>
      <c r="BH179" s="18" cm="1">
        <f t="array" aca="1" ref="BH179" ca="1">IF(INDIRECT(ADDRESS($B179+1,BH$164,1,1,"Confirmed Trend"))=0,#N/A,INDIRECT(ADDRESS($B179+1,BH$164,1,1,"Confirmed Trend")))</f>
        <v>0.29822384740000002</v>
      </c>
      <c r="BI179" s="18" cm="1">
        <f t="array" aca="1" ref="BI179" ca="1">IF(INDIRECT(ADDRESS($B179+1,BI$164,1,1,"Confirmed Trend"))=0,#N/A,INDIRECT(ADDRESS($B179+1,BI$164,1,1,"Confirmed Trend")))</f>
        <v>0.30128479419999998</v>
      </c>
      <c r="BJ179" s="18" cm="1">
        <f t="array" aca="1" ref="BJ179" ca="1">IF(INDIRECT(ADDRESS($B179+1,BJ$164,1,1,"Confirmed Trend"))=0,#N/A,INDIRECT(ADDRESS($B179+1,BJ$164,1,1,"Confirmed Trend")))</f>
        <v>0.34956142810000002</v>
      </c>
      <c r="BK179" s="18" cm="1">
        <f t="array" aca="1" ref="BK179" ca="1">IF(INDIRECT(ADDRESS($B179+1,BK$164,1,1,"Confirmed Trend"))=0,#N/A,INDIRECT(ADDRESS($B179+1,BK$164,1,1,"Confirmed Trend")))</f>
        <v>0.39023118849999999</v>
      </c>
      <c r="BL179" s="18" cm="1">
        <f t="array" aca="1" ref="BL179" ca="1">IF(INDIRECT(ADDRESS($B179+1,BL$164,1,1,"Confirmed Trend"))=0,#N/A,INDIRECT(ADDRESS($B179+1,BL$164,1,1,"Confirmed Trend")))</f>
        <v>0.41456572079999998</v>
      </c>
      <c r="BM179" s="18" cm="1">
        <f t="array" aca="1" ref="BM179" ca="1">IF(INDIRECT(ADDRESS($B179+1,BM$164,1,1,"Confirmed Trend"))=0,#N/A,INDIRECT(ADDRESS($B179+1,BM$164,1,1,"Confirmed Trend")))</f>
        <v>0.42589780849999997</v>
      </c>
      <c r="BN179" s="18" cm="1">
        <f t="array" aca="1" ref="BN179" ca="1">IF(INDIRECT(ADDRESS($B179+1,BN$164,1,1,"Confirmed Trend"))=0,#N/A,INDIRECT(ADDRESS($B179+1,BN$164,1,1,"Confirmed Trend")))</f>
        <v>0.38507232419999998</v>
      </c>
      <c r="BO179" s="18" cm="1">
        <f t="array" aca="1" ref="BO179" ca="1">IF(INDIRECT(ADDRESS($B179+1,BO$164,1,1,"Confirmed Trend"))=0,#N/A,INDIRECT(ADDRESS($B179+1,BO$164,1,1,"Confirmed Trend")))</f>
        <v>0.3402312233</v>
      </c>
      <c r="BP179" s="18" cm="1">
        <f t="array" aca="1" ref="BP179" ca="1">IF(INDIRECT(ADDRESS($B179+1,BP$164,1,1,"Confirmed Trend"))=0,#N/A,INDIRECT(ADDRESS($B179+1,BP$164,1,1,"Confirmed Trend")))</f>
        <v>0.29400499619999998</v>
      </c>
      <c r="BQ179" s="18" cm="1">
        <f t="array" aca="1" ref="BQ179" ca="1">IF(INDIRECT(ADDRESS($B179+1,BQ$164,1,1,"Confirmed Trend"))=0,#N/A,INDIRECT(ADDRESS($B179+1,BQ$164,1,1,"Confirmed Trend")))</f>
        <v>0.27124017049999999</v>
      </c>
      <c r="BR179" s="18" cm="1">
        <f t="array" aca="1" ref="BR179" ca="1">IF(INDIRECT(ADDRESS($B179+1,BR$164,1,1,"Confirmed Trend"))=0,#N/A,INDIRECT(ADDRESS($B179+1,BR$164,1,1,"Confirmed Trend")))</f>
        <v>0.25093877349999999</v>
      </c>
      <c r="BS179" s="18" cm="1">
        <f t="array" aca="1" ref="BS179" ca="1">IF(INDIRECT(ADDRESS($B179+1,BS$164,1,1,"Confirmed Trend"))=0,#N/A,INDIRECT(ADDRESS($B179+1,BS$164,1,1,"Confirmed Trend")))</f>
        <v>0.23757098639999999</v>
      </c>
      <c r="BT179" s="18" cm="1">
        <f t="array" aca="1" ref="BT179" ca="1">IF(INDIRECT(ADDRESS($B179+1,BT$164,1,1,"Confirmed Trend"))=0,#N/A,INDIRECT(ADDRESS($B179+1,BT$164,1,1,"Confirmed Trend")))</f>
        <v>0.221776747</v>
      </c>
      <c r="BU179" s="18" cm="1">
        <f t="array" aca="1" ref="BU179" ca="1">IF(INDIRECT(ADDRESS($B179+1,BU$164,1,1,"Confirmed Trend"))=0,#N/A,INDIRECT(ADDRESS($B179+1,BU$164,1,1,"Confirmed Trend")))</f>
        <v>0.20177195079999999</v>
      </c>
      <c r="BV179" s="18" cm="1">
        <f t="array" aca="1" ref="BV179" ca="1">IF(INDIRECT(ADDRESS($B179+1,BV$164,1,1,"Confirmed Trend"))=0,#N/A,INDIRECT(ADDRESS($B179+1,BV$164,1,1,"Confirmed Trend")))</f>
        <v>0.1484959471</v>
      </c>
    </row>
    <row r="180" spans="2:74" x14ac:dyDescent="0.25">
      <c r="B180">
        <f t="shared" si="132"/>
        <v>15</v>
      </c>
      <c r="C180" t="str" cm="1">
        <f t="array" aca="1" ref="C180" ca="1">INDIRECT(ADDRESS($B180+1,1,1,1,"Confirmed Trend"))</f>
        <v>United Kingdom</v>
      </c>
      <c r="E180" s="18" t="e" cm="1">
        <f t="array" aca="1" ref="E180" ca="1">IF(INDIRECT(ADDRESS($B180+1,E$164,1,1,"Confirmed Trend"))=0,#N/A,INDIRECT(ADDRESS($B180+1,E$164,1,1,"Confirmed Trend")))</f>
        <v>#N/A</v>
      </c>
      <c r="F180" s="18" t="e" cm="1">
        <f t="array" aca="1" ref="F180" ca="1">IF(INDIRECT(ADDRESS($B180+1,F$164,1,1,"Confirmed Trend"))=0,#N/A,INDIRECT(ADDRESS($B180+1,F$164,1,1,"Confirmed Trend")))</f>
        <v>#N/A</v>
      </c>
      <c r="G180" s="18" t="e" cm="1">
        <f t="array" aca="1" ref="G180" ca="1">IF(INDIRECT(ADDRESS($B180+1,G$164,1,1,"Confirmed Trend"))=0,#N/A,INDIRECT(ADDRESS($B180+1,G$164,1,1,"Confirmed Trend")))</f>
        <v>#N/A</v>
      </c>
      <c r="H180" s="18" t="e" cm="1">
        <f t="array" aca="1" ref="H180" ca="1">IF(INDIRECT(ADDRESS($B180+1,H$164,1,1,"Confirmed Trend"))=0,#N/A,INDIRECT(ADDRESS($B180+1,H$164,1,1,"Confirmed Trend")))</f>
        <v>#N/A</v>
      </c>
      <c r="I180" s="18" t="e" cm="1">
        <f t="array" aca="1" ref="I180" ca="1">IF(INDIRECT(ADDRESS($B180+1,I$164,1,1,"Confirmed Trend"))=0,#N/A,INDIRECT(ADDRESS($B180+1,I$164,1,1,"Confirmed Trend")))</f>
        <v>#N/A</v>
      </c>
      <c r="J180" s="18" t="e" cm="1">
        <f t="array" aca="1" ref="J180" ca="1">IF(INDIRECT(ADDRESS($B180+1,J$164,1,1,"Confirmed Trend"))=0,#N/A,INDIRECT(ADDRESS($B180+1,J$164,1,1,"Confirmed Trend")))</f>
        <v>#N/A</v>
      </c>
      <c r="K180" s="18" t="e" cm="1">
        <f t="array" aca="1" ref="K180" ca="1">IF(INDIRECT(ADDRESS($B180+1,K$164,1,1,"Confirmed Trend"))=0,#N/A,INDIRECT(ADDRESS($B180+1,K$164,1,1,"Confirmed Trend")))</f>
        <v>#N/A</v>
      </c>
      <c r="L180" s="18" t="e" cm="1">
        <f t="array" aca="1" ref="L180" ca="1">IF(INDIRECT(ADDRESS($B180+1,L$164,1,1,"Confirmed Trend"))=0,#N/A,INDIRECT(ADDRESS($B180+1,L$164,1,1,"Confirmed Trend")))</f>
        <v>#N/A</v>
      </c>
      <c r="M180" s="18" t="e" cm="1">
        <f t="array" aca="1" ref="M180" ca="1">IF(INDIRECT(ADDRESS($B180+1,M$164,1,1,"Confirmed Trend"))=0,#N/A,INDIRECT(ADDRESS($B180+1,M$164,1,1,"Confirmed Trend")))</f>
        <v>#N/A</v>
      </c>
      <c r="N180" s="18" t="e" cm="1">
        <f t="array" aca="1" ref="N180" ca="1">IF(INDIRECT(ADDRESS($B180+1,N$164,1,1,"Confirmed Trend"))=0,#N/A,INDIRECT(ADDRESS($B180+1,N$164,1,1,"Confirmed Trend")))</f>
        <v>#N/A</v>
      </c>
      <c r="O180" s="18" t="e" cm="1">
        <f t="array" aca="1" ref="O180" ca="1">IF(INDIRECT(ADDRESS($B180+1,O$164,1,1,"Confirmed Trend"))=0,#N/A,INDIRECT(ADDRESS($B180+1,O$164,1,1,"Confirmed Trend")))</f>
        <v>#N/A</v>
      </c>
      <c r="P180" s="18" t="e" cm="1">
        <f t="array" aca="1" ref="P180" ca="1">IF(INDIRECT(ADDRESS($B180+1,P$164,1,1,"Confirmed Trend"))=0,#N/A,INDIRECT(ADDRESS($B180+1,P$164,1,1,"Confirmed Trend")))</f>
        <v>#N/A</v>
      </c>
      <c r="Q180" s="18" t="e" cm="1">
        <f t="array" aca="1" ref="Q180" ca="1">IF(INDIRECT(ADDRESS($B180+1,Q$164,1,1,"Confirmed Trend"))=0,#N/A,INDIRECT(ADDRESS($B180+1,Q$164,1,1,"Confirmed Trend")))</f>
        <v>#N/A</v>
      </c>
      <c r="R180" s="18" t="e" cm="1">
        <f t="array" aca="1" ref="R180" ca="1">IF(INDIRECT(ADDRESS($B180+1,R$164,1,1,"Confirmed Trend"))=0,#N/A,INDIRECT(ADDRESS($B180+1,R$164,1,1,"Confirmed Trend")))</f>
        <v>#N/A</v>
      </c>
      <c r="S180" s="18" t="e" cm="1">
        <f t="array" aca="1" ref="S180" ca="1">IF(INDIRECT(ADDRESS($B180+1,S$164,1,1,"Confirmed Trend"))=0,#N/A,INDIRECT(ADDRESS($B180+1,S$164,1,1,"Confirmed Trend")))</f>
        <v>#N/A</v>
      </c>
      <c r="T180" s="18" t="e" cm="1">
        <f t="array" aca="1" ref="T180" ca="1">IF(INDIRECT(ADDRESS($B180+1,T$164,1,1,"Confirmed Trend"))=0,#N/A,INDIRECT(ADDRESS($B180+1,T$164,1,1,"Confirmed Trend")))</f>
        <v>#N/A</v>
      </c>
      <c r="U180" s="18" t="e" cm="1">
        <f t="array" aca="1" ref="U180" ca="1">IF(INDIRECT(ADDRESS($B180+1,U$164,1,1,"Confirmed Trend"))=0,#N/A,INDIRECT(ADDRESS($B180+1,U$164,1,1,"Confirmed Trend")))</f>
        <v>#N/A</v>
      </c>
      <c r="V180" s="18" t="e" cm="1">
        <f t="array" aca="1" ref="V180" ca="1">IF(INDIRECT(ADDRESS($B180+1,V$164,1,1,"Confirmed Trend"))=0,#N/A,INDIRECT(ADDRESS($B180+1,V$164,1,1,"Confirmed Trend")))</f>
        <v>#N/A</v>
      </c>
      <c r="W180" s="18" t="e" cm="1">
        <f t="array" aca="1" ref="W180" ca="1">IF(INDIRECT(ADDRESS($B180+1,W$164,1,1,"Confirmed Trend"))=0,#N/A,INDIRECT(ADDRESS($B180+1,W$164,1,1,"Confirmed Trend")))</f>
        <v>#N/A</v>
      </c>
      <c r="X180" s="18" t="e" cm="1">
        <f t="array" aca="1" ref="X180" ca="1">IF(INDIRECT(ADDRESS($B180+1,X$164,1,1,"Confirmed Trend"))=0,#N/A,INDIRECT(ADDRESS($B180+1,X$164,1,1,"Confirmed Trend")))</f>
        <v>#N/A</v>
      </c>
      <c r="Y180" s="18" t="e" cm="1">
        <f t="array" aca="1" ref="Y180" ca="1">IF(INDIRECT(ADDRESS($B180+1,Y$164,1,1,"Confirmed Trend"))=0,#N/A,INDIRECT(ADDRESS($B180+1,Y$164,1,1,"Confirmed Trend")))</f>
        <v>#N/A</v>
      </c>
      <c r="Z180" s="18" t="e" cm="1">
        <f t="array" aca="1" ref="Z180" ca="1">IF(INDIRECT(ADDRESS($B180+1,Z$164,1,1,"Confirmed Trend"))=0,#N/A,INDIRECT(ADDRESS($B180+1,Z$164,1,1,"Confirmed Trend")))</f>
        <v>#N/A</v>
      </c>
      <c r="AA180" s="18" t="e" cm="1">
        <f t="array" aca="1" ref="AA180" ca="1">IF(INDIRECT(ADDRESS($B180+1,AA$164,1,1,"Confirmed Trend"))=0,#N/A,INDIRECT(ADDRESS($B180+1,AA$164,1,1,"Confirmed Trend")))</f>
        <v>#N/A</v>
      </c>
      <c r="AB180" s="18" t="e" cm="1">
        <f t="array" aca="1" ref="AB180" ca="1">IF(INDIRECT(ADDRESS($B180+1,AB$164,1,1,"Confirmed Trend"))=0,#N/A,INDIRECT(ADDRESS($B180+1,AB$164,1,1,"Confirmed Trend")))</f>
        <v>#N/A</v>
      </c>
      <c r="AC180" s="18" t="e" cm="1">
        <f t="array" aca="1" ref="AC180" ca="1">IF(INDIRECT(ADDRESS($B180+1,AC$164,1,1,"Confirmed Trend"))=0,#N/A,INDIRECT(ADDRESS($B180+1,AC$164,1,1,"Confirmed Trend")))</f>
        <v>#N/A</v>
      </c>
      <c r="AD180" s="18" t="e" cm="1">
        <f t="array" aca="1" ref="AD180" ca="1">IF(INDIRECT(ADDRESS($B180+1,AD$164,1,1,"Confirmed Trend"))=0,#N/A,INDIRECT(ADDRESS($B180+1,AD$164,1,1,"Confirmed Trend")))</f>
        <v>#N/A</v>
      </c>
      <c r="AE180" s="18" t="e" cm="1">
        <f t="array" aca="1" ref="AE180" ca="1">IF(INDIRECT(ADDRESS($B180+1,AE$164,1,1,"Confirmed Trend"))=0,#N/A,INDIRECT(ADDRESS($B180+1,AE$164,1,1,"Confirmed Trend")))</f>
        <v>#N/A</v>
      </c>
      <c r="AF180" s="18" t="e" cm="1">
        <f t="array" aca="1" ref="AF180" ca="1">IF(INDIRECT(ADDRESS($B180+1,AF$164,1,1,"Confirmed Trend"))=0,#N/A,INDIRECT(ADDRESS($B180+1,AF$164,1,1,"Confirmed Trend")))</f>
        <v>#N/A</v>
      </c>
      <c r="AG180" s="18" t="e" cm="1">
        <f t="array" aca="1" ref="AG180" ca="1">IF(INDIRECT(ADDRESS($B180+1,AG$164,1,1,"Confirmed Trend"))=0,#N/A,INDIRECT(ADDRESS($B180+1,AG$164,1,1,"Confirmed Trend")))</f>
        <v>#N/A</v>
      </c>
      <c r="AH180" s="18" t="e" cm="1">
        <f t="array" aca="1" ref="AH180" ca="1">IF(INDIRECT(ADDRESS($B180+1,AH$164,1,1,"Confirmed Trend"))=0,#N/A,INDIRECT(ADDRESS($B180+1,AH$164,1,1,"Confirmed Trend")))</f>
        <v>#N/A</v>
      </c>
      <c r="AI180" s="18" t="e" cm="1">
        <f t="array" aca="1" ref="AI180" ca="1">IF(INDIRECT(ADDRESS($B180+1,AI$164,1,1,"Confirmed Trend"))=0,#N/A,INDIRECT(ADDRESS($B180+1,AI$164,1,1,"Confirmed Trend")))</f>
        <v>#N/A</v>
      </c>
      <c r="AJ180" s="18" t="e" cm="1">
        <f t="array" aca="1" ref="AJ180" ca="1">IF(INDIRECT(ADDRESS($B180+1,AJ$164,1,1,"Confirmed Trend"))=0,#N/A,INDIRECT(ADDRESS($B180+1,AJ$164,1,1,"Confirmed Trend")))</f>
        <v>#N/A</v>
      </c>
      <c r="AK180" s="18" t="e" cm="1">
        <f t="array" aca="1" ref="AK180" ca="1">IF(INDIRECT(ADDRESS($B180+1,AK$164,1,1,"Confirmed Trend"))=0,#N/A,INDIRECT(ADDRESS($B180+1,AK$164,1,1,"Confirmed Trend")))</f>
        <v>#N/A</v>
      </c>
      <c r="AL180" s="18" t="e" cm="1">
        <f t="array" aca="1" ref="AL180" ca="1">IF(INDIRECT(ADDRESS($B180+1,AL$164,1,1,"Confirmed Trend"))=0,#N/A,INDIRECT(ADDRESS($B180+1,AL$164,1,1,"Confirmed Trend")))</f>
        <v>#N/A</v>
      </c>
      <c r="AM180" s="18" t="e" cm="1">
        <f t="array" aca="1" ref="AM180" ca="1">IF(INDIRECT(ADDRESS($B180+1,AM$164,1,1,"Confirmed Trend"))=0,#N/A,INDIRECT(ADDRESS($B180+1,AM$164,1,1,"Confirmed Trend")))</f>
        <v>#N/A</v>
      </c>
      <c r="AN180" s="18" t="e" cm="1">
        <f t="array" aca="1" ref="AN180" ca="1">IF(INDIRECT(ADDRESS($B180+1,AN$164,1,1,"Confirmed Trend"))=0,#N/A,INDIRECT(ADDRESS($B180+1,AN$164,1,1,"Confirmed Trend")))</f>
        <v>#N/A</v>
      </c>
      <c r="AO180" s="18" t="e" cm="1">
        <f t="array" aca="1" ref="AO180" ca="1">IF(INDIRECT(ADDRESS($B180+1,AO$164,1,1,"Confirmed Trend"))=0,#N/A,INDIRECT(ADDRESS($B180+1,AO$164,1,1,"Confirmed Trend")))</f>
        <v>#N/A</v>
      </c>
      <c r="AP180" s="18" t="e" cm="1">
        <f t="array" aca="1" ref="AP180" ca="1">IF(INDIRECT(ADDRESS($B180+1,AP$164,1,1,"Confirmed Trend"))=0,#N/A,INDIRECT(ADDRESS($B180+1,AP$164,1,1,"Confirmed Trend")))</f>
        <v>#N/A</v>
      </c>
      <c r="AQ180" s="18" t="e" cm="1">
        <f t="array" aca="1" ref="AQ180" ca="1">IF(INDIRECT(ADDRESS($B180+1,AQ$164,1,1,"Confirmed Trend"))=0,#N/A,INDIRECT(ADDRESS($B180+1,AQ$164,1,1,"Confirmed Trend")))</f>
        <v>#N/A</v>
      </c>
      <c r="AR180" s="18" cm="1">
        <f t="array" aca="1" ref="AR180" ca="1">IF(INDIRECT(ADDRESS($B180+1,AR$164,1,1,"Confirmed Trend"))=0,#N/A,INDIRECT(ADDRESS($B180+1,AR$164,1,1,"Confirmed Trend")))</f>
        <v>0.1930004873</v>
      </c>
      <c r="AS180" s="18" cm="1">
        <f t="array" aca="1" ref="AS180" ca="1">IF(INDIRECT(ADDRESS($B180+1,AS$164,1,1,"Confirmed Trend"))=0,#N/A,INDIRECT(ADDRESS($B180+1,AS$164,1,1,"Confirmed Trend")))</f>
        <v>0.24655898809999999</v>
      </c>
      <c r="AT180" s="18" cm="1">
        <f t="array" aca="1" ref="AT180" ca="1">IF(INDIRECT(ADDRESS($B180+1,AT$164,1,1,"Confirmed Trend"))=0,#N/A,INDIRECT(ADDRESS($B180+1,AT$164,1,1,"Confirmed Trend")))</f>
        <v>0.2753829914</v>
      </c>
      <c r="AU180" s="18" cm="1">
        <f t="array" aca="1" ref="AU180" ca="1">IF(INDIRECT(ADDRESS($B180+1,AU$164,1,1,"Confirmed Trend"))=0,#N/A,INDIRECT(ADDRESS($B180+1,AU$164,1,1,"Confirmed Trend")))</f>
        <v>0.3198396423</v>
      </c>
      <c r="AV180" s="18" cm="1">
        <f t="array" aca="1" ref="AV180" ca="1">IF(INDIRECT(ADDRESS($B180+1,AV$164,1,1,"Confirmed Trend"))=0,#N/A,INDIRECT(ADDRESS($B180+1,AV$164,1,1,"Confirmed Trend")))</f>
        <v>0.3350934263</v>
      </c>
      <c r="AW180" s="18" cm="1">
        <f t="array" aca="1" ref="AW180" ca="1">IF(INDIRECT(ADDRESS($B180+1,AW$164,1,1,"Confirmed Trend"))=0,#N/A,INDIRECT(ADDRESS($B180+1,AW$164,1,1,"Confirmed Trend")))</f>
        <v>0.38378257519999998</v>
      </c>
      <c r="AX180" s="18" cm="1">
        <f t="array" aca="1" ref="AX180" ca="1">IF(INDIRECT(ADDRESS($B180+1,AX$164,1,1,"Confirmed Trend"))=0,#N/A,INDIRECT(ADDRESS($B180+1,AX$164,1,1,"Confirmed Trend")))</f>
        <v>0.39720589779999999</v>
      </c>
      <c r="AY180" s="18" cm="1">
        <f t="array" aca="1" ref="AY180" ca="1">IF(INDIRECT(ADDRESS($B180+1,AY$164,1,1,"Confirmed Trend"))=0,#N/A,INDIRECT(ADDRESS($B180+1,AY$164,1,1,"Confirmed Trend")))</f>
        <v>0.38199219420000002</v>
      </c>
      <c r="AZ180" s="18" cm="1">
        <f t="array" aca="1" ref="AZ180" ca="1">IF(INDIRECT(ADDRESS($B180+1,AZ$164,1,1,"Confirmed Trend"))=0,#N/A,INDIRECT(ADDRESS($B180+1,AZ$164,1,1,"Confirmed Trend")))</f>
        <v>0.33614646300000001</v>
      </c>
      <c r="BA180" s="18" cm="1">
        <f t="array" aca="1" ref="BA180" ca="1">IF(INDIRECT(ADDRESS($B180+1,BA$164,1,1,"Confirmed Trend"))=0,#N/A,INDIRECT(ADDRESS($B180+1,BA$164,1,1,"Confirmed Trend")))</f>
        <v>0.28051832589999998</v>
      </c>
      <c r="BB180" s="18" cm="1">
        <f t="array" aca="1" ref="BB180" ca="1">IF(INDIRECT(ADDRESS($B180+1,BB$164,1,1,"Confirmed Trend"))=0,#N/A,INDIRECT(ADDRESS($B180+1,BB$164,1,1,"Confirmed Trend")))</f>
        <v>0.2439688877</v>
      </c>
      <c r="BC180" s="18" cm="1">
        <f t="array" aca="1" ref="BC180" ca="1">IF(INDIRECT(ADDRESS($B180+1,BC$164,1,1,"Confirmed Trend"))=0,#N/A,INDIRECT(ADDRESS($B180+1,BC$164,1,1,"Confirmed Trend")))</f>
        <v>0.1915158176</v>
      </c>
      <c r="BD180" s="18" cm="1">
        <f t="array" aca="1" ref="BD180" ca="1">IF(INDIRECT(ADDRESS($B180+1,BD$164,1,1,"Confirmed Trend"))=0,#N/A,INDIRECT(ADDRESS($B180+1,BD$164,1,1,"Confirmed Trend")))</f>
        <v>0.20913983959999999</v>
      </c>
      <c r="BE180" s="18" cm="1">
        <f t="array" aca="1" ref="BE180" ca="1">IF(INDIRECT(ADDRESS($B180+1,BE$164,1,1,"Confirmed Trend"))=0,#N/A,INDIRECT(ADDRESS($B180+1,BE$164,1,1,"Confirmed Trend")))</f>
        <v>0.25146463689999998</v>
      </c>
      <c r="BF180" s="18" cm="1">
        <f t="array" aca="1" ref="BF180" ca="1">IF(INDIRECT(ADDRESS($B180+1,BF$164,1,1,"Confirmed Trend"))=0,#N/A,INDIRECT(ADDRESS($B180+1,BF$164,1,1,"Confirmed Trend")))</f>
        <v>0.27657488180000001</v>
      </c>
      <c r="BG180" s="18" cm="1">
        <f t="array" aca="1" ref="BG180" ca="1">IF(INDIRECT(ADDRESS($B180+1,BG$164,1,1,"Confirmed Trend"))=0,#N/A,INDIRECT(ADDRESS($B180+1,BG$164,1,1,"Confirmed Trend")))</f>
        <v>0.31104471880000001</v>
      </c>
      <c r="BH180" s="18" cm="1">
        <f t="array" aca="1" ref="BH180" ca="1">IF(INDIRECT(ADDRESS($B180+1,BH$164,1,1,"Confirmed Trend"))=0,#N/A,INDIRECT(ADDRESS($B180+1,BH$164,1,1,"Confirmed Trend")))</f>
        <v>0.28297013640000002</v>
      </c>
      <c r="BI180" s="18" cm="1">
        <f t="array" aca="1" ref="BI180" ca="1">IF(INDIRECT(ADDRESS($B180+1,BI$164,1,1,"Confirmed Trend"))=0,#N/A,INDIRECT(ADDRESS($B180+1,BI$164,1,1,"Confirmed Trend")))</f>
        <v>0.2644133622</v>
      </c>
      <c r="BJ180" s="18" cm="1">
        <f t="array" aca="1" ref="BJ180" ca="1">IF(INDIRECT(ADDRESS($B180+1,BJ$164,1,1,"Confirmed Trend"))=0,#N/A,INDIRECT(ADDRESS($B180+1,BJ$164,1,1,"Confirmed Trend")))</f>
        <v>0.23948635679999999</v>
      </c>
      <c r="BK180" s="18" cm="1">
        <f t="array" aca="1" ref="BK180" ca="1">IF(INDIRECT(ADDRESS($B180+1,BK$164,1,1,"Confirmed Trend"))=0,#N/A,INDIRECT(ADDRESS($B180+1,BK$164,1,1,"Confirmed Trend")))</f>
        <v>0.24880983670000001</v>
      </c>
      <c r="BL180" s="18" cm="1">
        <f t="array" aca="1" ref="BL180" ca="1">IF(INDIRECT(ADDRESS($B180+1,BL$164,1,1,"Confirmed Trend"))=0,#N/A,INDIRECT(ADDRESS($B180+1,BL$164,1,1,"Confirmed Trend")))</f>
        <v>0.26034096600000001</v>
      </c>
      <c r="BM180" s="18" cm="1">
        <f t="array" aca="1" ref="BM180" ca="1">IF(INDIRECT(ADDRESS($B180+1,BM$164,1,1,"Confirmed Trend"))=0,#N/A,INDIRECT(ADDRESS($B180+1,BM$164,1,1,"Confirmed Trend")))</f>
        <v>0.2446320515</v>
      </c>
      <c r="BN180" s="18" cm="1">
        <f t="array" aca="1" ref="BN180" ca="1">IF(INDIRECT(ADDRESS($B180+1,BN$164,1,1,"Confirmed Trend"))=0,#N/A,INDIRECT(ADDRESS($B180+1,BN$164,1,1,"Confirmed Trend")))</f>
        <v>0.24314624579999999</v>
      </c>
      <c r="BO180" s="18" cm="1">
        <f t="array" aca="1" ref="BO180" ca="1">IF(INDIRECT(ADDRESS($B180+1,BO$164,1,1,"Confirmed Trend"))=0,#N/A,INDIRECT(ADDRESS($B180+1,BO$164,1,1,"Confirmed Trend")))</f>
        <v>0.2172039855</v>
      </c>
      <c r="BP180" s="18" cm="1">
        <f t="array" aca="1" ref="BP180" ca="1">IF(INDIRECT(ADDRESS($B180+1,BP$164,1,1,"Confirmed Trend"))=0,#N/A,INDIRECT(ADDRESS($B180+1,BP$164,1,1,"Confirmed Trend")))</f>
        <v>0.2001932176</v>
      </c>
      <c r="BQ180" s="18" cm="1">
        <f t="array" aca="1" ref="BQ180" ca="1">IF(INDIRECT(ADDRESS($B180+1,BQ$164,1,1,"Confirmed Trend"))=0,#N/A,INDIRECT(ADDRESS($B180+1,BQ$164,1,1,"Confirmed Trend")))</f>
        <v>0.18815288829999999</v>
      </c>
      <c r="BR180" s="18" cm="1">
        <f t="array" aca="1" ref="BR180" ca="1">IF(INDIRECT(ADDRESS($B180+1,BR$164,1,1,"Confirmed Trend"))=0,#N/A,INDIRECT(ADDRESS($B180+1,BR$164,1,1,"Confirmed Trend")))</f>
        <v>0.19791809899999999</v>
      </c>
      <c r="BS180" s="18" cm="1">
        <f t="array" aca="1" ref="BS180" ca="1">IF(INDIRECT(ADDRESS($B180+1,BS$164,1,1,"Confirmed Trend"))=0,#N/A,INDIRECT(ADDRESS($B180+1,BS$164,1,1,"Confirmed Trend")))</f>
        <v>0.20680234459999999</v>
      </c>
      <c r="BT180" s="18" cm="1">
        <f t="array" aca="1" ref="BT180" ca="1">IF(INDIRECT(ADDRESS($B180+1,BT$164,1,1,"Confirmed Trend"))=0,#N/A,INDIRECT(ADDRESS($B180+1,BT$164,1,1,"Confirmed Trend")))</f>
        <v>0.2050778496</v>
      </c>
      <c r="BU180" s="18" cm="1">
        <f t="array" aca="1" ref="BU180" ca="1">IF(INDIRECT(ADDRESS($B180+1,BU$164,1,1,"Confirmed Trend"))=0,#N/A,INDIRECT(ADDRESS($B180+1,BU$164,1,1,"Confirmed Trend")))</f>
        <v>0.1903433273</v>
      </c>
      <c r="BV180" s="18" cm="1">
        <f t="array" aca="1" ref="BV180" ca="1">IF(INDIRECT(ADDRESS($B180+1,BV$164,1,1,"Confirmed Trend"))=0,#N/A,INDIRECT(ADDRESS($B180+1,BV$164,1,1,"Confirmed Trend")))</f>
        <v>0.13415633639999999</v>
      </c>
    </row>
    <row r="181" spans="2:74" x14ac:dyDescent="0.25">
      <c r="B181">
        <f t="shared" si="132"/>
        <v>16</v>
      </c>
      <c r="C181" cm="1">
        <f t="array" aca="1" ref="C181" ca="1">INDIRECT(ADDRESS($B181+1,1,1,1,"Confirmed Trend"))</f>
        <v>0</v>
      </c>
      <c r="E181" s="18" t="e" cm="1">
        <f t="array" aca="1" ref="E181" ca="1">IF(INDIRECT(ADDRESS($B181+1,E$164,1,1,"Confirmed Trend"))=0,#N/A,INDIRECT(ADDRESS($B181+1,E$164,1,1,"Confirmed Trend")))</f>
        <v>#N/A</v>
      </c>
      <c r="F181" s="18" t="e" cm="1">
        <f t="array" aca="1" ref="F181" ca="1">IF(INDIRECT(ADDRESS($B181+1,F$164,1,1,"Confirmed Trend"))=0,#N/A,INDIRECT(ADDRESS($B181+1,F$164,1,1,"Confirmed Trend")))</f>
        <v>#N/A</v>
      </c>
      <c r="G181" s="18" t="e" cm="1">
        <f t="array" aca="1" ref="G181" ca="1">IF(INDIRECT(ADDRESS($B181+1,G$164,1,1,"Confirmed Trend"))=0,#N/A,INDIRECT(ADDRESS($B181+1,G$164,1,1,"Confirmed Trend")))</f>
        <v>#N/A</v>
      </c>
      <c r="H181" s="18" t="e" cm="1">
        <f t="array" aca="1" ref="H181" ca="1">IF(INDIRECT(ADDRESS($B181+1,H$164,1,1,"Confirmed Trend"))=0,#N/A,INDIRECT(ADDRESS($B181+1,H$164,1,1,"Confirmed Trend")))</f>
        <v>#N/A</v>
      </c>
      <c r="I181" s="18" t="e" cm="1">
        <f t="array" aca="1" ref="I181" ca="1">IF(INDIRECT(ADDRESS($B181+1,I$164,1,1,"Confirmed Trend"))=0,#N/A,INDIRECT(ADDRESS($B181+1,I$164,1,1,"Confirmed Trend")))</f>
        <v>#N/A</v>
      </c>
      <c r="J181" s="18" t="e" cm="1">
        <f t="array" aca="1" ref="J181" ca="1">IF(INDIRECT(ADDRESS($B181+1,J$164,1,1,"Confirmed Trend"))=0,#N/A,INDIRECT(ADDRESS($B181+1,J$164,1,1,"Confirmed Trend")))</f>
        <v>#N/A</v>
      </c>
      <c r="K181" s="18" t="e" cm="1">
        <f t="array" aca="1" ref="K181" ca="1">IF(INDIRECT(ADDRESS($B181+1,K$164,1,1,"Confirmed Trend"))=0,#N/A,INDIRECT(ADDRESS($B181+1,K$164,1,1,"Confirmed Trend")))</f>
        <v>#N/A</v>
      </c>
      <c r="L181" s="18" t="e" cm="1">
        <f t="array" aca="1" ref="L181" ca="1">IF(INDIRECT(ADDRESS($B181+1,L$164,1,1,"Confirmed Trend"))=0,#N/A,INDIRECT(ADDRESS($B181+1,L$164,1,1,"Confirmed Trend")))</f>
        <v>#N/A</v>
      </c>
      <c r="M181" s="18" t="e" cm="1">
        <f t="array" aca="1" ref="M181" ca="1">IF(INDIRECT(ADDRESS($B181+1,M$164,1,1,"Confirmed Trend"))=0,#N/A,INDIRECT(ADDRESS($B181+1,M$164,1,1,"Confirmed Trend")))</f>
        <v>#N/A</v>
      </c>
      <c r="N181" s="18" t="e" cm="1">
        <f t="array" aca="1" ref="N181" ca="1">IF(INDIRECT(ADDRESS($B181+1,N$164,1,1,"Confirmed Trend"))=0,#N/A,INDIRECT(ADDRESS($B181+1,N$164,1,1,"Confirmed Trend")))</f>
        <v>#N/A</v>
      </c>
      <c r="O181" s="18" t="e" cm="1">
        <f t="array" aca="1" ref="O181" ca="1">IF(INDIRECT(ADDRESS($B181+1,O$164,1,1,"Confirmed Trend"))=0,#N/A,INDIRECT(ADDRESS($B181+1,O$164,1,1,"Confirmed Trend")))</f>
        <v>#N/A</v>
      </c>
      <c r="P181" s="18" t="e" cm="1">
        <f t="array" aca="1" ref="P181" ca="1">IF(INDIRECT(ADDRESS($B181+1,P$164,1,1,"Confirmed Trend"))=0,#N/A,INDIRECT(ADDRESS($B181+1,P$164,1,1,"Confirmed Trend")))</f>
        <v>#N/A</v>
      </c>
      <c r="Q181" s="18" t="e" cm="1">
        <f t="array" aca="1" ref="Q181" ca="1">IF(INDIRECT(ADDRESS($B181+1,Q$164,1,1,"Confirmed Trend"))=0,#N/A,INDIRECT(ADDRESS($B181+1,Q$164,1,1,"Confirmed Trend")))</f>
        <v>#N/A</v>
      </c>
      <c r="R181" s="18" t="e" cm="1">
        <f t="array" aca="1" ref="R181" ca="1">IF(INDIRECT(ADDRESS($B181+1,R$164,1,1,"Confirmed Trend"))=0,#N/A,INDIRECT(ADDRESS($B181+1,R$164,1,1,"Confirmed Trend")))</f>
        <v>#N/A</v>
      </c>
      <c r="S181" s="18" t="e" cm="1">
        <f t="array" aca="1" ref="S181" ca="1">IF(INDIRECT(ADDRESS($B181+1,S$164,1,1,"Confirmed Trend"))=0,#N/A,INDIRECT(ADDRESS($B181+1,S$164,1,1,"Confirmed Trend")))</f>
        <v>#N/A</v>
      </c>
      <c r="T181" s="18" t="e" cm="1">
        <f t="array" aca="1" ref="T181" ca="1">IF(INDIRECT(ADDRESS($B181+1,T$164,1,1,"Confirmed Trend"))=0,#N/A,INDIRECT(ADDRESS($B181+1,T$164,1,1,"Confirmed Trend")))</f>
        <v>#N/A</v>
      </c>
      <c r="U181" s="18" t="e" cm="1">
        <f t="array" aca="1" ref="U181" ca="1">IF(INDIRECT(ADDRESS($B181+1,U$164,1,1,"Confirmed Trend"))=0,#N/A,INDIRECT(ADDRESS($B181+1,U$164,1,1,"Confirmed Trend")))</f>
        <v>#N/A</v>
      </c>
      <c r="V181" s="18" t="e" cm="1">
        <f t="array" aca="1" ref="V181" ca="1">IF(INDIRECT(ADDRESS($B181+1,V$164,1,1,"Confirmed Trend"))=0,#N/A,INDIRECT(ADDRESS($B181+1,V$164,1,1,"Confirmed Trend")))</f>
        <v>#N/A</v>
      </c>
      <c r="W181" s="18" t="e" cm="1">
        <f t="array" aca="1" ref="W181" ca="1">IF(INDIRECT(ADDRESS($B181+1,W$164,1,1,"Confirmed Trend"))=0,#N/A,INDIRECT(ADDRESS($B181+1,W$164,1,1,"Confirmed Trend")))</f>
        <v>#N/A</v>
      </c>
      <c r="X181" s="18" t="e" cm="1">
        <f t="array" aca="1" ref="X181" ca="1">IF(INDIRECT(ADDRESS($B181+1,X$164,1,1,"Confirmed Trend"))=0,#N/A,INDIRECT(ADDRESS($B181+1,X$164,1,1,"Confirmed Trend")))</f>
        <v>#N/A</v>
      </c>
      <c r="Y181" s="18" t="e" cm="1">
        <f t="array" aca="1" ref="Y181" ca="1">IF(INDIRECT(ADDRESS($B181+1,Y$164,1,1,"Confirmed Trend"))=0,#N/A,INDIRECT(ADDRESS($B181+1,Y$164,1,1,"Confirmed Trend")))</f>
        <v>#N/A</v>
      </c>
      <c r="Z181" s="18" t="e" cm="1">
        <f t="array" aca="1" ref="Z181" ca="1">IF(INDIRECT(ADDRESS($B181+1,Z$164,1,1,"Confirmed Trend"))=0,#N/A,INDIRECT(ADDRESS($B181+1,Z$164,1,1,"Confirmed Trend")))</f>
        <v>#N/A</v>
      </c>
      <c r="AA181" s="18" t="e" cm="1">
        <f t="array" aca="1" ref="AA181" ca="1">IF(INDIRECT(ADDRESS($B181+1,AA$164,1,1,"Confirmed Trend"))=0,#N/A,INDIRECT(ADDRESS($B181+1,AA$164,1,1,"Confirmed Trend")))</f>
        <v>#N/A</v>
      </c>
      <c r="AB181" s="18" t="e" cm="1">
        <f t="array" aca="1" ref="AB181" ca="1">IF(INDIRECT(ADDRESS($B181+1,AB$164,1,1,"Confirmed Trend"))=0,#N/A,INDIRECT(ADDRESS($B181+1,AB$164,1,1,"Confirmed Trend")))</f>
        <v>#N/A</v>
      </c>
      <c r="AC181" s="18" t="e" cm="1">
        <f t="array" aca="1" ref="AC181" ca="1">IF(INDIRECT(ADDRESS($B181+1,AC$164,1,1,"Confirmed Trend"))=0,#N/A,INDIRECT(ADDRESS($B181+1,AC$164,1,1,"Confirmed Trend")))</f>
        <v>#N/A</v>
      </c>
      <c r="AD181" s="18" t="e" cm="1">
        <f t="array" aca="1" ref="AD181" ca="1">IF(INDIRECT(ADDRESS($B181+1,AD$164,1,1,"Confirmed Trend"))=0,#N/A,INDIRECT(ADDRESS($B181+1,AD$164,1,1,"Confirmed Trend")))</f>
        <v>#N/A</v>
      </c>
      <c r="AE181" s="18" t="e" cm="1">
        <f t="array" aca="1" ref="AE181" ca="1">IF(INDIRECT(ADDRESS($B181+1,AE$164,1,1,"Confirmed Trend"))=0,#N/A,INDIRECT(ADDRESS($B181+1,AE$164,1,1,"Confirmed Trend")))</f>
        <v>#N/A</v>
      </c>
      <c r="AF181" s="18" t="e" cm="1">
        <f t="array" aca="1" ref="AF181" ca="1">IF(INDIRECT(ADDRESS($B181+1,AF$164,1,1,"Confirmed Trend"))=0,#N/A,INDIRECT(ADDRESS($B181+1,AF$164,1,1,"Confirmed Trend")))</f>
        <v>#N/A</v>
      </c>
      <c r="AG181" s="18" t="e" cm="1">
        <f t="array" aca="1" ref="AG181" ca="1">IF(INDIRECT(ADDRESS($B181+1,AG$164,1,1,"Confirmed Trend"))=0,#N/A,INDIRECT(ADDRESS($B181+1,AG$164,1,1,"Confirmed Trend")))</f>
        <v>#N/A</v>
      </c>
      <c r="AH181" s="18" t="e" cm="1">
        <f t="array" aca="1" ref="AH181" ca="1">IF(INDIRECT(ADDRESS($B181+1,AH$164,1,1,"Confirmed Trend"))=0,#N/A,INDIRECT(ADDRESS($B181+1,AH$164,1,1,"Confirmed Trend")))</f>
        <v>#N/A</v>
      </c>
      <c r="AI181" s="18" t="e" cm="1">
        <f t="array" aca="1" ref="AI181" ca="1">IF(INDIRECT(ADDRESS($B181+1,AI$164,1,1,"Confirmed Trend"))=0,#N/A,INDIRECT(ADDRESS($B181+1,AI$164,1,1,"Confirmed Trend")))</f>
        <v>#N/A</v>
      </c>
      <c r="AJ181" s="18" t="e" cm="1">
        <f t="array" aca="1" ref="AJ181" ca="1">IF(INDIRECT(ADDRESS($B181+1,AJ$164,1,1,"Confirmed Trend"))=0,#N/A,INDIRECT(ADDRESS($B181+1,AJ$164,1,1,"Confirmed Trend")))</f>
        <v>#N/A</v>
      </c>
      <c r="AK181" s="18" t="e" cm="1">
        <f t="array" aca="1" ref="AK181" ca="1">IF(INDIRECT(ADDRESS($B181+1,AK$164,1,1,"Confirmed Trend"))=0,#N/A,INDIRECT(ADDRESS($B181+1,AK$164,1,1,"Confirmed Trend")))</f>
        <v>#N/A</v>
      </c>
      <c r="AL181" s="18" t="e" cm="1">
        <f t="array" aca="1" ref="AL181" ca="1">IF(INDIRECT(ADDRESS($B181+1,AL$164,1,1,"Confirmed Trend"))=0,#N/A,INDIRECT(ADDRESS($B181+1,AL$164,1,1,"Confirmed Trend")))</f>
        <v>#N/A</v>
      </c>
      <c r="AM181" s="18" t="e" cm="1">
        <f t="array" aca="1" ref="AM181" ca="1">IF(INDIRECT(ADDRESS($B181+1,AM$164,1,1,"Confirmed Trend"))=0,#N/A,INDIRECT(ADDRESS($B181+1,AM$164,1,1,"Confirmed Trend")))</f>
        <v>#N/A</v>
      </c>
      <c r="AN181" s="18" t="e" cm="1">
        <f t="array" aca="1" ref="AN181" ca="1">IF(INDIRECT(ADDRESS($B181+1,AN$164,1,1,"Confirmed Trend"))=0,#N/A,INDIRECT(ADDRESS($B181+1,AN$164,1,1,"Confirmed Trend")))</f>
        <v>#N/A</v>
      </c>
      <c r="AO181" s="18" t="e" cm="1">
        <f t="array" aca="1" ref="AO181" ca="1">IF(INDIRECT(ADDRESS($B181+1,AO$164,1,1,"Confirmed Trend"))=0,#N/A,INDIRECT(ADDRESS($B181+1,AO$164,1,1,"Confirmed Trend")))</f>
        <v>#N/A</v>
      </c>
      <c r="AP181" s="18" t="e" cm="1">
        <f t="array" aca="1" ref="AP181" ca="1">IF(INDIRECT(ADDRESS($B181+1,AP$164,1,1,"Confirmed Trend"))=0,#N/A,INDIRECT(ADDRESS($B181+1,AP$164,1,1,"Confirmed Trend")))</f>
        <v>#N/A</v>
      </c>
      <c r="AQ181" s="18" t="e" cm="1">
        <f t="array" aca="1" ref="AQ181" ca="1">IF(INDIRECT(ADDRESS($B181+1,AQ$164,1,1,"Confirmed Trend"))=0,#N/A,INDIRECT(ADDRESS($B181+1,AQ$164,1,1,"Confirmed Trend")))</f>
        <v>#N/A</v>
      </c>
      <c r="AR181" s="18" t="e" cm="1">
        <f t="array" aca="1" ref="AR181" ca="1">IF(INDIRECT(ADDRESS($B181+1,AR$164,1,1,"Confirmed Trend"))=0,#N/A,INDIRECT(ADDRESS($B181+1,AR$164,1,1,"Confirmed Trend")))</f>
        <v>#N/A</v>
      </c>
      <c r="AS181" s="18" t="e" cm="1">
        <f t="array" aca="1" ref="AS181" ca="1">IF(INDIRECT(ADDRESS($B181+1,AS$164,1,1,"Confirmed Trend"))=0,#N/A,INDIRECT(ADDRESS($B181+1,AS$164,1,1,"Confirmed Trend")))</f>
        <v>#N/A</v>
      </c>
      <c r="AT181" s="18" t="e" cm="1">
        <f t="array" aca="1" ref="AT181" ca="1">IF(INDIRECT(ADDRESS($B181+1,AT$164,1,1,"Confirmed Trend"))=0,#N/A,INDIRECT(ADDRESS($B181+1,AT$164,1,1,"Confirmed Trend")))</f>
        <v>#N/A</v>
      </c>
      <c r="AU181" s="18" t="e" cm="1">
        <f t="array" aca="1" ref="AU181" ca="1">IF(INDIRECT(ADDRESS($B181+1,AU$164,1,1,"Confirmed Trend"))=0,#N/A,INDIRECT(ADDRESS($B181+1,AU$164,1,1,"Confirmed Trend")))</f>
        <v>#N/A</v>
      </c>
      <c r="AV181" s="18" t="e" cm="1">
        <f t="array" aca="1" ref="AV181" ca="1">IF(INDIRECT(ADDRESS($B181+1,AV$164,1,1,"Confirmed Trend"))=0,#N/A,INDIRECT(ADDRESS($B181+1,AV$164,1,1,"Confirmed Trend")))</f>
        <v>#N/A</v>
      </c>
      <c r="AW181" s="18" t="e" cm="1">
        <f t="array" aca="1" ref="AW181" ca="1">IF(INDIRECT(ADDRESS($B181+1,AW$164,1,1,"Confirmed Trend"))=0,#N/A,INDIRECT(ADDRESS($B181+1,AW$164,1,1,"Confirmed Trend")))</f>
        <v>#N/A</v>
      </c>
      <c r="AX181" s="18" t="e" cm="1">
        <f t="array" aca="1" ref="AX181" ca="1">IF(INDIRECT(ADDRESS($B181+1,AX$164,1,1,"Confirmed Trend"))=0,#N/A,INDIRECT(ADDRESS($B181+1,AX$164,1,1,"Confirmed Trend")))</f>
        <v>#N/A</v>
      </c>
      <c r="AY181" s="18" t="e" cm="1">
        <f t="array" aca="1" ref="AY181" ca="1">IF(INDIRECT(ADDRESS($B181+1,AY$164,1,1,"Confirmed Trend"))=0,#N/A,INDIRECT(ADDRESS($B181+1,AY$164,1,1,"Confirmed Trend")))</f>
        <v>#N/A</v>
      </c>
      <c r="AZ181" s="18" t="e" cm="1">
        <f t="array" aca="1" ref="AZ181" ca="1">IF(INDIRECT(ADDRESS($B181+1,AZ$164,1,1,"Confirmed Trend"))=0,#N/A,INDIRECT(ADDRESS($B181+1,AZ$164,1,1,"Confirmed Trend")))</f>
        <v>#N/A</v>
      </c>
      <c r="BA181" s="18" t="e" cm="1">
        <f t="array" aca="1" ref="BA181" ca="1">IF(INDIRECT(ADDRESS($B181+1,BA$164,1,1,"Confirmed Trend"))=0,#N/A,INDIRECT(ADDRESS($B181+1,BA$164,1,1,"Confirmed Trend")))</f>
        <v>#N/A</v>
      </c>
      <c r="BB181" s="18" t="e" cm="1">
        <f t="array" aca="1" ref="BB181" ca="1">IF(INDIRECT(ADDRESS($B181+1,BB$164,1,1,"Confirmed Trend"))=0,#N/A,INDIRECT(ADDRESS($B181+1,BB$164,1,1,"Confirmed Trend")))</f>
        <v>#N/A</v>
      </c>
      <c r="BC181" s="18" t="e" cm="1">
        <f t="array" aca="1" ref="BC181" ca="1">IF(INDIRECT(ADDRESS($B181+1,BC$164,1,1,"Confirmed Trend"))=0,#N/A,INDIRECT(ADDRESS($B181+1,BC$164,1,1,"Confirmed Trend")))</f>
        <v>#N/A</v>
      </c>
      <c r="BD181" s="18" t="e" cm="1">
        <f t="array" aca="1" ref="BD181" ca="1">IF(INDIRECT(ADDRESS($B181+1,BD$164,1,1,"Confirmed Trend"))=0,#N/A,INDIRECT(ADDRESS($B181+1,BD$164,1,1,"Confirmed Trend")))</f>
        <v>#N/A</v>
      </c>
      <c r="BE181" s="18" t="e" cm="1">
        <f t="array" aca="1" ref="BE181" ca="1">IF(INDIRECT(ADDRESS($B181+1,BE$164,1,1,"Confirmed Trend"))=0,#N/A,INDIRECT(ADDRESS($B181+1,BE$164,1,1,"Confirmed Trend")))</f>
        <v>#N/A</v>
      </c>
      <c r="BF181" s="18" t="e" cm="1">
        <f t="array" aca="1" ref="BF181" ca="1">IF(INDIRECT(ADDRESS($B181+1,BF$164,1,1,"Confirmed Trend"))=0,#N/A,INDIRECT(ADDRESS($B181+1,BF$164,1,1,"Confirmed Trend")))</f>
        <v>#N/A</v>
      </c>
      <c r="BG181" s="18" t="e" cm="1">
        <f t="array" aca="1" ref="BG181" ca="1">IF(INDIRECT(ADDRESS($B181+1,BG$164,1,1,"Confirmed Trend"))=0,#N/A,INDIRECT(ADDRESS($B181+1,BG$164,1,1,"Confirmed Trend")))</f>
        <v>#N/A</v>
      </c>
      <c r="BH181" s="18" t="e" cm="1">
        <f t="array" aca="1" ref="BH181" ca="1">IF(INDIRECT(ADDRESS($B181+1,BH$164,1,1,"Confirmed Trend"))=0,#N/A,INDIRECT(ADDRESS($B181+1,BH$164,1,1,"Confirmed Trend")))</f>
        <v>#N/A</v>
      </c>
      <c r="BI181" s="18" t="e" cm="1">
        <f t="array" aca="1" ref="BI181" ca="1">IF(INDIRECT(ADDRESS($B181+1,BI$164,1,1,"Confirmed Trend"))=0,#N/A,INDIRECT(ADDRESS($B181+1,BI$164,1,1,"Confirmed Trend")))</f>
        <v>#N/A</v>
      </c>
      <c r="BJ181" s="18" t="e" cm="1">
        <f t="array" aca="1" ref="BJ181" ca="1">IF(INDIRECT(ADDRESS($B181+1,BJ$164,1,1,"Confirmed Trend"))=0,#N/A,INDIRECT(ADDRESS($B181+1,BJ$164,1,1,"Confirmed Trend")))</f>
        <v>#N/A</v>
      </c>
      <c r="BK181" s="18" t="e" cm="1">
        <f t="array" aca="1" ref="BK181" ca="1">IF(INDIRECT(ADDRESS($B181+1,BK$164,1,1,"Confirmed Trend"))=0,#N/A,INDIRECT(ADDRESS($B181+1,BK$164,1,1,"Confirmed Trend")))</f>
        <v>#N/A</v>
      </c>
      <c r="BL181" s="18" t="e" cm="1">
        <f t="array" aca="1" ref="BL181" ca="1">IF(INDIRECT(ADDRESS($B181+1,BL$164,1,1,"Confirmed Trend"))=0,#N/A,INDIRECT(ADDRESS($B181+1,BL$164,1,1,"Confirmed Trend")))</f>
        <v>#N/A</v>
      </c>
      <c r="BM181" s="18" t="e" cm="1">
        <f t="array" aca="1" ref="BM181" ca="1">IF(INDIRECT(ADDRESS($B181+1,BM$164,1,1,"Confirmed Trend"))=0,#N/A,INDIRECT(ADDRESS($B181+1,BM$164,1,1,"Confirmed Trend")))</f>
        <v>#N/A</v>
      </c>
      <c r="BN181" s="18" t="e" cm="1">
        <f t="array" aca="1" ref="BN181" ca="1">IF(INDIRECT(ADDRESS($B181+1,BN$164,1,1,"Confirmed Trend"))=0,#N/A,INDIRECT(ADDRESS($B181+1,BN$164,1,1,"Confirmed Trend")))</f>
        <v>#N/A</v>
      </c>
      <c r="BO181" s="18" t="e" cm="1">
        <f t="array" aca="1" ref="BO181" ca="1">IF(INDIRECT(ADDRESS($B181+1,BO$164,1,1,"Confirmed Trend"))=0,#N/A,INDIRECT(ADDRESS($B181+1,BO$164,1,1,"Confirmed Trend")))</f>
        <v>#N/A</v>
      </c>
      <c r="BP181" s="18" t="e" cm="1">
        <f t="array" aca="1" ref="BP181" ca="1">IF(INDIRECT(ADDRESS($B181+1,BP$164,1,1,"Confirmed Trend"))=0,#N/A,INDIRECT(ADDRESS($B181+1,BP$164,1,1,"Confirmed Trend")))</f>
        <v>#N/A</v>
      </c>
      <c r="BQ181" s="18" t="e" cm="1">
        <f t="array" aca="1" ref="BQ181" ca="1">IF(INDIRECT(ADDRESS($B181+1,BQ$164,1,1,"Confirmed Trend"))=0,#N/A,INDIRECT(ADDRESS($B181+1,BQ$164,1,1,"Confirmed Trend")))</f>
        <v>#N/A</v>
      </c>
      <c r="BR181" s="18" t="e" cm="1">
        <f t="array" aca="1" ref="BR181" ca="1">IF(INDIRECT(ADDRESS($B181+1,BR$164,1,1,"Confirmed Trend"))=0,#N/A,INDIRECT(ADDRESS($B181+1,BR$164,1,1,"Confirmed Trend")))</f>
        <v>#N/A</v>
      </c>
      <c r="BS181" s="18" t="e" cm="1">
        <f t="array" aca="1" ref="BS181" ca="1">IF(INDIRECT(ADDRESS($B181+1,BS$164,1,1,"Confirmed Trend"))=0,#N/A,INDIRECT(ADDRESS($B181+1,BS$164,1,1,"Confirmed Trend")))</f>
        <v>#N/A</v>
      </c>
      <c r="BT181" s="18" t="e" cm="1">
        <f t="array" aca="1" ref="BT181" ca="1">IF(INDIRECT(ADDRESS($B181+1,BT$164,1,1,"Confirmed Trend"))=0,#N/A,INDIRECT(ADDRESS($B181+1,BT$164,1,1,"Confirmed Trend")))</f>
        <v>#N/A</v>
      </c>
      <c r="BU181" s="18" t="e" cm="1">
        <f t="array" aca="1" ref="BU181" ca="1">IF(INDIRECT(ADDRESS($B181+1,BU$164,1,1,"Confirmed Trend"))=0,#N/A,INDIRECT(ADDRESS($B181+1,BU$164,1,1,"Confirmed Trend")))</f>
        <v>#N/A</v>
      </c>
      <c r="BV181" s="18" t="e" cm="1">
        <f t="array" aca="1" ref="BV181" ca="1">IF(INDIRECT(ADDRESS($B181+1,BV$164,1,1,"Confirmed Trend"))=0,#N/A,INDIRECT(ADDRESS($B181+1,BV$164,1,1,"Confirmed Trend")))</f>
        <v>#N/A</v>
      </c>
    </row>
    <row r="182" spans="2:74" x14ac:dyDescent="0.25">
      <c r="B182">
        <f t="shared" si="132"/>
        <v>17</v>
      </c>
      <c r="C182" cm="1">
        <f t="array" aca="1" ref="C182" ca="1">INDIRECT(ADDRESS($B182+1,1,1,1,"Confirmed Trend"))</f>
        <v>0</v>
      </c>
      <c r="E182" s="18" t="e" cm="1">
        <f t="array" aca="1" ref="E182" ca="1">IF(INDIRECT(ADDRESS($B182+1,E$164,1,1,"Confirmed Trend"))=0,#N/A,INDIRECT(ADDRESS($B182+1,E$164,1,1,"Confirmed Trend")))</f>
        <v>#N/A</v>
      </c>
      <c r="F182" s="18" t="e" cm="1">
        <f t="array" aca="1" ref="F182" ca="1">IF(INDIRECT(ADDRESS($B182+1,F$164,1,1,"Confirmed Trend"))=0,#N/A,INDIRECT(ADDRESS($B182+1,F$164,1,1,"Confirmed Trend")))</f>
        <v>#N/A</v>
      </c>
      <c r="G182" s="18" t="e" cm="1">
        <f t="array" aca="1" ref="G182" ca="1">IF(INDIRECT(ADDRESS($B182+1,G$164,1,1,"Confirmed Trend"))=0,#N/A,INDIRECT(ADDRESS($B182+1,G$164,1,1,"Confirmed Trend")))</f>
        <v>#N/A</v>
      </c>
      <c r="H182" s="18" t="e" cm="1">
        <f t="array" aca="1" ref="H182" ca="1">IF(INDIRECT(ADDRESS($B182+1,H$164,1,1,"Confirmed Trend"))=0,#N/A,INDIRECT(ADDRESS($B182+1,H$164,1,1,"Confirmed Trend")))</f>
        <v>#N/A</v>
      </c>
      <c r="I182" s="18" t="e" cm="1">
        <f t="array" aca="1" ref="I182" ca="1">IF(INDIRECT(ADDRESS($B182+1,I$164,1,1,"Confirmed Trend"))=0,#N/A,INDIRECT(ADDRESS($B182+1,I$164,1,1,"Confirmed Trend")))</f>
        <v>#N/A</v>
      </c>
      <c r="J182" s="18" t="e" cm="1">
        <f t="array" aca="1" ref="J182" ca="1">IF(INDIRECT(ADDRESS($B182+1,J$164,1,1,"Confirmed Trend"))=0,#N/A,INDIRECT(ADDRESS($B182+1,J$164,1,1,"Confirmed Trend")))</f>
        <v>#N/A</v>
      </c>
      <c r="K182" s="18" t="e" cm="1">
        <f t="array" aca="1" ref="K182" ca="1">IF(INDIRECT(ADDRESS($B182+1,K$164,1,1,"Confirmed Trend"))=0,#N/A,INDIRECT(ADDRESS($B182+1,K$164,1,1,"Confirmed Trend")))</f>
        <v>#N/A</v>
      </c>
      <c r="L182" s="18" t="e" cm="1">
        <f t="array" aca="1" ref="L182" ca="1">IF(INDIRECT(ADDRESS($B182+1,L$164,1,1,"Confirmed Trend"))=0,#N/A,INDIRECT(ADDRESS($B182+1,L$164,1,1,"Confirmed Trend")))</f>
        <v>#N/A</v>
      </c>
      <c r="M182" s="18" t="e" cm="1">
        <f t="array" aca="1" ref="M182" ca="1">IF(INDIRECT(ADDRESS($B182+1,M$164,1,1,"Confirmed Trend"))=0,#N/A,INDIRECT(ADDRESS($B182+1,M$164,1,1,"Confirmed Trend")))</f>
        <v>#N/A</v>
      </c>
      <c r="N182" s="18" t="e" cm="1">
        <f t="array" aca="1" ref="N182" ca="1">IF(INDIRECT(ADDRESS($B182+1,N$164,1,1,"Confirmed Trend"))=0,#N/A,INDIRECT(ADDRESS($B182+1,N$164,1,1,"Confirmed Trend")))</f>
        <v>#N/A</v>
      </c>
      <c r="O182" s="18" t="e" cm="1">
        <f t="array" aca="1" ref="O182" ca="1">IF(INDIRECT(ADDRESS($B182+1,O$164,1,1,"Confirmed Trend"))=0,#N/A,INDIRECT(ADDRESS($B182+1,O$164,1,1,"Confirmed Trend")))</f>
        <v>#N/A</v>
      </c>
      <c r="P182" s="18" t="e" cm="1">
        <f t="array" aca="1" ref="P182" ca="1">IF(INDIRECT(ADDRESS($B182+1,P$164,1,1,"Confirmed Trend"))=0,#N/A,INDIRECT(ADDRESS($B182+1,P$164,1,1,"Confirmed Trend")))</f>
        <v>#N/A</v>
      </c>
      <c r="Q182" s="18" t="e" cm="1">
        <f t="array" aca="1" ref="Q182" ca="1">IF(INDIRECT(ADDRESS($B182+1,Q$164,1,1,"Confirmed Trend"))=0,#N/A,INDIRECT(ADDRESS($B182+1,Q$164,1,1,"Confirmed Trend")))</f>
        <v>#N/A</v>
      </c>
      <c r="R182" s="18" t="e" cm="1">
        <f t="array" aca="1" ref="R182" ca="1">IF(INDIRECT(ADDRESS($B182+1,R$164,1,1,"Confirmed Trend"))=0,#N/A,INDIRECT(ADDRESS($B182+1,R$164,1,1,"Confirmed Trend")))</f>
        <v>#N/A</v>
      </c>
      <c r="S182" s="18" t="e" cm="1">
        <f t="array" aca="1" ref="S182" ca="1">IF(INDIRECT(ADDRESS($B182+1,S$164,1,1,"Confirmed Trend"))=0,#N/A,INDIRECT(ADDRESS($B182+1,S$164,1,1,"Confirmed Trend")))</f>
        <v>#N/A</v>
      </c>
      <c r="T182" s="18" t="e" cm="1">
        <f t="array" aca="1" ref="T182" ca="1">IF(INDIRECT(ADDRESS($B182+1,T$164,1,1,"Confirmed Trend"))=0,#N/A,INDIRECT(ADDRESS($B182+1,T$164,1,1,"Confirmed Trend")))</f>
        <v>#N/A</v>
      </c>
      <c r="U182" s="18" t="e" cm="1">
        <f t="array" aca="1" ref="U182" ca="1">IF(INDIRECT(ADDRESS($B182+1,U$164,1,1,"Confirmed Trend"))=0,#N/A,INDIRECT(ADDRESS($B182+1,U$164,1,1,"Confirmed Trend")))</f>
        <v>#N/A</v>
      </c>
      <c r="V182" s="18" t="e" cm="1">
        <f t="array" aca="1" ref="V182" ca="1">IF(INDIRECT(ADDRESS($B182+1,V$164,1,1,"Confirmed Trend"))=0,#N/A,INDIRECT(ADDRESS($B182+1,V$164,1,1,"Confirmed Trend")))</f>
        <v>#N/A</v>
      </c>
      <c r="W182" s="18" t="e" cm="1">
        <f t="array" aca="1" ref="W182" ca="1">IF(INDIRECT(ADDRESS($B182+1,W$164,1,1,"Confirmed Trend"))=0,#N/A,INDIRECT(ADDRESS($B182+1,W$164,1,1,"Confirmed Trend")))</f>
        <v>#N/A</v>
      </c>
      <c r="X182" s="18" t="e" cm="1">
        <f t="array" aca="1" ref="X182" ca="1">IF(INDIRECT(ADDRESS($B182+1,X$164,1,1,"Confirmed Trend"))=0,#N/A,INDIRECT(ADDRESS($B182+1,X$164,1,1,"Confirmed Trend")))</f>
        <v>#N/A</v>
      </c>
      <c r="Y182" s="18" t="e" cm="1">
        <f t="array" aca="1" ref="Y182" ca="1">IF(INDIRECT(ADDRESS($B182+1,Y$164,1,1,"Confirmed Trend"))=0,#N/A,INDIRECT(ADDRESS($B182+1,Y$164,1,1,"Confirmed Trend")))</f>
        <v>#N/A</v>
      </c>
      <c r="Z182" s="18" t="e" cm="1">
        <f t="array" aca="1" ref="Z182" ca="1">IF(INDIRECT(ADDRESS($B182+1,Z$164,1,1,"Confirmed Trend"))=0,#N/A,INDIRECT(ADDRESS($B182+1,Z$164,1,1,"Confirmed Trend")))</f>
        <v>#N/A</v>
      </c>
      <c r="AA182" s="18" t="e" cm="1">
        <f t="array" aca="1" ref="AA182" ca="1">IF(INDIRECT(ADDRESS($B182+1,AA$164,1,1,"Confirmed Trend"))=0,#N/A,INDIRECT(ADDRESS($B182+1,AA$164,1,1,"Confirmed Trend")))</f>
        <v>#N/A</v>
      </c>
      <c r="AB182" s="18" t="e" cm="1">
        <f t="array" aca="1" ref="AB182" ca="1">IF(INDIRECT(ADDRESS($B182+1,AB$164,1,1,"Confirmed Trend"))=0,#N/A,INDIRECT(ADDRESS($B182+1,AB$164,1,1,"Confirmed Trend")))</f>
        <v>#N/A</v>
      </c>
      <c r="AC182" s="18" t="e" cm="1">
        <f t="array" aca="1" ref="AC182" ca="1">IF(INDIRECT(ADDRESS($B182+1,AC$164,1,1,"Confirmed Trend"))=0,#N/A,INDIRECT(ADDRESS($B182+1,AC$164,1,1,"Confirmed Trend")))</f>
        <v>#N/A</v>
      </c>
      <c r="AD182" s="18" t="e" cm="1">
        <f t="array" aca="1" ref="AD182" ca="1">IF(INDIRECT(ADDRESS($B182+1,AD$164,1,1,"Confirmed Trend"))=0,#N/A,INDIRECT(ADDRESS($B182+1,AD$164,1,1,"Confirmed Trend")))</f>
        <v>#N/A</v>
      </c>
      <c r="AE182" s="18" t="e" cm="1">
        <f t="array" aca="1" ref="AE182" ca="1">IF(INDIRECT(ADDRESS($B182+1,AE$164,1,1,"Confirmed Trend"))=0,#N/A,INDIRECT(ADDRESS($B182+1,AE$164,1,1,"Confirmed Trend")))</f>
        <v>#N/A</v>
      </c>
      <c r="AF182" s="18" t="e" cm="1">
        <f t="array" aca="1" ref="AF182" ca="1">IF(INDIRECT(ADDRESS($B182+1,AF$164,1,1,"Confirmed Trend"))=0,#N/A,INDIRECT(ADDRESS($B182+1,AF$164,1,1,"Confirmed Trend")))</f>
        <v>#N/A</v>
      </c>
      <c r="AG182" s="18" t="e" cm="1">
        <f t="array" aca="1" ref="AG182" ca="1">IF(INDIRECT(ADDRESS($B182+1,AG$164,1,1,"Confirmed Trend"))=0,#N/A,INDIRECT(ADDRESS($B182+1,AG$164,1,1,"Confirmed Trend")))</f>
        <v>#N/A</v>
      </c>
      <c r="AH182" s="18" t="e" cm="1">
        <f t="array" aca="1" ref="AH182" ca="1">IF(INDIRECT(ADDRESS($B182+1,AH$164,1,1,"Confirmed Trend"))=0,#N/A,INDIRECT(ADDRESS($B182+1,AH$164,1,1,"Confirmed Trend")))</f>
        <v>#N/A</v>
      </c>
      <c r="AI182" s="18" t="e" cm="1">
        <f t="array" aca="1" ref="AI182" ca="1">IF(INDIRECT(ADDRESS($B182+1,AI$164,1,1,"Confirmed Trend"))=0,#N/A,INDIRECT(ADDRESS($B182+1,AI$164,1,1,"Confirmed Trend")))</f>
        <v>#N/A</v>
      </c>
      <c r="AJ182" s="18" t="e" cm="1">
        <f t="array" aca="1" ref="AJ182" ca="1">IF(INDIRECT(ADDRESS($B182+1,AJ$164,1,1,"Confirmed Trend"))=0,#N/A,INDIRECT(ADDRESS($B182+1,AJ$164,1,1,"Confirmed Trend")))</f>
        <v>#N/A</v>
      </c>
      <c r="AK182" s="18" t="e" cm="1">
        <f t="array" aca="1" ref="AK182" ca="1">IF(INDIRECT(ADDRESS($B182+1,AK$164,1,1,"Confirmed Trend"))=0,#N/A,INDIRECT(ADDRESS($B182+1,AK$164,1,1,"Confirmed Trend")))</f>
        <v>#N/A</v>
      </c>
      <c r="AL182" s="18" t="e" cm="1">
        <f t="array" aca="1" ref="AL182" ca="1">IF(INDIRECT(ADDRESS($B182+1,AL$164,1,1,"Confirmed Trend"))=0,#N/A,INDIRECT(ADDRESS($B182+1,AL$164,1,1,"Confirmed Trend")))</f>
        <v>#N/A</v>
      </c>
      <c r="AM182" s="18" t="e" cm="1">
        <f t="array" aca="1" ref="AM182" ca="1">IF(INDIRECT(ADDRESS($B182+1,AM$164,1,1,"Confirmed Trend"))=0,#N/A,INDIRECT(ADDRESS($B182+1,AM$164,1,1,"Confirmed Trend")))</f>
        <v>#N/A</v>
      </c>
      <c r="AN182" s="18" t="e" cm="1">
        <f t="array" aca="1" ref="AN182" ca="1">IF(INDIRECT(ADDRESS($B182+1,AN$164,1,1,"Confirmed Trend"))=0,#N/A,INDIRECT(ADDRESS($B182+1,AN$164,1,1,"Confirmed Trend")))</f>
        <v>#N/A</v>
      </c>
      <c r="AO182" s="18" t="e" cm="1">
        <f t="array" aca="1" ref="AO182" ca="1">IF(INDIRECT(ADDRESS($B182+1,AO$164,1,1,"Confirmed Trend"))=0,#N/A,INDIRECT(ADDRESS($B182+1,AO$164,1,1,"Confirmed Trend")))</f>
        <v>#N/A</v>
      </c>
      <c r="AP182" s="18" t="e" cm="1">
        <f t="array" aca="1" ref="AP182" ca="1">IF(INDIRECT(ADDRESS($B182+1,AP$164,1,1,"Confirmed Trend"))=0,#N/A,INDIRECT(ADDRESS($B182+1,AP$164,1,1,"Confirmed Trend")))</f>
        <v>#N/A</v>
      </c>
      <c r="AQ182" s="18" t="e" cm="1">
        <f t="array" aca="1" ref="AQ182" ca="1">IF(INDIRECT(ADDRESS($B182+1,AQ$164,1,1,"Confirmed Trend"))=0,#N/A,INDIRECT(ADDRESS($B182+1,AQ$164,1,1,"Confirmed Trend")))</f>
        <v>#N/A</v>
      </c>
      <c r="AR182" s="18" t="e" cm="1">
        <f t="array" aca="1" ref="AR182" ca="1">IF(INDIRECT(ADDRESS($B182+1,AR$164,1,1,"Confirmed Trend"))=0,#N/A,INDIRECT(ADDRESS($B182+1,AR$164,1,1,"Confirmed Trend")))</f>
        <v>#N/A</v>
      </c>
      <c r="AS182" s="18" t="e" cm="1">
        <f t="array" aca="1" ref="AS182" ca="1">IF(INDIRECT(ADDRESS($B182+1,AS$164,1,1,"Confirmed Trend"))=0,#N/A,INDIRECT(ADDRESS($B182+1,AS$164,1,1,"Confirmed Trend")))</f>
        <v>#N/A</v>
      </c>
      <c r="AT182" s="18" t="e" cm="1">
        <f t="array" aca="1" ref="AT182" ca="1">IF(INDIRECT(ADDRESS($B182+1,AT$164,1,1,"Confirmed Trend"))=0,#N/A,INDIRECT(ADDRESS($B182+1,AT$164,1,1,"Confirmed Trend")))</f>
        <v>#N/A</v>
      </c>
      <c r="AU182" s="18" t="e" cm="1">
        <f t="array" aca="1" ref="AU182" ca="1">IF(INDIRECT(ADDRESS($B182+1,AU$164,1,1,"Confirmed Trend"))=0,#N/A,INDIRECT(ADDRESS($B182+1,AU$164,1,1,"Confirmed Trend")))</f>
        <v>#N/A</v>
      </c>
      <c r="AV182" s="18" t="e" cm="1">
        <f t="array" aca="1" ref="AV182" ca="1">IF(INDIRECT(ADDRESS($B182+1,AV$164,1,1,"Confirmed Trend"))=0,#N/A,INDIRECT(ADDRESS($B182+1,AV$164,1,1,"Confirmed Trend")))</f>
        <v>#N/A</v>
      </c>
      <c r="AW182" s="18" t="e" cm="1">
        <f t="array" aca="1" ref="AW182" ca="1">IF(INDIRECT(ADDRESS($B182+1,AW$164,1,1,"Confirmed Trend"))=0,#N/A,INDIRECT(ADDRESS($B182+1,AW$164,1,1,"Confirmed Trend")))</f>
        <v>#N/A</v>
      </c>
      <c r="AX182" s="18" t="e" cm="1">
        <f t="array" aca="1" ref="AX182" ca="1">IF(INDIRECT(ADDRESS($B182+1,AX$164,1,1,"Confirmed Trend"))=0,#N/A,INDIRECT(ADDRESS($B182+1,AX$164,1,1,"Confirmed Trend")))</f>
        <v>#N/A</v>
      </c>
      <c r="AY182" s="18" t="e" cm="1">
        <f t="array" aca="1" ref="AY182" ca="1">IF(INDIRECT(ADDRESS($B182+1,AY$164,1,1,"Confirmed Trend"))=0,#N/A,INDIRECT(ADDRESS($B182+1,AY$164,1,1,"Confirmed Trend")))</f>
        <v>#N/A</v>
      </c>
      <c r="AZ182" s="18" t="e" cm="1">
        <f t="array" aca="1" ref="AZ182" ca="1">IF(INDIRECT(ADDRESS($B182+1,AZ$164,1,1,"Confirmed Trend"))=0,#N/A,INDIRECT(ADDRESS($B182+1,AZ$164,1,1,"Confirmed Trend")))</f>
        <v>#N/A</v>
      </c>
      <c r="BA182" s="18" t="e" cm="1">
        <f t="array" aca="1" ref="BA182" ca="1">IF(INDIRECT(ADDRESS($B182+1,BA$164,1,1,"Confirmed Trend"))=0,#N/A,INDIRECT(ADDRESS($B182+1,BA$164,1,1,"Confirmed Trend")))</f>
        <v>#N/A</v>
      </c>
      <c r="BB182" s="18" t="e" cm="1">
        <f t="array" aca="1" ref="BB182" ca="1">IF(INDIRECT(ADDRESS($B182+1,BB$164,1,1,"Confirmed Trend"))=0,#N/A,INDIRECT(ADDRESS($B182+1,BB$164,1,1,"Confirmed Trend")))</f>
        <v>#N/A</v>
      </c>
      <c r="BC182" s="18" t="e" cm="1">
        <f t="array" aca="1" ref="BC182" ca="1">IF(INDIRECT(ADDRESS($B182+1,BC$164,1,1,"Confirmed Trend"))=0,#N/A,INDIRECT(ADDRESS($B182+1,BC$164,1,1,"Confirmed Trend")))</f>
        <v>#N/A</v>
      </c>
      <c r="BD182" s="18" t="e" cm="1">
        <f t="array" aca="1" ref="BD182" ca="1">IF(INDIRECT(ADDRESS($B182+1,BD$164,1,1,"Confirmed Trend"))=0,#N/A,INDIRECT(ADDRESS($B182+1,BD$164,1,1,"Confirmed Trend")))</f>
        <v>#N/A</v>
      </c>
      <c r="BE182" s="18" t="e" cm="1">
        <f t="array" aca="1" ref="BE182" ca="1">IF(INDIRECT(ADDRESS($B182+1,BE$164,1,1,"Confirmed Trend"))=0,#N/A,INDIRECT(ADDRESS($B182+1,BE$164,1,1,"Confirmed Trend")))</f>
        <v>#N/A</v>
      </c>
      <c r="BF182" s="18" t="e" cm="1">
        <f t="array" aca="1" ref="BF182" ca="1">IF(INDIRECT(ADDRESS($B182+1,BF$164,1,1,"Confirmed Trend"))=0,#N/A,INDIRECT(ADDRESS($B182+1,BF$164,1,1,"Confirmed Trend")))</f>
        <v>#N/A</v>
      </c>
      <c r="BG182" s="18" t="e" cm="1">
        <f t="array" aca="1" ref="BG182" ca="1">IF(INDIRECT(ADDRESS($B182+1,BG$164,1,1,"Confirmed Trend"))=0,#N/A,INDIRECT(ADDRESS($B182+1,BG$164,1,1,"Confirmed Trend")))</f>
        <v>#N/A</v>
      </c>
      <c r="BH182" s="18" t="e" cm="1">
        <f t="array" aca="1" ref="BH182" ca="1">IF(INDIRECT(ADDRESS($B182+1,BH$164,1,1,"Confirmed Trend"))=0,#N/A,INDIRECT(ADDRESS($B182+1,BH$164,1,1,"Confirmed Trend")))</f>
        <v>#N/A</v>
      </c>
      <c r="BI182" s="18" t="e" cm="1">
        <f t="array" aca="1" ref="BI182" ca="1">IF(INDIRECT(ADDRESS($B182+1,BI$164,1,1,"Confirmed Trend"))=0,#N/A,INDIRECT(ADDRESS($B182+1,BI$164,1,1,"Confirmed Trend")))</f>
        <v>#N/A</v>
      </c>
      <c r="BJ182" s="18" t="e" cm="1">
        <f t="array" aca="1" ref="BJ182" ca="1">IF(INDIRECT(ADDRESS($B182+1,BJ$164,1,1,"Confirmed Trend"))=0,#N/A,INDIRECT(ADDRESS($B182+1,BJ$164,1,1,"Confirmed Trend")))</f>
        <v>#N/A</v>
      </c>
      <c r="BK182" s="18" t="e" cm="1">
        <f t="array" aca="1" ref="BK182" ca="1">IF(INDIRECT(ADDRESS($B182+1,BK$164,1,1,"Confirmed Trend"))=0,#N/A,INDIRECT(ADDRESS($B182+1,BK$164,1,1,"Confirmed Trend")))</f>
        <v>#N/A</v>
      </c>
      <c r="BL182" s="18" t="e" cm="1">
        <f t="array" aca="1" ref="BL182" ca="1">IF(INDIRECT(ADDRESS($B182+1,BL$164,1,1,"Confirmed Trend"))=0,#N/A,INDIRECT(ADDRESS($B182+1,BL$164,1,1,"Confirmed Trend")))</f>
        <v>#N/A</v>
      </c>
      <c r="BM182" s="18" t="e" cm="1">
        <f t="array" aca="1" ref="BM182" ca="1">IF(INDIRECT(ADDRESS($B182+1,BM$164,1,1,"Confirmed Trend"))=0,#N/A,INDIRECT(ADDRESS($B182+1,BM$164,1,1,"Confirmed Trend")))</f>
        <v>#N/A</v>
      </c>
      <c r="BN182" s="18" t="e" cm="1">
        <f t="array" aca="1" ref="BN182" ca="1">IF(INDIRECT(ADDRESS($B182+1,BN$164,1,1,"Confirmed Trend"))=0,#N/A,INDIRECT(ADDRESS($B182+1,BN$164,1,1,"Confirmed Trend")))</f>
        <v>#N/A</v>
      </c>
      <c r="BO182" s="18" t="e" cm="1">
        <f t="array" aca="1" ref="BO182" ca="1">IF(INDIRECT(ADDRESS($B182+1,BO$164,1,1,"Confirmed Trend"))=0,#N/A,INDIRECT(ADDRESS($B182+1,BO$164,1,1,"Confirmed Trend")))</f>
        <v>#N/A</v>
      </c>
      <c r="BP182" s="18" t="e" cm="1">
        <f t="array" aca="1" ref="BP182" ca="1">IF(INDIRECT(ADDRESS($B182+1,BP$164,1,1,"Confirmed Trend"))=0,#N/A,INDIRECT(ADDRESS($B182+1,BP$164,1,1,"Confirmed Trend")))</f>
        <v>#N/A</v>
      </c>
      <c r="BQ182" s="18" t="e" cm="1">
        <f t="array" aca="1" ref="BQ182" ca="1">IF(INDIRECT(ADDRESS($B182+1,BQ$164,1,1,"Confirmed Trend"))=0,#N/A,INDIRECT(ADDRESS($B182+1,BQ$164,1,1,"Confirmed Trend")))</f>
        <v>#N/A</v>
      </c>
      <c r="BR182" s="18" t="e" cm="1">
        <f t="array" aca="1" ref="BR182" ca="1">IF(INDIRECT(ADDRESS($B182+1,BR$164,1,1,"Confirmed Trend"))=0,#N/A,INDIRECT(ADDRESS($B182+1,BR$164,1,1,"Confirmed Trend")))</f>
        <v>#N/A</v>
      </c>
      <c r="BS182" s="18" t="e" cm="1">
        <f t="array" aca="1" ref="BS182" ca="1">IF(INDIRECT(ADDRESS($B182+1,BS$164,1,1,"Confirmed Trend"))=0,#N/A,INDIRECT(ADDRESS($B182+1,BS$164,1,1,"Confirmed Trend")))</f>
        <v>#N/A</v>
      </c>
      <c r="BT182" s="18" t="e" cm="1">
        <f t="array" aca="1" ref="BT182" ca="1">IF(INDIRECT(ADDRESS($B182+1,BT$164,1,1,"Confirmed Trend"))=0,#N/A,INDIRECT(ADDRESS($B182+1,BT$164,1,1,"Confirmed Trend")))</f>
        <v>#N/A</v>
      </c>
      <c r="BU182" s="18" t="e" cm="1">
        <f t="array" aca="1" ref="BU182" ca="1">IF(INDIRECT(ADDRESS($B182+1,BU$164,1,1,"Confirmed Trend"))=0,#N/A,INDIRECT(ADDRESS($B182+1,BU$164,1,1,"Confirmed Trend")))</f>
        <v>#N/A</v>
      </c>
      <c r="BV182" s="18" t="e" cm="1">
        <f t="array" aca="1" ref="BV182" ca="1">IF(INDIRECT(ADDRESS($B182+1,BV$164,1,1,"Confirmed Trend"))=0,#N/A,INDIRECT(ADDRESS($B182+1,BV$164,1,1,"Confirmed Trend")))</f>
        <v>#N/A</v>
      </c>
    </row>
    <row r="183" spans="2:74" x14ac:dyDescent="0.25">
      <c r="B183">
        <f t="shared" si="132"/>
        <v>18</v>
      </c>
      <c r="C183" cm="1">
        <f t="array" aca="1" ref="C183" ca="1">INDIRECT(ADDRESS($B183+1,1,1,1,"Confirmed Trend"))</f>
        <v>0</v>
      </c>
      <c r="E183" s="18" t="e" cm="1">
        <f t="array" aca="1" ref="E183" ca="1">IF(INDIRECT(ADDRESS($B183+1,E$164,1,1,"Confirmed Trend"))=0,#N/A,INDIRECT(ADDRESS($B183+1,E$164,1,1,"Confirmed Trend")))</f>
        <v>#N/A</v>
      </c>
      <c r="F183" s="18" t="e" cm="1">
        <f t="array" aca="1" ref="F183" ca="1">IF(INDIRECT(ADDRESS($B183+1,F$164,1,1,"Confirmed Trend"))=0,#N/A,INDIRECT(ADDRESS($B183+1,F$164,1,1,"Confirmed Trend")))</f>
        <v>#N/A</v>
      </c>
      <c r="G183" s="18" t="e" cm="1">
        <f t="array" aca="1" ref="G183" ca="1">IF(INDIRECT(ADDRESS($B183+1,G$164,1,1,"Confirmed Trend"))=0,#N/A,INDIRECT(ADDRESS($B183+1,G$164,1,1,"Confirmed Trend")))</f>
        <v>#N/A</v>
      </c>
      <c r="H183" s="18" t="e" cm="1">
        <f t="array" aca="1" ref="H183" ca="1">IF(INDIRECT(ADDRESS($B183+1,H$164,1,1,"Confirmed Trend"))=0,#N/A,INDIRECT(ADDRESS($B183+1,H$164,1,1,"Confirmed Trend")))</f>
        <v>#N/A</v>
      </c>
      <c r="I183" s="18" t="e" cm="1">
        <f t="array" aca="1" ref="I183" ca="1">IF(INDIRECT(ADDRESS($B183+1,I$164,1,1,"Confirmed Trend"))=0,#N/A,INDIRECT(ADDRESS($B183+1,I$164,1,1,"Confirmed Trend")))</f>
        <v>#N/A</v>
      </c>
      <c r="J183" s="18" t="e" cm="1">
        <f t="array" aca="1" ref="J183" ca="1">IF(INDIRECT(ADDRESS($B183+1,J$164,1,1,"Confirmed Trend"))=0,#N/A,INDIRECT(ADDRESS($B183+1,J$164,1,1,"Confirmed Trend")))</f>
        <v>#N/A</v>
      </c>
      <c r="K183" s="18" t="e" cm="1">
        <f t="array" aca="1" ref="K183" ca="1">IF(INDIRECT(ADDRESS($B183+1,K$164,1,1,"Confirmed Trend"))=0,#N/A,INDIRECT(ADDRESS($B183+1,K$164,1,1,"Confirmed Trend")))</f>
        <v>#N/A</v>
      </c>
      <c r="L183" s="18" t="e" cm="1">
        <f t="array" aca="1" ref="L183" ca="1">IF(INDIRECT(ADDRESS($B183+1,L$164,1,1,"Confirmed Trend"))=0,#N/A,INDIRECT(ADDRESS($B183+1,L$164,1,1,"Confirmed Trend")))</f>
        <v>#N/A</v>
      </c>
      <c r="M183" s="18" t="e" cm="1">
        <f t="array" aca="1" ref="M183" ca="1">IF(INDIRECT(ADDRESS($B183+1,M$164,1,1,"Confirmed Trend"))=0,#N/A,INDIRECT(ADDRESS($B183+1,M$164,1,1,"Confirmed Trend")))</f>
        <v>#N/A</v>
      </c>
      <c r="N183" s="18" t="e" cm="1">
        <f t="array" aca="1" ref="N183" ca="1">IF(INDIRECT(ADDRESS($B183+1,N$164,1,1,"Confirmed Trend"))=0,#N/A,INDIRECT(ADDRESS($B183+1,N$164,1,1,"Confirmed Trend")))</f>
        <v>#N/A</v>
      </c>
      <c r="O183" s="18" t="e" cm="1">
        <f t="array" aca="1" ref="O183" ca="1">IF(INDIRECT(ADDRESS($B183+1,O$164,1,1,"Confirmed Trend"))=0,#N/A,INDIRECT(ADDRESS($B183+1,O$164,1,1,"Confirmed Trend")))</f>
        <v>#N/A</v>
      </c>
      <c r="P183" s="18" t="e" cm="1">
        <f t="array" aca="1" ref="P183" ca="1">IF(INDIRECT(ADDRESS($B183+1,P$164,1,1,"Confirmed Trend"))=0,#N/A,INDIRECT(ADDRESS($B183+1,P$164,1,1,"Confirmed Trend")))</f>
        <v>#N/A</v>
      </c>
      <c r="Q183" s="18" t="e" cm="1">
        <f t="array" aca="1" ref="Q183" ca="1">IF(INDIRECT(ADDRESS($B183+1,Q$164,1,1,"Confirmed Trend"))=0,#N/A,INDIRECT(ADDRESS($B183+1,Q$164,1,1,"Confirmed Trend")))</f>
        <v>#N/A</v>
      </c>
      <c r="R183" s="18" t="e" cm="1">
        <f t="array" aca="1" ref="R183" ca="1">IF(INDIRECT(ADDRESS($B183+1,R$164,1,1,"Confirmed Trend"))=0,#N/A,INDIRECT(ADDRESS($B183+1,R$164,1,1,"Confirmed Trend")))</f>
        <v>#N/A</v>
      </c>
      <c r="S183" s="18" t="e" cm="1">
        <f t="array" aca="1" ref="S183" ca="1">IF(INDIRECT(ADDRESS($B183+1,S$164,1,1,"Confirmed Trend"))=0,#N/A,INDIRECT(ADDRESS($B183+1,S$164,1,1,"Confirmed Trend")))</f>
        <v>#N/A</v>
      </c>
      <c r="T183" s="18" t="e" cm="1">
        <f t="array" aca="1" ref="T183" ca="1">IF(INDIRECT(ADDRESS($B183+1,T$164,1,1,"Confirmed Trend"))=0,#N/A,INDIRECT(ADDRESS($B183+1,T$164,1,1,"Confirmed Trend")))</f>
        <v>#N/A</v>
      </c>
      <c r="U183" s="18" t="e" cm="1">
        <f t="array" aca="1" ref="U183" ca="1">IF(INDIRECT(ADDRESS($B183+1,U$164,1,1,"Confirmed Trend"))=0,#N/A,INDIRECT(ADDRESS($B183+1,U$164,1,1,"Confirmed Trend")))</f>
        <v>#N/A</v>
      </c>
      <c r="V183" s="18" t="e" cm="1">
        <f t="array" aca="1" ref="V183" ca="1">IF(INDIRECT(ADDRESS($B183+1,V$164,1,1,"Confirmed Trend"))=0,#N/A,INDIRECT(ADDRESS($B183+1,V$164,1,1,"Confirmed Trend")))</f>
        <v>#N/A</v>
      </c>
      <c r="W183" s="18" t="e" cm="1">
        <f t="array" aca="1" ref="W183" ca="1">IF(INDIRECT(ADDRESS($B183+1,W$164,1,1,"Confirmed Trend"))=0,#N/A,INDIRECT(ADDRESS($B183+1,W$164,1,1,"Confirmed Trend")))</f>
        <v>#N/A</v>
      </c>
      <c r="X183" s="18" t="e" cm="1">
        <f t="array" aca="1" ref="X183" ca="1">IF(INDIRECT(ADDRESS($B183+1,X$164,1,1,"Confirmed Trend"))=0,#N/A,INDIRECT(ADDRESS($B183+1,X$164,1,1,"Confirmed Trend")))</f>
        <v>#N/A</v>
      </c>
      <c r="Y183" s="18" t="e" cm="1">
        <f t="array" aca="1" ref="Y183" ca="1">IF(INDIRECT(ADDRESS($B183+1,Y$164,1,1,"Confirmed Trend"))=0,#N/A,INDIRECT(ADDRESS($B183+1,Y$164,1,1,"Confirmed Trend")))</f>
        <v>#N/A</v>
      </c>
      <c r="Z183" s="18" t="e" cm="1">
        <f t="array" aca="1" ref="Z183" ca="1">IF(INDIRECT(ADDRESS($B183+1,Z$164,1,1,"Confirmed Trend"))=0,#N/A,INDIRECT(ADDRESS($B183+1,Z$164,1,1,"Confirmed Trend")))</f>
        <v>#N/A</v>
      </c>
      <c r="AA183" s="18" t="e" cm="1">
        <f t="array" aca="1" ref="AA183" ca="1">IF(INDIRECT(ADDRESS($B183+1,AA$164,1,1,"Confirmed Trend"))=0,#N/A,INDIRECT(ADDRESS($B183+1,AA$164,1,1,"Confirmed Trend")))</f>
        <v>#N/A</v>
      </c>
      <c r="AB183" s="18" t="e" cm="1">
        <f t="array" aca="1" ref="AB183" ca="1">IF(INDIRECT(ADDRESS($B183+1,AB$164,1,1,"Confirmed Trend"))=0,#N/A,INDIRECT(ADDRESS($B183+1,AB$164,1,1,"Confirmed Trend")))</f>
        <v>#N/A</v>
      </c>
      <c r="AC183" s="18" t="e" cm="1">
        <f t="array" aca="1" ref="AC183" ca="1">IF(INDIRECT(ADDRESS($B183+1,AC$164,1,1,"Confirmed Trend"))=0,#N/A,INDIRECT(ADDRESS($B183+1,AC$164,1,1,"Confirmed Trend")))</f>
        <v>#N/A</v>
      </c>
      <c r="AD183" s="18" t="e" cm="1">
        <f t="array" aca="1" ref="AD183" ca="1">IF(INDIRECT(ADDRESS($B183+1,AD$164,1,1,"Confirmed Trend"))=0,#N/A,INDIRECT(ADDRESS($B183+1,AD$164,1,1,"Confirmed Trend")))</f>
        <v>#N/A</v>
      </c>
      <c r="AE183" s="18" t="e" cm="1">
        <f t="array" aca="1" ref="AE183" ca="1">IF(INDIRECT(ADDRESS($B183+1,AE$164,1,1,"Confirmed Trend"))=0,#N/A,INDIRECT(ADDRESS($B183+1,AE$164,1,1,"Confirmed Trend")))</f>
        <v>#N/A</v>
      </c>
      <c r="AF183" s="18" t="e" cm="1">
        <f t="array" aca="1" ref="AF183" ca="1">IF(INDIRECT(ADDRESS($B183+1,AF$164,1,1,"Confirmed Trend"))=0,#N/A,INDIRECT(ADDRESS($B183+1,AF$164,1,1,"Confirmed Trend")))</f>
        <v>#N/A</v>
      </c>
      <c r="AG183" s="18" t="e" cm="1">
        <f t="array" aca="1" ref="AG183" ca="1">IF(INDIRECT(ADDRESS($B183+1,AG$164,1,1,"Confirmed Trend"))=0,#N/A,INDIRECT(ADDRESS($B183+1,AG$164,1,1,"Confirmed Trend")))</f>
        <v>#N/A</v>
      </c>
      <c r="AH183" s="18" t="e" cm="1">
        <f t="array" aca="1" ref="AH183" ca="1">IF(INDIRECT(ADDRESS($B183+1,AH$164,1,1,"Confirmed Trend"))=0,#N/A,INDIRECT(ADDRESS($B183+1,AH$164,1,1,"Confirmed Trend")))</f>
        <v>#N/A</v>
      </c>
      <c r="AI183" s="18" t="e" cm="1">
        <f t="array" aca="1" ref="AI183" ca="1">IF(INDIRECT(ADDRESS($B183+1,AI$164,1,1,"Confirmed Trend"))=0,#N/A,INDIRECT(ADDRESS($B183+1,AI$164,1,1,"Confirmed Trend")))</f>
        <v>#N/A</v>
      </c>
      <c r="AJ183" s="18" t="e" cm="1">
        <f t="array" aca="1" ref="AJ183" ca="1">IF(INDIRECT(ADDRESS($B183+1,AJ$164,1,1,"Confirmed Trend"))=0,#N/A,INDIRECT(ADDRESS($B183+1,AJ$164,1,1,"Confirmed Trend")))</f>
        <v>#N/A</v>
      </c>
      <c r="AK183" s="18" t="e" cm="1">
        <f t="array" aca="1" ref="AK183" ca="1">IF(INDIRECT(ADDRESS($B183+1,AK$164,1,1,"Confirmed Trend"))=0,#N/A,INDIRECT(ADDRESS($B183+1,AK$164,1,1,"Confirmed Trend")))</f>
        <v>#N/A</v>
      </c>
      <c r="AL183" s="18" t="e" cm="1">
        <f t="array" aca="1" ref="AL183" ca="1">IF(INDIRECT(ADDRESS($B183+1,AL$164,1,1,"Confirmed Trend"))=0,#N/A,INDIRECT(ADDRESS($B183+1,AL$164,1,1,"Confirmed Trend")))</f>
        <v>#N/A</v>
      </c>
      <c r="AM183" s="18" t="e" cm="1">
        <f t="array" aca="1" ref="AM183" ca="1">IF(INDIRECT(ADDRESS($B183+1,AM$164,1,1,"Confirmed Trend"))=0,#N/A,INDIRECT(ADDRESS($B183+1,AM$164,1,1,"Confirmed Trend")))</f>
        <v>#N/A</v>
      </c>
      <c r="AN183" s="18" t="e" cm="1">
        <f t="array" aca="1" ref="AN183" ca="1">IF(INDIRECT(ADDRESS($B183+1,AN$164,1,1,"Confirmed Trend"))=0,#N/A,INDIRECT(ADDRESS($B183+1,AN$164,1,1,"Confirmed Trend")))</f>
        <v>#N/A</v>
      </c>
      <c r="AO183" s="18" t="e" cm="1">
        <f t="array" aca="1" ref="AO183" ca="1">IF(INDIRECT(ADDRESS($B183+1,AO$164,1,1,"Confirmed Trend"))=0,#N/A,INDIRECT(ADDRESS($B183+1,AO$164,1,1,"Confirmed Trend")))</f>
        <v>#N/A</v>
      </c>
      <c r="AP183" s="18" t="e" cm="1">
        <f t="array" aca="1" ref="AP183" ca="1">IF(INDIRECT(ADDRESS($B183+1,AP$164,1,1,"Confirmed Trend"))=0,#N/A,INDIRECT(ADDRESS($B183+1,AP$164,1,1,"Confirmed Trend")))</f>
        <v>#N/A</v>
      </c>
      <c r="AQ183" s="18" t="e" cm="1">
        <f t="array" aca="1" ref="AQ183" ca="1">IF(INDIRECT(ADDRESS($B183+1,AQ$164,1,1,"Confirmed Trend"))=0,#N/A,INDIRECT(ADDRESS($B183+1,AQ$164,1,1,"Confirmed Trend")))</f>
        <v>#N/A</v>
      </c>
      <c r="AR183" s="18" t="e" cm="1">
        <f t="array" aca="1" ref="AR183" ca="1">IF(INDIRECT(ADDRESS($B183+1,AR$164,1,1,"Confirmed Trend"))=0,#N/A,INDIRECT(ADDRESS($B183+1,AR$164,1,1,"Confirmed Trend")))</f>
        <v>#N/A</v>
      </c>
      <c r="AS183" s="18" t="e" cm="1">
        <f t="array" aca="1" ref="AS183" ca="1">IF(INDIRECT(ADDRESS($B183+1,AS$164,1,1,"Confirmed Trend"))=0,#N/A,INDIRECT(ADDRESS($B183+1,AS$164,1,1,"Confirmed Trend")))</f>
        <v>#N/A</v>
      </c>
      <c r="AT183" s="18" t="e" cm="1">
        <f t="array" aca="1" ref="AT183" ca="1">IF(INDIRECT(ADDRESS($B183+1,AT$164,1,1,"Confirmed Trend"))=0,#N/A,INDIRECT(ADDRESS($B183+1,AT$164,1,1,"Confirmed Trend")))</f>
        <v>#N/A</v>
      </c>
      <c r="AU183" s="18" t="e" cm="1">
        <f t="array" aca="1" ref="AU183" ca="1">IF(INDIRECT(ADDRESS($B183+1,AU$164,1,1,"Confirmed Trend"))=0,#N/A,INDIRECT(ADDRESS($B183+1,AU$164,1,1,"Confirmed Trend")))</f>
        <v>#N/A</v>
      </c>
      <c r="AV183" s="18" t="e" cm="1">
        <f t="array" aca="1" ref="AV183" ca="1">IF(INDIRECT(ADDRESS($B183+1,AV$164,1,1,"Confirmed Trend"))=0,#N/A,INDIRECT(ADDRESS($B183+1,AV$164,1,1,"Confirmed Trend")))</f>
        <v>#N/A</v>
      </c>
      <c r="AW183" s="18" t="e" cm="1">
        <f t="array" aca="1" ref="AW183" ca="1">IF(INDIRECT(ADDRESS($B183+1,AW$164,1,1,"Confirmed Trend"))=0,#N/A,INDIRECT(ADDRESS($B183+1,AW$164,1,1,"Confirmed Trend")))</f>
        <v>#N/A</v>
      </c>
      <c r="AX183" s="18" t="e" cm="1">
        <f t="array" aca="1" ref="AX183" ca="1">IF(INDIRECT(ADDRESS($B183+1,AX$164,1,1,"Confirmed Trend"))=0,#N/A,INDIRECT(ADDRESS($B183+1,AX$164,1,1,"Confirmed Trend")))</f>
        <v>#N/A</v>
      </c>
      <c r="AY183" s="18" t="e" cm="1">
        <f t="array" aca="1" ref="AY183" ca="1">IF(INDIRECT(ADDRESS($B183+1,AY$164,1,1,"Confirmed Trend"))=0,#N/A,INDIRECT(ADDRESS($B183+1,AY$164,1,1,"Confirmed Trend")))</f>
        <v>#N/A</v>
      </c>
      <c r="AZ183" s="18" t="e" cm="1">
        <f t="array" aca="1" ref="AZ183" ca="1">IF(INDIRECT(ADDRESS($B183+1,AZ$164,1,1,"Confirmed Trend"))=0,#N/A,INDIRECT(ADDRESS($B183+1,AZ$164,1,1,"Confirmed Trend")))</f>
        <v>#N/A</v>
      </c>
      <c r="BA183" s="18" t="e" cm="1">
        <f t="array" aca="1" ref="BA183" ca="1">IF(INDIRECT(ADDRESS($B183+1,BA$164,1,1,"Confirmed Trend"))=0,#N/A,INDIRECT(ADDRESS($B183+1,BA$164,1,1,"Confirmed Trend")))</f>
        <v>#N/A</v>
      </c>
      <c r="BB183" s="18" t="e" cm="1">
        <f t="array" aca="1" ref="BB183" ca="1">IF(INDIRECT(ADDRESS($B183+1,BB$164,1,1,"Confirmed Trend"))=0,#N/A,INDIRECT(ADDRESS($B183+1,BB$164,1,1,"Confirmed Trend")))</f>
        <v>#N/A</v>
      </c>
      <c r="BC183" s="18" t="e" cm="1">
        <f t="array" aca="1" ref="BC183" ca="1">IF(INDIRECT(ADDRESS($B183+1,BC$164,1,1,"Confirmed Trend"))=0,#N/A,INDIRECT(ADDRESS($B183+1,BC$164,1,1,"Confirmed Trend")))</f>
        <v>#N/A</v>
      </c>
      <c r="BD183" s="18" t="e" cm="1">
        <f t="array" aca="1" ref="BD183" ca="1">IF(INDIRECT(ADDRESS($B183+1,BD$164,1,1,"Confirmed Trend"))=0,#N/A,INDIRECT(ADDRESS($B183+1,BD$164,1,1,"Confirmed Trend")))</f>
        <v>#N/A</v>
      </c>
      <c r="BE183" s="18" t="e" cm="1">
        <f t="array" aca="1" ref="BE183" ca="1">IF(INDIRECT(ADDRESS($B183+1,BE$164,1,1,"Confirmed Trend"))=0,#N/A,INDIRECT(ADDRESS($B183+1,BE$164,1,1,"Confirmed Trend")))</f>
        <v>#N/A</v>
      </c>
      <c r="BF183" s="18" t="e" cm="1">
        <f t="array" aca="1" ref="BF183" ca="1">IF(INDIRECT(ADDRESS($B183+1,BF$164,1,1,"Confirmed Trend"))=0,#N/A,INDIRECT(ADDRESS($B183+1,BF$164,1,1,"Confirmed Trend")))</f>
        <v>#N/A</v>
      </c>
      <c r="BG183" s="18" t="e" cm="1">
        <f t="array" aca="1" ref="BG183" ca="1">IF(INDIRECT(ADDRESS($B183+1,BG$164,1,1,"Confirmed Trend"))=0,#N/A,INDIRECT(ADDRESS($B183+1,BG$164,1,1,"Confirmed Trend")))</f>
        <v>#N/A</v>
      </c>
      <c r="BH183" s="18" t="e" cm="1">
        <f t="array" aca="1" ref="BH183" ca="1">IF(INDIRECT(ADDRESS($B183+1,BH$164,1,1,"Confirmed Trend"))=0,#N/A,INDIRECT(ADDRESS($B183+1,BH$164,1,1,"Confirmed Trend")))</f>
        <v>#N/A</v>
      </c>
      <c r="BI183" s="18" t="e" cm="1">
        <f t="array" aca="1" ref="BI183" ca="1">IF(INDIRECT(ADDRESS($B183+1,BI$164,1,1,"Confirmed Trend"))=0,#N/A,INDIRECT(ADDRESS($B183+1,BI$164,1,1,"Confirmed Trend")))</f>
        <v>#N/A</v>
      </c>
      <c r="BJ183" s="18" t="e" cm="1">
        <f t="array" aca="1" ref="BJ183" ca="1">IF(INDIRECT(ADDRESS($B183+1,BJ$164,1,1,"Confirmed Trend"))=0,#N/A,INDIRECT(ADDRESS($B183+1,BJ$164,1,1,"Confirmed Trend")))</f>
        <v>#N/A</v>
      </c>
      <c r="BK183" s="18" t="e" cm="1">
        <f t="array" aca="1" ref="BK183" ca="1">IF(INDIRECT(ADDRESS($B183+1,BK$164,1,1,"Confirmed Trend"))=0,#N/A,INDIRECT(ADDRESS($B183+1,BK$164,1,1,"Confirmed Trend")))</f>
        <v>#N/A</v>
      </c>
      <c r="BL183" s="18" t="e" cm="1">
        <f t="array" aca="1" ref="BL183" ca="1">IF(INDIRECT(ADDRESS($B183+1,BL$164,1,1,"Confirmed Trend"))=0,#N/A,INDIRECT(ADDRESS($B183+1,BL$164,1,1,"Confirmed Trend")))</f>
        <v>#N/A</v>
      </c>
      <c r="BM183" s="18" t="e" cm="1">
        <f t="array" aca="1" ref="BM183" ca="1">IF(INDIRECT(ADDRESS($B183+1,BM$164,1,1,"Confirmed Trend"))=0,#N/A,INDIRECT(ADDRESS($B183+1,BM$164,1,1,"Confirmed Trend")))</f>
        <v>#N/A</v>
      </c>
      <c r="BN183" s="18" t="e" cm="1">
        <f t="array" aca="1" ref="BN183" ca="1">IF(INDIRECT(ADDRESS($B183+1,BN$164,1,1,"Confirmed Trend"))=0,#N/A,INDIRECT(ADDRESS($B183+1,BN$164,1,1,"Confirmed Trend")))</f>
        <v>#N/A</v>
      </c>
      <c r="BO183" s="18" t="e" cm="1">
        <f t="array" aca="1" ref="BO183" ca="1">IF(INDIRECT(ADDRESS($B183+1,BO$164,1,1,"Confirmed Trend"))=0,#N/A,INDIRECT(ADDRESS($B183+1,BO$164,1,1,"Confirmed Trend")))</f>
        <v>#N/A</v>
      </c>
      <c r="BP183" s="18" t="e" cm="1">
        <f t="array" aca="1" ref="BP183" ca="1">IF(INDIRECT(ADDRESS($B183+1,BP$164,1,1,"Confirmed Trend"))=0,#N/A,INDIRECT(ADDRESS($B183+1,BP$164,1,1,"Confirmed Trend")))</f>
        <v>#N/A</v>
      </c>
      <c r="BQ183" s="18" t="e" cm="1">
        <f t="array" aca="1" ref="BQ183" ca="1">IF(INDIRECT(ADDRESS($B183+1,BQ$164,1,1,"Confirmed Trend"))=0,#N/A,INDIRECT(ADDRESS($B183+1,BQ$164,1,1,"Confirmed Trend")))</f>
        <v>#N/A</v>
      </c>
      <c r="BR183" s="18" t="e" cm="1">
        <f t="array" aca="1" ref="BR183" ca="1">IF(INDIRECT(ADDRESS($B183+1,BR$164,1,1,"Confirmed Trend"))=0,#N/A,INDIRECT(ADDRESS($B183+1,BR$164,1,1,"Confirmed Trend")))</f>
        <v>#N/A</v>
      </c>
      <c r="BS183" s="18" t="e" cm="1">
        <f t="array" aca="1" ref="BS183" ca="1">IF(INDIRECT(ADDRESS($B183+1,BS$164,1,1,"Confirmed Trend"))=0,#N/A,INDIRECT(ADDRESS($B183+1,BS$164,1,1,"Confirmed Trend")))</f>
        <v>#N/A</v>
      </c>
      <c r="BT183" s="18" t="e" cm="1">
        <f t="array" aca="1" ref="BT183" ca="1">IF(INDIRECT(ADDRESS($B183+1,BT$164,1,1,"Confirmed Trend"))=0,#N/A,INDIRECT(ADDRESS($B183+1,BT$164,1,1,"Confirmed Trend")))</f>
        <v>#N/A</v>
      </c>
      <c r="BU183" s="18" t="e" cm="1">
        <f t="array" aca="1" ref="BU183" ca="1">IF(INDIRECT(ADDRESS($B183+1,BU$164,1,1,"Confirmed Trend"))=0,#N/A,INDIRECT(ADDRESS($B183+1,BU$164,1,1,"Confirmed Trend")))</f>
        <v>#N/A</v>
      </c>
      <c r="BV183" s="18" t="e" cm="1">
        <f t="array" aca="1" ref="BV183" ca="1">IF(INDIRECT(ADDRESS($B183+1,BV$164,1,1,"Confirmed Trend"))=0,#N/A,INDIRECT(ADDRESS($B183+1,BV$164,1,1,"Confirmed Trend")))</f>
        <v>#N/A</v>
      </c>
    </row>
    <row r="184" spans="2:74" x14ac:dyDescent="0.25">
      <c r="B184">
        <f t="shared" si="132"/>
        <v>19</v>
      </c>
      <c r="C184" cm="1">
        <f t="array" aca="1" ref="C184" ca="1">INDIRECT(ADDRESS($B184+1,1,1,1,"Confirmed Trend"))</f>
        <v>0</v>
      </c>
      <c r="E184" s="18" t="e" cm="1">
        <f t="array" aca="1" ref="E184" ca="1">IF(INDIRECT(ADDRESS($B184+1,E$164,1,1,"Confirmed Trend"))=0,#N/A,INDIRECT(ADDRESS($B184+1,E$164,1,1,"Confirmed Trend")))</f>
        <v>#N/A</v>
      </c>
      <c r="F184" s="18" t="e" cm="1">
        <f t="array" aca="1" ref="F184" ca="1">IF(INDIRECT(ADDRESS($B184+1,F$164,1,1,"Confirmed Trend"))=0,#N/A,INDIRECT(ADDRESS($B184+1,F$164,1,1,"Confirmed Trend")))</f>
        <v>#N/A</v>
      </c>
      <c r="G184" s="18" t="e" cm="1">
        <f t="array" aca="1" ref="G184" ca="1">IF(INDIRECT(ADDRESS($B184+1,G$164,1,1,"Confirmed Trend"))=0,#N/A,INDIRECT(ADDRESS($B184+1,G$164,1,1,"Confirmed Trend")))</f>
        <v>#N/A</v>
      </c>
      <c r="H184" s="18" t="e" cm="1">
        <f t="array" aca="1" ref="H184" ca="1">IF(INDIRECT(ADDRESS($B184+1,H$164,1,1,"Confirmed Trend"))=0,#N/A,INDIRECT(ADDRESS($B184+1,H$164,1,1,"Confirmed Trend")))</f>
        <v>#N/A</v>
      </c>
      <c r="I184" s="18" t="e" cm="1">
        <f t="array" aca="1" ref="I184" ca="1">IF(INDIRECT(ADDRESS($B184+1,I$164,1,1,"Confirmed Trend"))=0,#N/A,INDIRECT(ADDRESS($B184+1,I$164,1,1,"Confirmed Trend")))</f>
        <v>#N/A</v>
      </c>
      <c r="J184" s="18" t="e" cm="1">
        <f t="array" aca="1" ref="J184" ca="1">IF(INDIRECT(ADDRESS($B184+1,J$164,1,1,"Confirmed Trend"))=0,#N/A,INDIRECT(ADDRESS($B184+1,J$164,1,1,"Confirmed Trend")))</f>
        <v>#N/A</v>
      </c>
      <c r="K184" s="18" t="e" cm="1">
        <f t="array" aca="1" ref="K184" ca="1">IF(INDIRECT(ADDRESS($B184+1,K$164,1,1,"Confirmed Trend"))=0,#N/A,INDIRECT(ADDRESS($B184+1,K$164,1,1,"Confirmed Trend")))</f>
        <v>#N/A</v>
      </c>
      <c r="L184" s="18" t="e" cm="1">
        <f t="array" aca="1" ref="L184" ca="1">IF(INDIRECT(ADDRESS($B184+1,L$164,1,1,"Confirmed Trend"))=0,#N/A,INDIRECT(ADDRESS($B184+1,L$164,1,1,"Confirmed Trend")))</f>
        <v>#N/A</v>
      </c>
      <c r="M184" s="18" t="e" cm="1">
        <f t="array" aca="1" ref="M184" ca="1">IF(INDIRECT(ADDRESS($B184+1,M$164,1,1,"Confirmed Trend"))=0,#N/A,INDIRECT(ADDRESS($B184+1,M$164,1,1,"Confirmed Trend")))</f>
        <v>#N/A</v>
      </c>
      <c r="N184" s="18" t="e" cm="1">
        <f t="array" aca="1" ref="N184" ca="1">IF(INDIRECT(ADDRESS($B184+1,N$164,1,1,"Confirmed Trend"))=0,#N/A,INDIRECT(ADDRESS($B184+1,N$164,1,1,"Confirmed Trend")))</f>
        <v>#N/A</v>
      </c>
      <c r="O184" s="18" t="e" cm="1">
        <f t="array" aca="1" ref="O184" ca="1">IF(INDIRECT(ADDRESS($B184+1,O$164,1,1,"Confirmed Trend"))=0,#N/A,INDIRECT(ADDRESS($B184+1,O$164,1,1,"Confirmed Trend")))</f>
        <v>#N/A</v>
      </c>
      <c r="P184" s="18" t="e" cm="1">
        <f t="array" aca="1" ref="P184" ca="1">IF(INDIRECT(ADDRESS($B184+1,P$164,1,1,"Confirmed Trend"))=0,#N/A,INDIRECT(ADDRESS($B184+1,P$164,1,1,"Confirmed Trend")))</f>
        <v>#N/A</v>
      </c>
      <c r="Q184" s="18" t="e" cm="1">
        <f t="array" aca="1" ref="Q184" ca="1">IF(INDIRECT(ADDRESS($B184+1,Q$164,1,1,"Confirmed Trend"))=0,#N/A,INDIRECT(ADDRESS($B184+1,Q$164,1,1,"Confirmed Trend")))</f>
        <v>#N/A</v>
      </c>
      <c r="R184" s="18" t="e" cm="1">
        <f t="array" aca="1" ref="R184" ca="1">IF(INDIRECT(ADDRESS($B184+1,R$164,1,1,"Confirmed Trend"))=0,#N/A,INDIRECT(ADDRESS($B184+1,R$164,1,1,"Confirmed Trend")))</f>
        <v>#N/A</v>
      </c>
      <c r="S184" s="18" t="e" cm="1">
        <f t="array" aca="1" ref="S184" ca="1">IF(INDIRECT(ADDRESS($B184+1,S$164,1,1,"Confirmed Trend"))=0,#N/A,INDIRECT(ADDRESS($B184+1,S$164,1,1,"Confirmed Trend")))</f>
        <v>#N/A</v>
      </c>
      <c r="T184" s="18" t="e" cm="1">
        <f t="array" aca="1" ref="T184" ca="1">IF(INDIRECT(ADDRESS($B184+1,T$164,1,1,"Confirmed Trend"))=0,#N/A,INDIRECT(ADDRESS($B184+1,T$164,1,1,"Confirmed Trend")))</f>
        <v>#N/A</v>
      </c>
      <c r="U184" s="18" t="e" cm="1">
        <f t="array" aca="1" ref="U184" ca="1">IF(INDIRECT(ADDRESS($B184+1,U$164,1,1,"Confirmed Trend"))=0,#N/A,INDIRECT(ADDRESS($B184+1,U$164,1,1,"Confirmed Trend")))</f>
        <v>#N/A</v>
      </c>
      <c r="V184" s="18" t="e" cm="1">
        <f t="array" aca="1" ref="V184" ca="1">IF(INDIRECT(ADDRESS($B184+1,V$164,1,1,"Confirmed Trend"))=0,#N/A,INDIRECT(ADDRESS($B184+1,V$164,1,1,"Confirmed Trend")))</f>
        <v>#N/A</v>
      </c>
      <c r="W184" s="18" t="e" cm="1">
        <f t="array" aca="1" ref="W184" ca="1">IF(INDIRECT(ADDRESS($B184+1,W$164,1,1,"Confirmed Trend"))=0,#N/A,INDIRECT(ADDRESS($B184+1,W$164,1,1,"Confirmed Trend")))</f>
        <v>#N/A</v>
      </c>
      <c r="X184" s="18" t="e" cm="1">
        <f t="array" aca="1" ref="X184" ca="1">IF(INDIRECT(ADDRESS($B184+1,X$164,1,1,"Confirmed Trend"))=0,#N/A,INDIRECT(ADDRESS($B184+1,X$164,1,1,"Confirmed Trend")))</f>
        <v>#N/A</v>
      </c>
      <c r="Y184" s="18" t="e" cm="1">
        <f t="array" aca="1" ref="Y184" ca="1">IF(INDIRECT(ADDRESS($B184+1,Y$164,1,1,"Confirmed Trend"))=0,#N/A,INDIRECT(ADDRESS($B184+1,Y$164,1,1,"Confirmed Trend")))</f>
        <v>#N/A</v>
      </c>
      <c r="Z184" s="18" t="e" cm="1">
        <f t="array" aca="1" ref="Z184" ca="1">IF(INDIRECT(ADDRESS($B184+1,Z$164,1,1,"Confirmed Trend"))=0,#N/A,INDIRECT(ADDRESS($B184+1,Z$164,1,1,"Confirmed Trend")))</f>
        <v>#N/A</v>
      </c>
      <c r="AA184" s="18" t="e" cm="1">
        <f t="array" aca="1" ref="AA184" ca="1">IF(INDIRECT(ADDRESS($B184+1,AA$164,1,1,"Confirmed Trend"))=0,#N/A,INDIRECT(ADDRESS($B184+1,AA$164,1,1,"Confirmed Trend")))</f>
        <v>#N/A</v>
      </c>
      <c r="AB184" s="18" t="e" cm="1">
        <f t="array" aca="1" ref="AB184" ca="1">IF(INDIRECT(ADDRESS($B184+1,AB$164,1,1,"Confirmed Trend"))=0,#N/A,INDIRECT(ADDRESS($B184+1,AB$164,1,1,"Confirmed Trend")))</f>
        <v>#N/A</v>
      </c>
      <c r="AC184" s="18" t="e" cm="1">
        <f t="array" aca="1" ref="AC184" ca="1">IF(INDIRECT(ADDRESS($B184+1,AC$164,1,1,"Confirmed Trend"))=0,#N/A,INDIRECT(ADDRESS($B184+1,AC$164,1,1,"Confirmed Trend")))</f>
        <v>#N/A</v>
      </c>
      <c r="AD184" s="18" t="e" cm="1">
        <f t="array" aca="1" ref="AD184" ca="1">IF(INDIRECT(ADDRESS($B184+1,AD$164,1,1,"Confirmed Trend"))=0,#N/A,INDIRECT(ADDRESS($B184+1,AD$164,1,1,"Confirmed Trend")))</f>
        <v>#N/A</v>
      </c>
      <c r="AE184" s="18" t="e" cm="1">
        <f t="array" aca="1" ref="AE184" ca="1">IF(INDIRECT(ADDRESS($B184+1,AE$164,1,1,"Confirmed Trend"))=0,#N/A,INDIRECT(ADDRESS($B184+1,AE$164,1,1,"Confirmed Trend")))</f>
        <v>#N/A</v>
      </c>
      <c r="AF184" s="18" t="e" cm="1">
        <f t="array" aca="1" ref="AF184" ca="1">IF(INDIRECT(ADDRESS($B184+1,AF$164,1,1,"Confirmed Trend"))=0,#N/A,INDIRECT(ADDRESS($B184+1,AF$164,1,1,"Confirmed Trend")))</f>
        <v>#N/A</v>
      </c>
      <c r="AG184" s="18" t="e" cm="1">
        <f t="array" aca="1" ref="AG184" ca="1">IF(INDIRECT(ADDRESS($B184+1,AG$164,1,1,"Confirmed Trend"))=0,#N/A,INDIRECT(ADDRESS($B184+1,AG$164,1,1,"Confirmed Trend")))</f>
        <v>#N/A</v>
      </c>
      <c r="AH184" s="18" t="e" cm="1">
        <f t="array" aca="1" ref="AH184" ca="1">IF(INDIRECT(ADDRESS($B184+1,AH$164,1,1,"Confirmed Trend"))=0,#N/A,INDIRECT(ADDRESS($B184+1,AH$164,1,1,"Confirmed Trend")))</f>
        <v>#N/A</v>
      </c>
      <c r="AI184" s="18" t="e" cm="1">
        <f t="array" aca="1" ref="AI184" ca="1">IF(INDIRECT(ADDRESS($B184+1,AI$164,1,1,"Confirmed Trend"))=0,#N/A,INDIRECT(ADDRESS($B184+1,AI$164,1,1,"Confirmed Trend")))</f>
        <v>#N/A</v>
      </c>
      <c r="AJ184" s="18" t="e" cm="1">
        <f t="array" aca="1" ref="AJ184" ca="1">IF(INDIRECT(ADDRESS($B184+1,AJ$164,1,1,"Confirmed Trend"))=0,#N/A,INDIRECT(ADDRESS($B184+1,AJ$164,1,1,"Confirmed Trend")))</f>
        <v>#N/A</v>
      </c>
      <c r="AK184" s="18" t="e" cm="1">
        <f t="array" aca="1" ref="AK184" ca="1">IF(INDIRECT(ADDRESS($B184+1,AK$164,1,1,"Confirmed Trend"))=0,#N/A,INDIRECT(ADDRESS($B184+1,AK$164,1,1,"Confirmed Trend")))</f>
        <v>#N/A</v>
      </c>
      <c r="AL184" s="18" t="e" cm="1">
        <f t="array" aca="1" ref="AL184" ca="1">IF(INDIRECT(ADDRESS($B184+1,AL$164,1,1,"Confirmed Trend"))=0,#N/A,INDIRECT(ADDRESS($B184+1,AL$164,1,1,"Confirmed Trend")))</f>
        <v>#N/A</v>
      </c>
      <c r="AM184" s="18" t="e" cm="1">
        <f t="array" aca="1" ref="AM184" ca="1">IF(INDIRECT(ADDRESS($B184+1,AM$164,1,1,"Confirmed Trend"))=0,#N/A,INDIRECT(ADDRESS($B184+1,AM$164,1,1,"Confirmed Trend")))</f>
        <v>#N/A</v>
      </c>
      <c r="AN184" s="18" t="e" cm="1">
        <f t="array" aca="1" ref="AN184" ca="1">IF(INDIRECT(ADDRESS($B184+1,AN$164,1,1,"Confirmed Trend"))=0,#N/A,INDIRECT(ADDRESS($B184+1,AN$164,1,1,"Confirmed Trend")))</f>
        <v>#N/A</v>
      </c>
      <c r="AO184" s="18" t="e" cm="1">
        <f t="array" aca="1" ref="AO184" ca="1">IF(INDIRECT(ADDRESS($B184+1,AO$164,1,1,"Confirmed Trend"))=0,#N/A,INDIRECT(ADDRESS($B184+1,AO$164,1,1,"Confirmed Trend")))</f>
        <v>#N/A</v>
      </c>
      <c r="AP184" s="18" t="e" cm="1">
        <f t="array" aca="1" ref="AP184" ca="1">IF(INDIRECT(ADDRESS($B184+1,AP$164,1,1,"Confirmed Trend"))=0,#N/A,INDIRECT(ADDRESS($B184+1,AP$164,1,1,"Confirmed Trend")))</f>
        <v>#N/A</v>
      </c>
      <c r="AQ184" s="18" t="e" cm="1">
        <f t="array" aca="1" ref="AQ184" ca="1">IF(INDIRECT(ADDRESS($B184+1,AQ$164,1,1,"Confirmed Trend"))=0,#N/A,INDIRECT(ADDRESS($B184+1,AQ$164,1,1,"Confirmed Trend")))</f>
        <v>#N/A</v>
      </c>
      <c r="AR184" s="18" t="e" cm="1">
        <f t="array" aca="1" ref="AR184" ca="1">IF(INDIRECT(ADDRESS($B184+1,AR$164,1,1,"Confirmed Trend"))=0,#N/A,INDIRECT(ADDRESS($B184+1,AR$164,1,1,"Confirmed Trend")))</f>
        <v>#N/A</v>
      </c>
      <c r="AS184" s="18" t="e" cm="1">
        <f t="array" aca="1" ref="AS184" ca="1">IF(INDIRECT(ADDRESS($B184+1,AS$164,1,1,"Confirmed Trend"))=0,#N/A,INDIRECT(ADDRESS($B184+1,AS$164,1,1,"Confirmed Trend")))</f>
        <v>#N/A</v>
      </c>
      <c r="AT184" s="18" t="e" cm="1">
        <f t="array" aca="1" ref="AT184" ca="1">IF(INDIRECT(ADDRESS($B184+1,AT$164,1,1,"Confirmed Trend"))=0,#N/A,INDIRECT(ADDRESS($B184+1,AT$164,1,1,"Confirmed Trend")))</f>
        <v>#N/A</v>
      </c>
      <c r="AU184" s="18" t="e" cm="1">
        <f t="array" aca="1" ref="AU184" ca="1">IF(INDIRECT(ADDRESS($B184+1,AU$164,1,1,"Confirmed Trend"))=0,#N/A,INDIRECT(ADDRESS($B184+1,AU$164,1,1,"Confirmed Trend")))</f>
        <v>#N/A</v>
      </c>
      <c r="AV184" s="18" t="e" cm="1">
        <f t="array" aca="1" ref="AV184" ca="1">IF(INDIRECT(ADDRESS($B184+1,AV$164,1,1,"Confirmed Trend"))=0,#N/A,INDIRECT(ADDRESS($B184+1,AV$164,1,1,"Confirmed Trend")))</f>
        <v>#N/A</v>
      </c>
      <c r="AW184" s="18" t="e" cm="1">
        <f t="array" aca="1" ref="AW184" ca="1">IF(INDIRECT(ADDRESS($B184+1,AW$164,1,1,"Confirmed Trend"))=0,#N/A,INDIRECT(ADDRESS($B184+1,AW$164,1,1,"Confirmed Trend")))</f>
        <v>#N/A</v>
      </c>
      <c r="AX184" s="18" t="e" cm="1">
        <f t="array" aca="1" ref="AX184" ca="1">IF(INDIRECT(ADDRESS($B184+1,AX$164,1,1,"Confirmed Trend"))=0,#N/A,INDIRECT(ADDRESS($B184+1,AX$164,1,1,"Confirmed Trend")))</f>
        <v>#N/A</v>
      </c>
      <c r="AY184" s="18" t="e" cm="1">
        <f t="array" aca="1" ref="AY184" ca="1">IF(INDIRECT(ADDRESS($B184+1,AY$164,1,1,"Confirmed Trend"))=0,#N/A,INDIRECT(ADDRESS($B184+1,AY$164,1,1,"Confirmed Trend")))</f>
        <v>#N/A</v>
      </c>
      <c r="AZ184" s="18" t="e" cm="1">
        <f t="array" aca="1" ref="AZ184" ca="1">IF(INDIRECT(ADDRESS($B184+1,AZ$164,1,1,"Confirmed Trend"))=0,#N/A,INDIRECT(ADDRESS($B184+1,AZ$164,1,1,"Confirmed Trend")))</f>
        <v>#N/A</v>
      </c>
      <c r="BA184" s="18" t="e" cm="1">
        <f t="array" aca="1" ref="BA184" ca="1">IF(INDIRECT(ADDRESS($B184+1,BA$164,1,1,"Confirmed Trend"))=0,#N/A,INDIRECT(ADDRESS($B184+1,BA$164,1,1,"Confirmed Trend")))</f>
        <v>#N/A</v>
      </c>
      <c r="BB184" s="18" t="e" cm="1">
        <f t="array" aca="1" ref="BB184" ca="1">IF(INDIRECT(ADDRESS($B184+1,BB$164,1,1,"Confirmed Trend"))=0,#N/A,INDIRECT(ADDRESS($B184+1,BB$164,1,1,"Confirmed Trend")))</f>
        <v>#N/A</v>
      </c>
      <c r="BC184" s="18" t="e" cm="1">
        <f t="array" aca="1" ref="BC184" ca="1">IF(INDIRECT(ADDRESS($B184+1,BC$164,1,1,"Confirmed Trend"))=0,#N/A,INDIRECT(ADDRESS($B184+1,BC$164,1,1,"Confirmed Trend")))</f>
        <v>#N/A</v>
      </c>
      <c r="BD184" s="18" t="e" cm="1">
        <f t="array" aca="1" ref="BD184" ca="1">IF(INDIRECT(ADDRESS($B184+1,BD$164,1,1,"Confirmed Trend"))=0,#N/A,INDIRECT(ADDRESS($B184+1,BD$164,1,1,"Confirmed Trend")))</f>
        <v>#N/A</v>
      </c>
      <c r="BE184" s="18" t="e" cm="1">
        <f t="array" aca="1" ref="BE184" ca="1">IF(INDIRECT(ADDRESS($B184+1,BE$164,1,1,"Confirmed Trend"))=0,#N/A,INDIRECT(ADDRESS($B184+1,BE$164,1,1,"Confirmed Trend")))</f>
        <v>#N/A</v>
      </c>
      <c r="BF184" s="18" t="e" cm="1">
        <f t="array" aca="1" ref="BF184" ca="1">IF(INDIRECT(ADDRESS($B184+1,BF$164,1,1,"Confirmed Trend"))=0,#N/A,INDIRECT(ADDRESS($B184+1,BF$164,1,1,"Confirmed Trend")))</f>
        <v>#N/A</v>
      </c>
      <c r="BG184" s="18" t="e" cm="1">
        <f t="array" aca="1" ref="BG184" ca="1">IF(INDIRECT(ADDRESS($B184+1,BG$164,1,1,"Confirmed Trend"))=0,#N/A,INDIRECT(ADDRESS($B184+1,BG$164,1,1,"Confirmed Trend")))</f>
        <v>#N/A</v>
      </c>
      <c r="BH184" s="18" t="e" cm="1">
        <f t="array" aca="1" ref="BH184" ca="1">IF(INDIRECT(ADDRESS($B184+1,BH$164,1,1,"Confirmed Trend"))=0,#N/A,INDIRECT(ADDRESS($B184+1,BH$164,1,1,"Confirmed Trend")))</f>
        <v>#N/A</v>
      </c>
      <c r="BI184" s="18" t="e" cm="1">
        <f t="array" aca="1" ref="BI184" ca="1">IF(INDIRECT(ADDRESS($B184+1,BI$164,1,1,"Confirmed Trend"))=0,#N/A,INDIRECT(ADDRESS($B184+1,BI$164,1,1,"Confirmed Trend")))</f>
        <v>#N/A</v>
      </c>
      <c r="BJ184" s="18" t="e" cm="1">
        <f t="array" aca="1" ref="BJ184" ca="1">IF(INDIRECT(ADDRESS($B184+1,BJ$164,1,1,"Confirmed Trend"))=0,#N/A,INDIRECT(ADDRESS($B184+1,BJ$164,1,1,"Confirmed Trend")))</f>
        <v>#N/A</v>
      </c>
      <c r="BK184" s="18" t="e" cm="1">
        <f t="array" aca="1" ref="BK184" ca="1">IF(INDIRECT(ADDRESS($B184+1,BK$164,1,1,"Confirmed Trend"))=0,#N/A,INDIRECT(ADDRESS($B184+1,BK$164,1,1,"Confirmed Trend")))</f>
        <v>#N/A</v>
      </c>
      <c r="BL184" s="18" t="e" cm="1">
        <f t="array" aca="1" ref="BL184" ca="1">IF(INDIRECT(ADDRESS($B184+1,BL$164,1,1,"Confirmed Trend"))=0,#N/A,INDIRECT(ADDRESS($B184+1,BL$164,1,1,"Confirmed Trend")))</f>
        <v>#N/A</v>
      </c>
      <c r="BM184" s="18" t="e" cm="1">
        <f t="array" aca="1" ref="BM184" ca="1">IF(INDIRECT(ADDRESS($B184+1,BM$164,1,1,"Confirmed Trend"))=0,#N/A,INDIRECT(ADDRESS($B184+1,BM$164,1,1,"Confirmed Trend")))</f>
        <v>#N/A</v>
      </c>
      <c r="BN184" s="18" t="e" cm="1">
        <f t="array" aca="1" ref="BN184" ca="1">IF(INDIRECT(ADDRESS($B184+1,BN$164,1,1,"Confirmed Trend"))=0,#N/A,INDIRECT(ADDRESS($B184+1,BN$164,1,1,"Confirmed Trend")))</f>
        <v>#N/A</v>
      </c>
      <c r="BO184" s="18" t="e" cm="1">
        <f t="array" aca="1" ref="BO184" ca="1">IF(INDIRECT(ADDRESS($B184+1,BO$164,1,1,"Confirmed Trend"))=0,#N/A,INDIRECT(ADDRESS($B184+1,BO$164,1,1,"Confirmed Trend")))</f>
        <v>#N/A</v>
      </c>
      <c r="BP184" s="18" t="e" cm="1">
        <f t="array" aca="1" ref="BP184" ca="1">IF(INDIRECT(ADDRESS($B184+1,BP$164,1,1,"Confirmed Trend"))=0,#N/A,INDIRECT(ADDRESS($B184+1,BP$164,1,1,"Confirmed Trend")))</f>
        <v>#N/A</v>
      </c>
      <c r="BQ184" s="18" t="e" cm="1">
        <f t="array" aca="1" ref="BQ184" ca="1">IF(INDIRECT(ADDRESS($B184+1,BQ$164,1,1,"Confirmed Trend"))=0,#N/A,INDIRECT(ADDRESS($B184+1,BQ$164,1,1,"Confirmed Trend")))</f>
        <v>#N/A</v>
      </c>
      <c r="BR184" s="18" t="e" cm="1">
        <f t="array" aca="1" ref="BR184" ca="1">IF(INDIRECT(ADDRESS($B184+1,BR$164,1,1,"Confirmed Trend"))=0,#N/A,INDIRECT(ADDRESS($B184+1,BR$164,1,1,"Confirmed Trend")))</f>
        <v>#N/A</v>
      </c>
      <c r="BS184" s="18" t="e" cm="1">
        <f t="array" aca="1" ref="BS184" ca="1">IF(INDIRECT(ADDRESS($B184+1,BS$164,1,1,"Confirmed Trend"))=0,#N/A,INDIRECT(ADDRESS($B184+1,BS$164,1,1,"Confirmed Trend")))</f>
        <v>#N/A</v>
      </c>
      <c r="BT184" s="18" t="e" cm="1">
        <f t="array" aca="1" ref="BT184" ca="1">IF(INDIRECT(ADDRESS($B184+1,BT$164,1,1,"Confirmed Trend"))=0,#N/A,INDIRECT(ADDRESS($B184+1,BT$164,1,1,"Confirmed Trend")))</f>
        <v>#N/A</v>
      </c>
      <c r="BU184" s="18" t="e" cm="1">
        <f t="array" aca="1" ref="BU184" ca="1">IF(INDIRECT(ADDRESS($B184+1,BU$164,1,1,"Confirmed Trend"))=0,#N/A,INDIRECT(ADDRESS($B184+1,BU$164,1,1,"Confirmed Trend")))</f>
        <v>#N/A</v>
      </c>
      <c r="BV184" s="18" t="e" cm="1">
        <f t="array" aca="1" ref="BV184" ca="1">IF(INDIRECT(ADDRESS($B184+1,BV$164,1,1,"Confirmed Trend"))=0,#N/A,INDIRECT(ADDRESS($B184+1,BV$164,1,1,"Confirmed Trend")))</f>
        <v>#N/A</v>
      </c>
    </row>
    <row r="185" spans="2:74" x14ac:dyDescent="0.25">
      <c r="B185">
        <f t="shared" si="132"/>
        <v>20</v>
      </c>
      <c r="C185" cm="1">
        <f t="array" aca="1" ref="C185" ca="1">INDIRECT(ADDRESS($B185+1,1,1,1,"Confirmed Trend"))</f>
        <v>0</v>
      </c>
      <c r="E185" s="18" t="e" cm="1">
        <f t="array" aca="1" ref="E185" ca="1">IF(INDIRECT(ADDRESS($B185+1,E$164,1,1,"Confirmed Trend"))=0,#N/A,INDIRECT(ADDRESS($B185+1,E$164,1,1,"Confirmed Trend")))</f>
        <v>#N/A</v>
      </c>
      <c r="F185" s="18" t="e" cm="1">
        <f t="array" aca="1" ref="F185" ca="1">IF(INDIRECT(ADDRESS($B185+1,F$164,1,1,"Confirmed Trend"))=0,#N/A,INDIRECT(ADDRESS($B185+1,F$164,1,1,"Confirmed Trend")))</f>
        <v>#N/A</v>
      </c>
      <c r="G185" s="18" t="e" cm="1">
        <f t="array" aca="1" ref="G185" ca="1">IF(INDIRECT(ADDRESS($B185+1,G$164,1,1,"Confirmed Trend"))=0,#N/A,INDIRECT(ADDRESS($B185+1,G$164,1,1,"Confirmed Trend")))</f>
        <v>#N/A</v>
      </c>
      <c r="H185" s="18" t="e" cm="1">
        <f t="array" aca="1" ref="H185" ca="1">IF(INDIRECT(ADDRESS($B185+1,H$164,1,1,"Confirmed Trend"))=0,#N/A,INDIRECT(ADDRESS($B185+1,H$164,1,1,"Confirmed Trend")))</f>
        <v>#N/A</v>
      </c>
      <c r="I185" s="18" t="e" cm="1">
        <f t="array" aca="1" ref="I185" ca="1">IF(INDIRECT(ADDRESS($B185+1,I$164,1,1,"Confirmed Trend"))=0,#N/A,INDIRECT(ADDRESS($B185+1,I$164,1,1,"Confirmed Trend")))</f>
        <v>#N/A</v>
      </c>
      <c r="J185" s="18" t="e" cm="1">
        <f t="array" aca="1" ref="J185" ca="1">IF(INDIRECT(ADDRESS($B185+1,J$164,1,1,"Confirmed Trend"))=0,#N/A,INDIRECT(ADDRESS($B185+1,J$164,1,1,"Confirmed Trend")))</f>
        <v>#N/A</v>
      </c>
      <c r="K185" s="18" t="e" cm="1">
        <f t="array" aca="1" ref="K185" ca="1">IF(INDIRECT(ADDRESS($B185+1,K$164,1,1,"Confirmed Trend"))=0,#N/A,INDIRECT(ADDRESS($B185+1,K$164,1,1,"Confirmed Trend")))</f>
        <v>#N/A</v>
      </c>
      <c r="L185" s="18" t="e" cm="1">
        <f t="array" aca="1" ref="L185" ca="1">IF(INDIRECT(ADDRESS($B185+1,L$164,1,1,"Confirmed Trend"))=0,#N/A,INDIRECT(ADDRESS($B185+1,L$164,1,1,"Confirmed Trend")))</f>
        <v>#N/A</v>
      </c>
      <c r="M185" s="18" t="e" cm="1">
        <f t="array" aca="1" ref="M185" ca="1">IF(INDIRECT(ADDRESS($B185+1,M$164,1,1,"Confirmed Trend"))=0,#N/A,INDIRECT(ADDRESS($B185+1,M$164,1,1,"Confirmed Trend")))</f>
        <v>#N/A</v>
      </c>
      <c r="N185" s="18" t="e" cm="1">
        <f t="array" aca="1" ref="N185" ca="1">IF(INDIRECT(ADDRESS($B185+1,N$164,1,1,"Confirmed Trend"))=0,#N/A,INDIRECT(ADDRESS($B185+1,N$164,1,1,"Confirmed Trend")))</f>
        <v>#N/A</v>
      </c>
      <c r="O185" s="18" t="e" cm="1">
        <f t="array" aca="1" ref="O185" ca="1">IF(INDIRECT(ADDRESS($B185+1,O$164,1,1,"Confirmed Trend"))=0,#N/A,INDIRECT(ADDRESS($B185+1,O$164,1,1,"Confirmed Trend")))</f>
        <v>#N/A</v>
      </c>
      <c r="P185" s="18" t="e" cm="1">
        <f t="array" aca="1" ref="P185" ca="1">IF(INDIRECT(ADDRESS($B185+1,P$164,1,1,"Confirmed Trend"))=0,#N/A,INDIRECT(ADDRESS($B185+1,P$164,1,1,"Confirmed Trend")))</f>
        <v>#N/A</v>
      </c>
      <c r="Q185" s="18" t="e" cm="1">
        <f t="array" aca="1" ref="Q185" ca="1">IF(INDIRECT(ADDRESS($B185+1,Q$164,1,1,"Confirmed Trend"))=0,#N/A,INDIRECT(ADDRESS($B185+1,Q$164,1,1,"Confirmed Trend")))</f>
        <v>#N/A</v>
      </c>
      <c r="R185" s="18" t="e" cm="1">
        <f t="array" aca="1" ref="R185" ca="1">IF(INDIRECT(ADDRESS($B185+1,R$164,1,1,"Confirmed Trend"))=0,#N/A,INDIRECT(ADDRESS($B185+1,R$164,1,1,"Confirmed Trend")))</f>
        <v>#N/A</v>
      </c>
      <c r="S185" s="18" t="e" cm="1">
        <f t="array" aca="1" ref="S185" ca="1">IF(INDIRECT(ADDRESS($B185+1,S$164,1,1,"Confirmed Trend"))=0,#N/A,INDIRECT(ADDRESS($B185+1,S$164,1,1,"Confirmed Trend")))</f>
        <v>#N/A</v>
      </c>
      <c r="T185" s="18" t="e" cm="1">
        <f t="array" aca="1" ref="T185" ca="1">IF(INDIRECT(ADDRESS($B185+1,T$164,1,1,"Confirmed Trend"))=0,#N/A,INDIRECT(ADDRESS($B185+1,T$164,1,1,"Confirmed Trend")))</f>
        <v>#N/A</v>
      </c>
      <c r="U185" s="18" t="e" cm="1">
        <f t="array" aca="1" ref="U185" ca="1">IF(INDIRECT(ADDRESS($B185+1,U$164,1,1,"Confirmed Trend"))=0,#N/A,INDIRECT(ADDRESS($B185+1,U$164,1,1,"Confirmed Trend")))</f>
        <v>#N/A</v>
      </c>
      <c r="V185" s="18" t="e" cm="1">
        <f t="array" aca="1" ref="V185" ca="1">IF(INDIRECT(ADDRESS($B185+1,V$164,1,1,"Confirmed Trend"))=0,#N/A,INDIRECT(ADDRESS($B185+1,V$164,1,1,"Confirmed Trend")))</f>
        <v>#N/A</v>
      </c>
      <c r="W185" s="18" t="e" cm="1">
        <f t="array" aca="1" ref="W185" ca="1">IF(INDIRECT(ADDRESS($B185+1,W$164,1,1,"Confirmed Trend"))=0,#N/A,INDIRECT(ADDRESS($B185+1,W$164,1,1,"Confirmed Trend")))</f>
        <v>#N/A</v>
      </c>
      <c r="X185" s="18" t="e" cm="1">
        <f t="array" aca="1" ref="X185" ca="1">IF(INDIRECT(ADDRESS($B185+1,X$164,1,1,"Confirmed Trend"))=0,#N/A,INDIRECT(ADDRESS($B185+1,X$164,1,1,"Confirmed Trend")))</f>
        <v>#N/A</v>
      </c>
      <c r="Y185" s="18" t="e" cm="1">
        <f t="array" aca="1" ref="Y185" ca="1">IF(INDIRECT(ADDRESS($B185+1,Y$164,1,1,"Confirmed Trend"))=0,#N/A,INDIRECT(ADDRESS($B185+1,Y$164,1,1,"Confirmed Trend")))</f>
        <v>#N/A</v>
      </c>
      <c r="Z185" s="18" t="e" cm="1">
        <f t="array" aca="1" ref="Z185" ca="1">IF(INDIRECT(ADDRESS($B185+1,Z$164,1,1,"Confirmed Trend"))=0,#N/A,INDIRECT(ADDRESS($B185+1,Z$164,1,1,"Confirmed Trend")))</f>
        <v>#N/A</v>
      </c>
      <c r="AA185" s="18" t="e" cm="1">
        <f t="array" aca="1" ref="AA185" ca="1">IF(INDIRECT(ADDRESS($B185+1,AA$164,1,1,"Confirmed Trend"))=0,#N/A,INDIRECT(ADDRESS($B185+1,AA$164,1,1,"Confirmed Trend")))</f>
        <v>#N/A</v>
      </c>
      <c r="AB185" s="18" t="e" cm="1">
        <f t="array" aca="1" ref="AB185" ca="1">IF(INDIRECT(ADDRESS($B185+1,AB$164,1,1,"Confirmed Trend"))=0,#N/A,INDIRECT(ADDRESS($B185+1,AB$164,1,1,"Confirmed Trend")))</f>
        <v>#N/A</v>
      </c>
      <c r="AC185" s="18" t="e" cm="1">
        <f t="array" aca="1" ref="AC185" ca="1">IF(INDIRECT(ADDRESS($B185+1,AC$164,1,1,"Confirmed Trend"))=0,#N/A,INDIRECT(ADDRESS($B185+1,AC$164,1,1,"Confirmed Trend")))</f>
        <v>#N/A</v>
      </c>
      <c r="AD185" s="18" t="e" cm="1">
        <f t="array" aca="1" ref="AD185" ca="1">IF(INDIRECT(ADDRESS($B185+1,AD$164,1,1,"Confirmed Trend"))=0,#N/A,INDIRECT(ADDRESS($B185+1,AD$164,1,1,"Confirmed Trend")))</f>
        <v>#N/A</v>
      </c>
      <c r="AE185" s="18" t="e" cm="1">
        <f t="array" aca="1" ref="AE185" ca="1">IF(INDIRECT(ADDRESS($B185+1,AE$164,1,1,"Confirmed Trend"))=0,#N/A,INDIRECT(ADDRESS($B185+1,AE$164,1,1,"Confirmed Trend")))</f>
        <v>#N/A</v>
      </c>
      <c r="AF185" s="18" t="e" cm="1">
        <f t="array" aca="1" ref="AF185" ca="1">IF(INDIRECT(ADDRESS($B185+1,AF$164,1,1,"Confirmed Trend"))=0,#N/A,INDIRECT(ADDRESS($B185+1,AF$164,1,1,"Confirmed Trend")))</f>
        <v>#N/A</v>
      </c>
      <c r="AG185" s="18" t="e" cm="1">
        <f t="array" aca="1" ref="AG185" ca="1">IF(INDIRECT(ADDRESS($B185+1,AG$164,1,1,"Confirmed Trend"))=0,#N/A,INDIRECT(ADDRESS($B185+1,AG$164,1,1,"Confirmed Trend")))</f>
        <v>#N/A</v>
      </c>
      <c r="AH185" s="18" t="e" cm="1">
        <f t="array" aca="1" ref="AH185" ca="1">IF(INDIRECT(ADDRESS($B185+1,AH$164,1,1,"Confirmed Trend"))=0,#N/A,INDIRECT(ADDRESS($B185+1,AH$164,1,1,"Confirmed Trend")))</f>
        <v>#N/A</v>
      </c>
      <c r="AI185" s="18" t="e" cm="1">
        <f t="array" aca="1" ref="AI185" ca="1">IF(INDIRECT(ADDRESS($B185+1,AI$164,1,1,"Confirmed Trend"))=0,#N/A,INDIRECT(ADDRESS($B185+1,AI$164,1,1,"Confirmed Trend")))</f>
        <v>#N/A</v>
      </c>
      <c r="AJ185" s="18" t="e" cm="1">
        <f t="array" aca="1" ref="AJ185" ca="1">IF(INDIRECT(ADDRESS($B185+1,AJ$164,1,1,"Confirmed Trend"))=0,#N/A,INDIRECT(ADDRESS($B185+1,AJ$164,1,1,"Confirmed Trend")))</f>
        <v>#N/A</v>
      </c>
      <c r="AK185" s="18" t="e" cm="1">
        <f t="array" aca="1" ref="AK185" ca="1">IF(INDIRECT(ADDRESS($B185+1,AK$164,1,1,"Confirmed Trend"))=0,#N/A,INDIRECT(ADDRESS($B185+1,AK$164,1,1,"Confirmed Trend")))</f>
        <v>#N/A</v>
      </c>
      <c r="AL185" s="18" t="e" cm="1">
        <f t="array" aca="1" ref="AL185" ca="1">IF(INDIRECT(ADDRESS($B185+1,AL$164,1,1,"Confirmed Trend"))=0,#N/A,INDIRECT(ADDRESS($B185+1,AL$164,1,1,"Confirmed Trend")))</f>
        <v>#N/A</v>
      </c>
      <c r="AM185" s="18" t="e" cm="1">
        <f t="array" aca="1" ref="AM185" ca="1">IF(INDIRECT(ADDRESS($B185+1,AM$164,1,1,"Confirmed Trend"))=0,#N/A,INDIRECT(ADDRESS($B185+1,AM$164,1,1,"Confirmed Trend")))</f>
        <v>#N/A</v>
      </c>
      <c r="AN185" s="18" t="e" cm="1">
        <f t="array" aca="1" ref="AN185" ca="1">IF(INDIRECT(ADDRESS($B185+1,AN$164,1,1,"Confirmed Trend"))=0,#N/A,INDIRECT(ADDRESS($B185+1,AN$164,1,1,"Confirmed Trend")))</f>
        <v>#N/A</v>
      </c>
      <c r="AO185" s="18" t="e" cm="1">
        <f t="array" aca="1" ref="AO185" ca="1">IF(INDIRECT(ADDRESS($B185+1,AO$164,1,1,"Confirmed Trend"))=0,#N/A,INDIRECT(ADDRESS($B185+1,AO$164,1,1,"Confirmed Trend")))</f>
        <v>#N/A</v>
      </c>
      <c r="AP185" s="18" t="e" cm="1">
        <f t="array" aca="1" ref="AP185" ca="1">IF(INDIRECT(ADDRESS($B185+1,AP$164,1,1,"Confirmed Trend"))=0,#N/A,INDIRECT(ADDRESS($B185+1,AP$164,1,1,"Confirmed Trend")))</f>
        <v>#N/A</v>
      </c>
      <c r="AQ185" s="18" t="e" cm="1">
        <f t="array" aca="1" ref="AQ185" ca="1">IF(INDIRECT(ADDRESS($B185+1,AQ$164,1,1,"Confirmed Trend"))=0,#N/A,INDIRECT(ADDRESS($B185+1,AQ$164,1,1,"Confirmed Trend")))</f>
        <v>#N/A</v>
      </c>
      <c r="AR185" s="18" t="e" cm="1">
        <f t="array" aca="1" ref="AR185" ca="1">IF(INDIRECT(ADDRESS($B185+1,AR$164,1,1,"Confirmed Trend"))=0,#N/A,INDIRECT(ADDRESS($B185+1,AR$164,1,1,"Confirmed Trend")))</f>
        <v>#N/A</v>
      </c>
      <c r="AS185" s="18" t="e" cm="1">
        <f t="array" aca="1" ref="AS185" ca="1">IF(INDIRECT(ADDRESS($B185+1,AS$164,1,1,"Confirmed Trend"))=0,#N/A,INDIRECT(ADDRESS($B185+1,AS$164,1,1,"Confirmed Trend")))</f>
        <v>#N/A</v>
      </c>
      <c r="AT185" s="18" t="e" cm="1">
        <f t="array" aca="1" ref="AT185" ca="1">IF(INDIRECT(ADDRESS($B185+1,AT$164,1,1,"Confirmed Trend"))=0,#N/A,INDIRECT(ADDRESS($B185+1,AT$164,1,1,"Confirmed Trend")))</f>
        <v>#N/A</v>
      </c>
      <c r="AU185" s="18" t="e" cm="1">
        <f t="array" aca="1" ref="AU185" ca="1">IF(INDIRECT(ADDRESS($B185+1,AU$164,1,1,"Confirmed Trend"))=0,#N/A,INDIRECT(ADDRESS($B185+1,AU$164,1,1,"Confirmed Trend")))</f>
        <v>#N/A</v>
      </c>
      <c r="AV185" s="18" t="e" cm="1">
        <f t="array" aca="1" ref="AV185" ca="1">IF(INDIRECT(ADDRESS($B185+1,AV$164,1,1,"Confirmed Trend"))=0,#N/A,INDIRECT(ADDRESS($B185+1,AV$164,1,1,"Confirmed Trend")))</f>
        <v>#N/A</v>
      </c>
      <c r="AW185" s="18" t="e" cm="1">
        <f t="array" aca="1" ref="AW185" ca="1">IF(INDIRECT(ADDRESS($B185+1,AW$164,1,1,"Confirmed Trend"))=0,#N/A,INDIRECT(ADDRESS($B185+1,AW$164,1,1,"Confirmed Trend")))</f>
        <v>#N/A</v>
      </c>
      <c r="AX185" s="18" t="e" cm="1">
        <f t="array" aca="1" ref="AX185" ca="1">IF(INDIRECT(ADDRESS($B185+1,AX$164,1,1,"Confirmed Trend"))=0,#N/A,INDIRECT(ADDRESS($B185+1,AX$164,1,1,"Confirmed Trend")))</f>
        <v>#N/A</v>
      </c>
      <c r="AY185" s="18" t="e" cm="1">
        <f t="array" aca="1" ref="AY185" ca="1">IF(INDIRECT(ADDRESS($B185+1,AY$164,1,1,"Confirmed Trend"))=0,#N/A,INDIRECT(ADDRESS($B185+1,AY$164,1,1,"Confirmed Trend")))</f>
        <v>#N/A</v>
      </c>
      <c r="AZ185" s="18" t="e" cm="1">
        <f t="array" aca="1" ref="AZ185" ca="1">IF(INDIRECT(ADDRESS($B185+1,AZ$164,1,1,"Confirmed Trend"))=0,#N/A,INDIRECT(ADDRESS($B185+1,AZ$164,1,1,"Confirmed Trend")))</f>
        <v>#N/A</v>
      </c>
      <c r="BA185" s="18" t="e" cm="1">
        <f t="array" aca="1" ref="BA185" ca="1">IF(INDIRECT(ADDRESS($B185+1,BA$164,1,1,"Confirmed Trend"))=0,#N/A,INDIRECT(ADDRESS($B185+1,BA$164,1,1,"Confirmed Trend")))</f>
        <v>#N/A</v>
      </c>
      <c r="BB185" s="18" t="e" cm="1">
        <f t="array" aca="1" ref="BB185" ca="1">IF(INDIRECT(ADDRESS($B185+1,BB$164,1,1,"Confirmed Trend"))=0,#N/A,INDIRECT(ADDRESS($B185+1,BB$164,1,1,"Confirmed Trend")))</f>
        <v>#N/A</v>
      </c>
      <c r="BC185" s="18" t="e" cm="1">
        <f t="array" aca="1" ref="BC185" ca="1">IF(INDIRECT(ADDRESS($B185+1,BC$164,1,1,"Confirmed Trend"))=0,#N/A,INDIRECT(ADDRESS($B185+1,BC$164,1,1,"Confirmed Trend")))</f>
        <v>#N/A</v>
      </c>
      <c r="BD185" s="18" t="e" cm="1">
        <f t="array" aca="1" ref="BD185" ca="1">IF(INDIRECT(ADDRESS($B185+1,BD$164,1,1,"Confirmed Trend"))=0,#N/A,INDIRECT(ADDRESS($B185+1,BD$164,1,1,"Confirmed Trend")))</f>
        <v>#N/A</v>
      </c>
      <c r="BE185" s="18" t="e" cm="1">
        <f t="array" aca="1" ref="BE185" ca="1">IF(INDIRECT(ADDRESS($B185+1,BE$164,1,1,"Confirmed Trend"))=0,#N/A,INDIRECT(ADDRESS($B185+1,BE$164,1,1,"Confirmed Trend")))</f>
        <v>#N/A</v>
      </c>
      <c r="BF185" s="18" t="e" cm="1">
        <f t="array" aca="1" ref="BF185" ca="1">IF(INDIRECT(ADDRESS($B185+1,BF$164,1,1,"Confirmed Trend"))=0,#N/A,INDIRECT(ADDRESS($B185+1,BF$164,1,1,"Confirmed Trend")))</f>
        <v>#N/A</v>
      </c>
      <c r="BG185" s="18" t="e" cm="1">
        <f t="array" aca="1" ref="BG185" ca="1">IF(INDIRECT(ADDRESS($B185+1,BG$164,1,1,"Confirmed Trend"))=0,#N/A,INDIRECT(ADDRESS($B185+1,BG$164,1,1,"Confirmed Trend")))</f>
        <v>#N/A</v>
      </c>
      <c r="BH185" s="18" t="e" cm="1">
        <f t="array" aca="1" ref="BH185" ca="1">IF(INDIRECT(ADDRESS($B185+1,BH$164,1,1,"Confirmed Trend"))=0,#N/A,INDIRECT(ADDRESS($B185+1,BH$164,1,1,"Confirmed Trend")))</f>
        <v>#N/A</v>
      </c>
      <c r="BI185" s="18" t="e" cm="1">
        <f t="array" aca="1" ref="BI185" ca="1">IF(INDIRECT(ADDRESS($B185+1,BI$164,1,1,"Confirmed Trend"))=0,#N/A,INDIRECT(ADDRESS($B185+1,BI$164,1,1,"Confirmed Trend")))</f>
        <v>#N/A</v>
      </c>
      <c r="BJ185" s="18" t="e" cm="1">
        <f t="array" aca="1" ref="BJ185" ca="1">IF(INDIRECT(ADDRESS($B185+1,BJ$164,1,1,"Confirmed Trend"))=0,#N/A,INDIRECT(ADDRESS($B185+1,BJ$164,1,1,"Confirmed Trend")))</f>
        <v>#N/A</v>
      </c>
      <c r="BK185" s="18" t="e" cm="1">
        <f t="array" aca="1" ref="BK185" ca="1">IF(INDIRECT(ADDRESS($B185+1,BK$164,1,1,"Confirmed Trend"))=0,#N/A,INDIRECT(ADDRESS($B185+1,BK$164,1,1,"Confirmed Trend")))</f>
        <v>#N/A</v>
      </c>
      <c r="BL185" s="18" t="e" cm="1">
        <f t="array" aca="1" ref="BL185" ca="1">IF(INDIRECT(ADDRESS($B185+1,BL$164,1,1,"Confirmed Trend"))=0,#N/A,INDIRECT(ADDRESS($B185+1,BL$164,1,1,"Confirmed Trend")))</f>
        <v>#N/A</v>
      </c>
      <c r="BM185" s="18" t="e" cm="1">
        <f t="array" aca="1" ref="BM185" ca="1">IF(INDIRECT(ADDRESS($B185+1,BM$164,1,1,"Confirmed Trend"))=0,#N/A,INDIRECT(ADDRESS($B185+1,BM$164,1,1,"Confirmed Trend")))</f>
        <v>#N/A</v>
      </c>
      <c r="BN185" s="18" t="e" cm="1">
        <f t="array" aca="1" ref="BN185" ca="1">IF(INDIRECT(ADDRESS($B185+1,BN$164,1,1,"Confirmed Trend"))=0,#N/A,INDIRECT(ADDRESS($B185+1,BN$164,1,1,"Confirmed Trend")))</f>
        <v>#N/A</v>
      </c>
      <c r="BO185" s="18" t="e" cm="1">
        <f t="array" aca="1" ref="BO185" ca="1">IF(INDIRECT(ADDRESS($B185+1,BO$164,1,1,"Confirmed Trend"))=0,#N/A,INDIRECT(ADDRESS($B185+1,BO$164,1,1,"Confirmed Trend")))</f>
        <v>#N/A</v>
      </c>
      <c r="BP185" s="18" t="e" cm="1">
        <f t="array" aca="1" ref="BP185" ca="1">IF(INDIRECT(ADDRESS($B185+1,BP$164,1,1,"Confirmed Trend"))=0,#N/A,INDIRECT(ADDRESS($B185+1,BP$164,1,1,"Confirmed Trend")))</f>
        <v>#N/A</v>
      </c>
      <c r="BQ185" s="18" t="e" cm="1">
        <f t="array" aca="1" ref="BQ185" ca="1">IF(INDIRECT(ADDRESS($B185+1,BQ$164,1,1,"Confirmed Trend"))=0,#N/A,INDIRECT(ADDRESS($B185+1,BQ$164,1,1,"Confirmed Trend")))</f>
        <v>#N/A</v>
      </c>
      <c r="BR185" s="18" t="e" cm="1">
        <f t="array" aca="1" ref="BR185" ca="1">IF(INDIRECT(ADDRESS($B185+1,BR$164,1,1,"Confirmed Trend"))=0,#N/A,INDIRECT(ADDRESS($B185+1,BR$164,1,1,"Confirmed Trend")))</f>
        <v>#N/A</v>
      </c>
      <c r="BS185" s="18" t="e" cm="1">
        <f t="array" aca="1" ref="BS185" ca="1">IF(INDIRECT(ADDRESS($B185+1,BS$164,1,1,"Confirmed Trend"))=0,#N/A,INDIRECT(ADDRESS($B185+1,BS$164,1,1,"Confirmed Trend")))</f>
        <v>#N/A</v>
      </c>
      <c r="BT185" s="18" t="e" cm="1">
        <f t="array" aca="1" ref="BT185" ca="1">IF(INDIRECT(ADDRESS($B185+1,BT$164,1,1,"Confirmed Trend"))=0,#N/A,INDIRECT(ADDRESS($B185+1,BT$164,1,1,"Confirmed Trend")))</f>
        <v>#N/A</v>
      </c>
      <c r="BU185" s="18" t="e" cm="1">
        <f t="array" aca="1" ref="BU185" ca="1">IF(INDIRECT(ADDRESS($B185+1,BU$164,1,1,"Confirmed Trend"))=0,#N/A,INDIRECT(ADDRESS($B185+1,BU$164,1,1,"Confirmed Trend")))</f>
        <v>#N/A</v>
      </c>
      <c r="BV185" s="18" t="e" cm="1">
        <f t="array" aca="1" ref="BV185" ca="1">IF(INDIRECT(ADDRESS($B185+1,BV$164,1,1,"Confirmed Trend"))=0,#N/A,INDIRECT(ADDRESS($B185+1,BV$164,1,1,"Confirmed Trend")))</f>
        <v>#N/A</v>
      </c>
    </row>
    <row r="186" spans="2:74" x14ac:dyDescent="0.25">
      <c r="B186">
        <f t="shared" si="132"/>
        <v>21</v>
      </c>
      <c r="C186" cm="1">
        <f t="array" aca="1" ref="C186" ca="1">INDIRECT(ADDRESS($B186+1,1,1,1,"Confirmed Trend"))</f>
        <v>0</v>
      </c>
      <c r="E186" s="18" t="e" cm="1">
        <f t="array" aca="1" ref="E186" ca="1">IF(INDIRECT(ADDRESS($B186+1,E$164,1,1,"Confirmed Trend"))=0,#N/A,INDIRECT(ADDRESS($B186+1,E$164,1,1,"Confirmed Trend")))</f>
        <v>#N/A</v>
      </c>
      <c r="F186" s="18" t="e" cm="1">
        <f t="array" aca="1" ref="F186" ca="1">IF(INDIRECT(ADDRESS($B186+1,F$164,1,1,"Confirmed Trend"))=0,#N/A,INDIRECT(ADDRESS($B186+1,F$164,1,1,"Confirmed Trend")))</f>
        <v>#N/A</v>
      </c>
      <c r="G186" s="18" t="e" cm="1">
        <f t="array" aca="1" ref="G186" ca="1">IF(INDIRECT(ADDRESS($B186+1,G$164,1,1,"Confirmed Trend"))=0,#N/A,INDIRECT(ADDRESS($B186+1,G$164,1,1,"Confirmed Trend")))</f>
        <v>#N/A</v>
      </c>
      <c r="H186" s="18" t="e" cm="1">
        <f t="array" aca="1" ref="H186" ca="1">IF(INDIRECT(ADDRESS($B186+1,H$164,1,1,"Confirmed Trend"))=0,#N/A,INDIRECT(ADDRESS($B186+1,H$164,1,1,"Confirmed Trend")))</f>
        <v>#N/A</v>
      </c>
      <c r="I186" s="18" t="e" cm="1">
        <f t="array" aca="1" ref="I186" ca="1">IF(INDIRECT(ADDRESS($B186+1,I$164,1,1,"Confirmed Trend"))=0,#N/A,INDIRECT(ADDRESS($B186+1,I$164,1,1,"Confirmed Trend")))</f>
        <v>#N/A</v>
      </c>
      <c r="J186" s="18" t="e" cm="1">
        <f t="array" aca="1" ref="J186" ca="1">IF(INDIRECT(ADDRESS($B186+1,J$164,1,1,"Confirmed Trend"))=0,#N/A,INDIRECT(ADDRESS($B186+1,J$164,1,1,"Confirmed Trend")))</f>
        <v>#N/A</v>
      </c>
      <c r="K186" s="18" t="e" cm="1">
        <f t="array" aca="1" ref="K186" ca="1">IF(INDIRECT(ADDRESS($B186+1,K$164,1,1,"Confirmed Trend"))=0,#N/A,INDIRECT(ADDRESS($B186+1,K$164,1,1,"Confirmed Trend")))</f>
        <v>#N/A</v>
      </c>
      <c r="L186" s="18" t="e" cm="1">
        <f t="array" aca="1" ref="L186" ca="1">IF(INDIRECT(ADDRESS($B186+1,L$164,1,1,"Confirmed Trend"))=0,#N/A,INDIRECT(ADDRESS($B186+1,L$164,1,1,"Confirmed Trend")))</f>
        <v>#N/A</v>
      </c>
      <c r="M186" s="18" t="e" cm="1">
        <f t="array" aca="1" ref="M186" ca="1">IF(INDIRECT(ADDRESS($B186+1,M$164,1,1,"Confirmed Trend"))=0,#N/A,INDIRECT(ADDRESS($B186+1,M$164,1,1,"Confirmed Trend")))</f>
        <v>#N/A</v>
      </c>
      <c r="N186" s="18" t="e" cm="1">
        <f t="array" aca="1" ref="N186" ca="1">IF(INDIRECT(ADDRESS($B186+1,N$164,1,1,"Confirmed Trend"))=0,#N/A,INDIRECT(ADDRESS($B186+1,N$164,1,1,"Confirmed Trend")))</f>
        <v>#N/A</v>
      </c>
      <c r="O186" s="18" t="e" cm="1">
        <f t="array" aca="1" ref="O186" ca="1">IF(INDIRECT(ADDRESS($B186+1,O$164,1,1,"Confirmed Trend"))=0,#N/A,INDIRECT(ADDRESS($B186+1,O$164,1,1,"Confirmed Trend")))</f>
        <v>#N/A</v>
      </c>
      <c r="P186" s="18" t="e" cm="1">
        <f t="array" aca="1" ref="P186" ca="1">IF(INDIRECT(ADDRESS($B186+1,P$164,1,1,"Confirmed Trend"))=0,#N/A,INDIRECT(ADDRESS($B186+1,P$164,1,1,"Confirmed Trend")))</f>
        <v>#N/A</v>
      </c>
      <c r="Q186" s="18" t="e" cm="1">
        <f t="array" aca="1" ref="Q186" ca="1">IF(INDIRECT(ADDRESS($B186+1,Q$164,1,1,"Confirmed Trend"))=0,#N/A,INDIRECT(ADDRESS($B186+1,Q$164,1,1,"Confirmed Trend")))</f>
        <v>#N/A</v>
      </c>
      <c r="R186" s="18" t="e" cm="1">
        <f t="array" aca="1" ref="R186" ca="1">IF(INDIRECT(ADDRESS($B186+1,R$164,1,1,"Confirmed Trend"))=0,#N/A,INDIRECT(ADDRESS($B186+1,R$164,1,1,"Confirmed Trend")))</f>
        <v>#N/A</v>
      </c>
      <c r="S186" s="18" t="e" cm="1">
        <f t="array" aca="1" ref="S186" ca="1">IF(INDIRECT(ADDRESS($B186+1,S$164,1,1,"Confirmed Trend"))=0,#N/A,INDIRECT(ADDRESS($B186+1,S$164,1,1,"Confirmed Trend")))</f>
        <v>#N/A</v>
      </c>
      <c r="T186" s="18" t="e" cm="1">
        <f t="array" aca="1" ref="T186" ca="1">IF(INDIRECT(ADDRESS($B186+1,T$164,1,1,"Confirmed Trend"))=0,#N/A,INDIRECT(ADDRESS($B186+1,T$164,1,1,"Confirmed Trend")))</f>
        <v>#N/A</v>
      </c>
      <c r="U186" s="18" t="e" cm="1">
        <f t="array" aca="1" ref="U186" ca="1">IF(INDIRECT(ADDRESS($B186+1,U$164,1,1,"Confirmed Trend"))=0,#N/A,INDIRECT(ADDRESS($B186+1,U$164,1,1,"Confirmed Trend")))</f>
        <v>#N/A</v>
      </c>
      <c r="V186" s="18" t="e" cm="1">
        <f t="array" aca="1" ref="V186" ca="1">IF(INDIRECT(ADDRESS($B186+1,V$164,1,1,"Confirmed Trend"))=0,#N/A,INDIRECT(ADDRESS($B186+1,V$164,1,1,"Confirmed Trend")))</f>
        <v>#N/A</v>
      </c>
      <c r="W186" s="18" t="e" cm="1">
        <f t="array" aca="1" ref="W186" ca="1">IF(INDIRECT(ADDRESS($B186+1,W$164,1,1,"Confirmed Trend"))=0,#N/A,INDIRECT(ADDRESS($B186+1,W$164,1,1,"Confirmed Trend")))</f>
        <v>#N/A</v>
      </c>
      <c r="X186" s="18" t="e" cm="1">
        <f t="array" aca="1" ref="X186" ca="1">IF(INDIRECT(ADDRESS($B186+1,X$164,1,1,"Confirmed Trend"))=0,#N/A,INDIRECT(ADDRESS($B186+1,X$164,1,1,"Confirmed Trend")))</f>
        <v>#N/A</v>
      </c>
      <c r="Y186" s="18" t="e" cm="1">
        <f t="array" aca="1" ref="Y186" ca="1">IF(INDIRECT(ADDRESS($B186+1,Y$164,1,1,"Confirmed Trend"))=0,#N/A,INDIRECT(ADDRESS($B186+1,Y$164,1,1,"Confirmed Trend")))</f>
        <v>#N/A</v>
      </c>
      <c r="Z186" s="18" t="e" cm="1">
        <f t="array" aca="1" ref="Z186" ca="1">IF(INDIRECT(ADDRESS($B186+1,Z$164,1,1,"Confirmed Trend"))=0,#N/A,INDIRECT(ADDRESS($B186+1,Z$164,1,1,"Confirmed Trend")))</f>
        <v>#N/A</v>
      </c>
      <c r="AA186" s="18" t="e" cm="1">
        <f t="array" aca="1" ref="AA186" ca="1">IF(INDIRECT(ADDRESS($B186+1,AA$164,1,1,"Confirmed Trend"))=0,#N/A,INDIRECT(ADDRESS($B186+1,AA$164,1,1,"Confirmed Trend")))</f>
        <v>#N/A</v>
      </c>
      <c r="AB186" s="18" t="e" cm="1">
        <f t="array" aca="1" ref="AB186" ca="1">IF(INDIRECT(ADDRESS($B186+1,AB$164,1,1,"Confirmed Trend"))=0,#N/A,INDIRECT(ADDRESS($B186+1,AB$164,1,1,"Confirmed Trend")))</f>
        <v>#N/A</v>
      </c>
      <c r="AC186" s="18" t="e" cm="1">
        <f t="array" aca="1" ref="AC186" ca="1">IF(INDIRECT(ADDRESS($B186+1,AC$164,1,1,"Confirmed Trend"))=0,#N/A,INDIRECT(ADDRESS($B186+1,AC$164,1,1,"Confirmed Trend")))</f>
        <v>#N/A</v>
      </c>
      <c r="AD186" s="18" t="e" cm="1">
        <f t="array" aca="1" ref="AD186" ca="1">IF(INDIRECT(ADDRESS($B186+1,AD$164,1,1,"Confirmed Trend"))=0,#N/A,INDIRECT(ADDRESS($B186+1,AD$164,1,1,"Confirmed Trend")))</f>
        <v>#N/A</v>
      </c>
      <c r="AE186" s="18" t="e" cm="1">
        <f t="array" aca="1" ref="AE186" ca="1">IF(INDIRECT(ADDRESS($B186+1,AE$164,1,1,"Confirmed Trend"))=0,#N/A,INDIRECT(ADDRESS($B186+1,AE$164,1,1,"Confirmed Trend")))</f>
        <v>#N/A</v>
      </c>
      <c r="AF186" s="18" t="e" cm="1">
        <f t="array" aca="1" ref="AF186" ca="1">IF(INDIRECT(ADDRESS($B186+1,AF$164,1,1,"Confirmed Trend"))=0,#N/A,INDIRECT(ADDRESS($B186+1,AF$164,1,1,"Confirmed Trend")))</f>
        <v>#N/A</v>
      </c>
      <c r="AG186" s="18" t="e" cm="1">
        <f t="array" aca="1" ref="AG186" ca="1">IF(INDIRECT(ADDRESS($B186+1,AG$164,1,1,"Confirmed Trend"))=0,#N/A,INDIRECT(ADDRESS($B186+1,AG$164,1,1,"Confirmed Trend")))</f>
        <v>#N/A</v>
      </c>
      <c r="AH186" s="18" t="e" cm="1">
        <f t="array" aca="1" ref="AH186" ca="1">IF(INDIRECT(ADDRESS($B186+1,AH$164,1,1,"Confirmed Trend"))=0,#N/A,INDIRECT(ADDRESS($B186+1,AH$164,1,1,"Confirmed Trend")))</f>
        <v>#N/A</v>
      </c>
      <c r="AI186" s="18" t="e" cm="1">
        <f t="array" aca="1" ref="AI186" ca="1">IF(INDIRECT(ADDRESS($B186+1,AI$164,1,1,"Confirmed Trend"))=0,#N/A,INDIRECT(ADDRESS($B186+1,AI$164,1,1,"Confirmed Trend")))</f>
        <v>#N/A</v>
      </c>
      <c r="AJ186" s="18" t="e" cm="1">
        <f t="array" aca="1" ref="AJ186" ca="1">IF(INDIRECT(ADDRESS($B186+1,AJ$164,1,1,"Confirmed Trend"))=0,#N/A,INDIRECT(ADDRESS($B186+1,AJ$164,1,1,"Confirmed Trend")))</f>
        <v>#N/A</v>
      </c>
      <c r="AK186" s="18" t="e" cm="1">
        <f t="array" aca="1" ref="AK186" ca="1">IF(INDIRECT(ADDRESS($B186+1,AK$164,1,1,"Confirmed Trend"))=0,#N/A,INDIRECT(ADDRESS($B186+1,AK$164,1,1,"Confirmed Trend")))</f>
        <v>#N/A</v>
      </c>
      <c r="AL186" s="18" t="e" cm="1">
        <f t="array" aca="1" ref="AL186" ca="1">IF(INDIRECT(ADDRESS($B186+1,AL$164,1,1,"Confirmed Trend"))=0,#N/A,INDIRECT(ADDRESS($B186+1,AL$164,1,1,"Confirmed Trend")))</f>
        <v>#N/A</v>
      </c>
      <c r="AM186" s="18" t="e" cm="1">
        <f t="array" aca="1" ref="AM186" ca="1">IF(INDIRECT(ADDRESS($B186+1,AM$164,1,1,"Confirmed Trend"))=0,#N/A,INDIRECT(ADDRESS($B186+1,AM$164,1,1,"Confirmed Trend")))</f>
        <v>#N/A</v>
      </c>
      <c r="AN186" s="18" t="e" cm="1">
        <f t="array" aca="1" ref="AN186" ca="1">IF(INDIRECT(ADDRESS($B186+1,AN$164,1,1,"Confirmed Trend"))=0,#N/A,INDIRECT(ADDRESS($B186+1,AN$164,1,1,"Confirmed Trend")))</f>
        <v>#N/A</v>
      </c>
      <c r="AO186" s="18" t="e" cm="1">
        <f t="array" aca="1" ref="AO186" ca="1">IF(INDIRECT(ADDRESS($B186+1,AO$164,1,1,"Confirmed Trend"))=0,#N/A,INDIRECT(ADDRESS($B186+1,AO$164,1,1,"Confirmed Trend")))</f>
        <v>#N/A</v>
      </c>
      <c r="AP186" s="18" t="e" cm="1">
        <f t="array" aca="1" ref="AP186" ca="1">IF(INDIRECT(ADDRESS($B186+1,AP$164,1,1,"Confirmed Trend"))=0,#N/A,INDIRECT(ADDRESS($B186+1,AP$164,1,1,"Confirmed Trend")))</f>
        <v>#N/A</v>
      </c>
      <c r="AQ186" s="18" t="e" cm="1">
        <f t="array" aca="1" ref="AQ186" ca="1">IF(INDIRECT(ADDRESS($B186+1,AQ$164,1,1,"Confirmed Trend"))=0,#N/A,INDIRECT(ADDRESS($B186+1,AQ$164,1,1,"Confirmed Trend")))</f>
        <v>#N/A</v>
      </c>
      <c r="AR186" s="18" t="e" cm="1">
        <f t="array" aca="1" ref="AR186" ca="1">IF(INDIRECT(ADDRESS($B186+1,AR$164,1,1,"Confirmed Trend"))=0,#N/A,INDIRECT(ADDRESS($B186+1,AR$164,1,1,"Confirmed Trend")))</f>
        <v>#N/A</v>
      </c>
      <c r="AS186" s="18" t="e" cm="1">
        <f t="array" aca="1" ref="AS186" ca="1">IF(INDIRECT(ADDRESS($B186+1,AS$164,1,1,"Confirmed Trend"))=0,#N/A,INDIRECT(ADDRESS($B186+1,AS$164,1,1,"Confirmed Trend")))</f>
        <v>#N/A</v>
      </c>
      <c r="AT186" s="18" t="e" cm="1">
        <f t="array" aca="1" ref="AT186" ca="1">IF(INDIRECT(ADDRESS($B186+1,AT$164,1,1,"Confirmed Trend"))=0,#N/A,INDIRECT(ADDRESS($B186+1,AT$164,1,1,"Confirmed Trend")))</f>
        <v>#N/A</v>
      </c>
      <c r="AU186" s="18" t="e" cm="1">
        <f t="array" aca="1" ref="AU186" ca="1">IF(INDIRECT(ADDRESS($B186+1,AU$164,1,1,"Confirmed Trend"))=0,#N/A,INDIRECT(ADDRESS($B186+1,AU$164,1,1,"Confirmed Trend")))</f>
        <v>#N/A</v>
      </c>
      <c r="AV186" s="18" t="e" cm="1">
        <f t="array" aca="1" ref="AV186" ca="1">IF(INDIRECT(ADDRESS($B186+1,AV$164,1,1,"Confirmed Trend"))=0,#N/A,INDIRECT(ADDRESS($B186+1,AV$164,1,1,"Confirmed Trend")))</f>
        <v>#N/A</v>
      </c>
      <c r="AW186" s="18" t="e" cm="1">
        <f t="array" aca="1" ref="AW186" ca="1">IF(INDIRECT(ADDRESS($B186+1,AW$164,1,1,"Confirmed Trend"))=0,#N/A,INDIRECT(ADDRESS($B186+1,AW$164,1,1,"Confirmed Trend")))</f>
        <v>#N/A</v>
      </c>
      <c r="AX186" s="18" t="e" cm="1">
        <f t="array" aca="1" ref="AX186" ca="1">IF(INDIRECT(ADDRESS($B186+1,AX$164,1,1,"Confirmed Trend"))=0,#N/A,INDIRECT(ADDRESS($B186+1,AX$164,1,1,"Confirmed Trend")))</f>
        <v>#N/A</v>
      </c>
      <c r="AY186" s="18" t="e" cm="1">
        <f t="array" aca="1" ref="AY186" ca="1">IF(INDIRECT(ADDRESS($B186+1,AY$164,1,1,"Confirmed Trend"))=0,#N/A,INDIRECT(ADDRESS($B186+1,AY$164,1,1,"Confirmed Trend")))</f>
        <v>#N/A</v>
      </c>
      <c r="AZ186" s="18" t="e" cm="1">
        <f t="array" aca="1" ref="AZ186" ca="1">IF(INDIRECT(ADDRESS($B186+1,AZ$164,1,1,"Confirmed Trend"))=0,#N/A,INDIRECT(ADDRESS($B186+1,AZ$164,1,1,"Confirmed Trend")))</f>
        <v>#N/A</v>
      </c>
      <c r="BA186" s="18" t="e" cm="1">
        <f t="array" aca="1" ref="BA186" ca="1">IF(INDIRECT(ADDRESS($B186+1,BA$164,1,1,"Confirmed Trend"))=0,#N/A,INDIRECT(ADDRESS($B186+1,BA$164,1,1,"Confirmed Trend")))</f>
        <v>#N/A</v>
      </c>
      <c r="BB186" s="18" t="e" cm="1">
        <f t="array" aca="1" ref="BB186" ca="1">IF(INDIRECT(ADDRESS($B186+1,BB$164,1,1,"Confirmed Trend"))=0,#N/A,INDIRECT(ADDRESS($B186+1,BB$164,1,1,"Confirmed Trend")))</f>
        <v>#N/A</v>
      </c>
      <c r="BC186" s="18" t="e" cm="1">
        <f t="array" aca="1" ref="BC186" ca="1">IF(INDIRECT(ADDRESS($B186+1,BC$164,1,1,"Confirmed Trend"))=0,#N/A,INDIRECT(ADDRESS($B186+1,BC$164,1,1,"Confirmed Trend")))</f>
        <v>#N/A</v>
      </c>
      <c r="BD186" s="18" t="e" cm="1">
        <f t="array" aca="1" ref="BD186" ca="1">IF(INDIRECT(ADDRESS($B186+1,BD$164,1,1,"Confirmed Trend"))=0,#N/A,INDIRECT(ADDRESS($B186+1,BD$164,1,1,"Confirmed Trend")))</f>
        <v>#N/A</v>
      </c>
      <c r="BE186" s="18" t="e" cm="1">
        <f t="array" aca="1" ref="BE186" ca="1">IF(INDIRECT(ADDRESS($B186+1,BE$164,1,1,"Confirmed Trend"))=0,#N/A,INDIRECT(ADDRESS($B186+1,BE$164,1,1,"Confirmed Trend")))</f>
        <v>#N/A</v>
      </c>
      <c r="BF186" s="18" t="e" cm="1">
        <f t="array" aca="1" ref="BF186" ca="1">IF(INDIRECT(ADDRESS($B186+1,BF$164,1,1,"Confirmed Trend"))=0,#N/A,INDIRECT(ADDRESS($B186+1,BF$164,1,1,"Confirmed Trend")))</f>
        <v>#N/A</v>
      </c>
      <c r="BG186" s="18" t="e" cm="1">
        <f t="array" aca="1" ref="BG186" ca="1">IF(INDIRECT(ADDRESS($B186+1,BG$164,1,1,"Confirmed Trend"))=0,#N/A,INDIRECT(ADDRESS($B186+1,BG$164,1,1,"Confirmed Trend")))</f>
        <v>#N/A</v>
      </c>
      <c r="BH186" s="18" t="e" cm="1">
        <f t="array" aca="1" ref="BH186" ca="1">IF(INDIRECT(ADDRESS($B186+1,BH$164,1,1,"Confirmed Trend"))=0,#N/A,INDIRECT(ADDRESS($B186+1,BH$164,1,1,"Confirmed Trend")))</f>
        <v>#N/A</v>
      </c>
      <c r="BI186" s="18" t="e" cm="1">
        <f t="array" aca="1" ref="BI186" ca="1">IF(INDIRECT(ADDRESS($B186+1,BI$164,1,1,"Confirmed Trend"))=0,#N/A,INDIRECT(ADDRESS($B186+1,BI$164,1,1,"Confirmed Trend")))</f>
        <v>#N/A</v>
      </c>
      <c r="BJ186" s="18" t="e" cm="1">
        <f t="array" aca="1" ref="BJ186" ca="1">IF(INDIRECT(ADDRESS($B186+1,BJ$164,1,1,"Confirmed Trend"))=0,#N/A,INDIRECT(ADDRESS($B186+1,BJ$164,1,1,"Confirmed Trend")))</f>
        <v>#N/A</v>
      </c>
      <c r="BK186" s="18" t="e" cm="1">
        <f t="array" aca="1" ref="BK186" ca="1">IF(INDIRECT(ADDRESS($B186+1,BK$164,1,1,"Confirmed Trend"))=0,#N/A,INDIRECT(ADDRESS($B186+1,BK$164,1,1,"Confirmed Trend")))</f>
        <v>#N/A</v>
      </c>
      <c r="BL186" s="18" t="e" cm="1">
        <f t="array" aca="1" ref="BL186" ca="1">IF(INDIRECT(ADDRESS($B186+1,BL$164,1,1,"Confirmed Trend"))=0,#N/A,INDIRECT(ADDRESS($B186+1,BL$164,1,1,"Confirmed Trend")))</f>
        <v>#N/A</v>
      </c>
      <c r="BM186" s="18" t="e" cm="1">
        <f t="array" aca="1" ref="BM186" ca="1">IF(INDIRECT(ADDRESS($B186+1,BM$164,1,1,"Confirmed Trend"))=0,#N/A,INDIRECT(ADDRESS($B186+1,BM$164,1,1,"Confirmed Trend")))</f>
        <v>#N/A</v>
      </c>
      <c r="BN186" s="18" t="e" cm="1">
        <f t="array" aca="1" ref="BN186" ca="1">IF(INDIRECT(ADDRESS($B186+1,BN$164,1,1,"Confirmed Trend"))=0,#N/A,INDIRECT(ADDRESS($B186+1,BN$164,1,1,"Confirmed Trend")))</f>
        <v>#N/A</v>
      </c>
      <c r="BO186" s="18" t="e" cm="1">
        <f t="array" aca="1" ref="BO186" ca="1">IF(INDIRECT(ADDRESS($B186+1,BO$164,1,1,"Confirmed Trend"))=0,#N/A,INDIRECT(ADDRESS($B186+1,BO$164,1,1,"Confirmed Trend")))</f>
        <v>#N/A</v>
      </c>
      <c r="BP186" s="18" t="e" cm="1">
        <f t="array" aca="1" ref="BP186" ca="1">IF(INDIRECT(ADDRESS($B186+1,BP$164,1,1,"Confirmed Trend"))=0,#N/A,INDIRECT(ADDRESS($B186+1,BP$164,1,1,"Confirmed Trend")))</f>
        <v>#N/A</v>
      </c>
      <c r="BQ186" s="18" t="e" cm="1">
        <f t="array" aca="1" ref="BQ186" ca="1">IF(INDIRECT(ADDRESS($B186+1,BQ$164,1,1,"Confirmed Trend"))=0,#N/A,INDIRECT(ADDRESS($B186+1,BQ$164,1,1,"Confirmed Trend")))</f>
        <v>#N/A</v>
      </c>
      <c r="BR186" s="18" t="e" cm="1">
        <f t="array" aca="1" ref="BR186" ca="1">IF(INDIRECT(ADDRESS($B186+1,BR$164,1,1,"Confirmed Trend"))=0,#N/A,INDIRECT(ADDRESS($B186+1,BR$164,1,1,"Confirmed Trend")))</f>
        <v>#N/A</v>
      </c>
      <c r="BS186" s="18" t="e" cm="1">
        <f t="array" aca="1" ref="BS186" ca="1">IF(INDIRECT(ADDRESS($B186+1,BS$164,1,1,"Confirmed Trend"))=0,#N/A,INDIRECT(ADDRESS($B186+1,BS$164,1,1,"Confirmed Trend")))</f>
        <v>#N/A</v>
      </c>
      <c r="BT186" s="18" t="e" cm="1">
        <f t="array" aca="1" ref="BT186" ca="1">IF(INDIRECT(ADDRESS($B186+1,BT$164,1,1,"Confirmed Trend"))=0,#N/A,INDIRECT(ADDRESS($B186+1,BT$164,1,1,"Confirmed Trend")))</f>
        <v>#N/A</v>
      </c>
      <c r="BU186" s="18" t="e" cm="1">
        <f t="array" aca="1" ref="BU186" ca="1">IF(INDIRECT(ADDRESS($B186+1,BU$164,1,1,"Confirmed Trend"))=0,#N/A,INDIRECT(ADDRESS($B186+1,BU$164,1,1,"Confirmed Trend")))</f>
        <v>#N/A</v>
      </c>
      <c r="BV186" s="18" t="e" cm="1">
        <f t="array" aca="1" ref="BV186" ca="1">IF(INDIRECT(ADDRESS($B186+1,BV$164,1,1,"Confirmed Trend"))=0,#N/A,INDIRECT(ADDRESS($B186+1,BV$164,1,1,"Confirmed Trend")))</f>
        <v>#N/A</v>
      </c>
    </row>
    <row r="187" spans="2:74" x14ac:dyDescent="0.25">
      <c r="B187">
        <f t="shared" si="132"/>
        <v>22</v>
      </c>
      <c r="C187" cm="1">
        <f t="array" aca="1" ref="C187" ca="1">INDIRECT(ADDRESS($B187+1,1,1,1,"Confirmed Trend"))</f>
        <v>0</v>
      </c>
      <c r="E187" s="18" t="e" cm="1">
        <f t="array" aca="1" ref="E187" ca="1">IF(INDIRECT(ADDRESS($B187+1,E$164,1,1,"Confirmed Trend"))=0,#N/A,INDIRECT(ADDRESS($B187+1,E$164,1,1,"Confirmed Trend")))</f>
        <v>#N/A</v>
      </c>
      <c r="F187" s="18" t="e" cm="1">
        <f t="array" aca="1" ref="F187" ca="1">IF(INDIRECT(ADDRESS($B187+1,F$164,1,1,"Confirmed Trend"))=0,#N/A,INDIRECT(ADDRESS($B187+1,F$164,1,1,"Confirmed Trend")))</f>
        <v>#N/A</v>
      </c>
      <c r="G187" s="18" t="e" cm="1">
        <f t="array" aca="1" ref="G187" ca="1">IF(INDIRECT(ADDRESS($B187+1,G$164,1,1,"Confirmed Trend"))=0,#N/A,INDIRECT(ADDRESS($B187+1,G$164,1,1,"Confirmed Trend")))</f>
        <v>#N/A</v>
      </c>
      <c r="H187" s="18" t="e" cm="1">
        <f t="array" aca="1" ref="H187" ca="1">IF(INDIRECT(ADDRESS($B187+1,H$164,1,1,"Confirmed Trend"))=0,#N/A,INDIRECT(ADDRESS($B187+1,H$164,1,1,"Confirmed Trend")))</f>
        <v>#N/A</v>
      </c>
      <c r="I187" s="18" t="e" cm="1">
        <f t="array" aca="1" ref="I187" ca="1">IF(INDIRECT(ADDRESS($B187+1,I$164,1,1,"Confirmed Trend"))=0,#N/A,INDIRECT(ADDRESS($B187+1,I$164,1,1,"Confirmed Trend")))</f>
        <v>#N/A</v>
      </c>
      <c r="J187" s="18" t="e" cm="1">
        <f t="array" aca="1" ref="J187" ca="1">IF(INDIRECT(ADDRESS($B187+1,J$164,1,1,"Confirmed Trend"))=0,#N/A,INDIRECT(ADDRESS($B187+1,J$164,1,1,"Confirmed Trend")))</f>
        <v>#N/A</v>
      </c>
      <c r="K187" s="18" t="e" cm="1">
        <f t="array" aca="1" ref="K187" ca="1">IF(INDIRECT(ADDRESS($B187+1,K$164,1,1,"Confirmed Trend"))=0,#N/A,INDIRECT(ADDRESS($B187+1,K$164,1,1,"Confirmed Trend")))</f>
        <v>#N/A</v>
      </c>
      <c r="L187" s="18" t="e" cm="1">
        <f t="array" aca="1" ref="L187" ca="1">IF(INDIRECT(ADDRESS($B187+1,L$164,1,1,"Confirmed Trend"))=0,#N/A,INDIRECT(ADDRESS($B187+1,L$164,1,1,"Confirmed Trend")))</f>
        <v>#N/A</v>
      </c>
      <c r="M187" s="18" t="e" cm="1">
        <f t="array" aca="1" ref="M187" ca="1">IF(INDIRECT(ADDRESS($B187+1,M$164,1,1,"Confirmed Trend"))=0,#N/A,INDIRECT(ADDRESS($B187+1,M$164,1,1,"Confirmed Trend")))</f>
        <v>#N/A</v>
      </c>
      <c r="N187" s="18" t="e" cm="1">
        <f t="array" aca="1" ref="N187" ca="1">IF(INDIRECT(ADDRESS($B187+1,N$164,1,1,"Confirmed Trend"))=0,#N/A,INDIRECT(ADDRESS($B187+1,N$164,1,1,"Confirmed Trend")))</f>
        <v>#N/A</v>
      </c>
      <c r="O187" s="18" t="e" cm="1">
        <f t="array" aca="1" ref="O187" ca="1">IF(INDIRECT(ADDRESS($B187+1,O$164,1,1,"Confirmed Trend"))=0,#N/A,INDIRECT(ADDRESS($B187+1,O$164,1,1,"Confirmed Trend")))</f>
        <v>#N/A</v>
      </c>
      <c r="P187" s="18" t="e" cm="1">
        <f t="array" aca="1" ref="P187" ca="1">IF(INDIRECT(ADDRESS($B187+1,P$164,1,1,"Confirmed Trend"))=0,#N/A,INDIRECT(ADDRESS($B187+1,P$164,1,1,"Confirmed Trend")))</f>
        <v>#N/A</v>
      </c>
      <c r="Q187" s="18" t="e" cm="1">
        <f t="array" aca="1" ref="Q187" ca="1">IF(INDIRECT(ADDRESS($B187+1,Q$164,1,1,"Confirmed Trend"))=0,#N/A,INDIRECT(ADDRESS($B187+1,Q$164,1,1,"Confirmed Trend")))</f>
        <v>#N/A</v>
      </c>
      <c r="R187" s="18" t="e" cm="1">
        <f t="array" aca="1" ref="R187" ca="1">IF(INDIRECT(ADDRESS($B187+1,R$164,1,1,"Confirmed Trend"))=0,#N/A,INDIRECT(ADDRESS($B187+1,R$164,1,1,"Confirmed Trend")))</f>
        <v>#N/A</v>
      </c>
      <c r="S187" s="18" t="e" cm="1">
        <f t="array" aca="1" ref="S187" ca="1">IF(INDIRECT(ADDRESS($B187+1,S$164,1,1,"Confirmed Trend"))=0,#N/A,INDIRECT(ADDRESS($B187+1,S$164,1,1,"Confirmed Trend")))</f>
        <v>#N/A</v>
      </c>
      <c r="T187" s="18" t="e" cm="1">
        <f t="array" aca="1" ref="T187" ca="1">IF(INDIRECT(ADDRESS($B187+1,T$164,1,1,"Confirmed Trend"))=0,#N/A,INDIRECT(ADDRESS($B187+1,T$164,1,1,"Confirmed Trend")))</f>
        <v>#N/A</v>
      </c>
      <c r="U187" s="18" t="e" cm="1">
        <f t="array" aca="1" ref="U187" ca="1">IF(INDIRECT(ADDRESS($B187+1,U$164,1,1,"Confirmed Trend"))=0,#N/A,INDIRECT(ADDRESS($B187+1,U$164,1,1,"Confirmed Trend")))</f>
        <v>#N/A</v>
      </c>
      <c r="V187" s="18" t="e" cm="1">
        <f t="array" aca="1" ref="V187" ca="1">IF(INDIRECT(ADDRESS($B187+1,V$164,1,1,"Confirmed Trend"))=0,#N/A,INDIRECT(ADDRESS($B187+1,V$164,1,1,"Confirmed Trend")))</f>
        <v>#N/A</v>
      </c>
      <c r="W187" s="18" t="e" cm="1">
        <f t="array" aca="1" ref="W187" ca="1">IF(INDIRECT(ADDRESS($B187+1,W$164,1,1,"Confirmed Trend"))=0,#N/A,INDIRECT(ADDRESS($B187+1,W$164,1,1,"Confirmed Trend")))</f>
        <v>#N/A</v>
      </c>
      <c r="X187" s="18" t="e" cm="1">
        <f t="array" aca="1" ref="X187" ca="1">IF(INDIRECT(ADDRESS($B187+1,X$164,1,1,"Confirmed Trend"))=0,#N/A,INDIRECT(ADDRESS($B187+1,X$164,1,1,"Confirmed Trend")))</f>
        <v>#N/A</v>
      </c>
      <c r="Y187" s="18" t="e" cm="1">
        <f t="array" aca="1" ref="Y187" ca="1">IF(INDIRECT(ADDRESS($B187+1,Y$164,1,1,"Confirmed Trend"))=0,#N/A,INDIRECT(ADDRESS($B187+1,Y$164,1,1,"Confirmed Trend")))</f>
        <v>#N/A</v>
      </c>
      <c r="Z187" s="18" t="e" cm="1">
        <f t="array" aca="1" ref="Z187" ca="1">IF(INDIRECT(ADDRESS($B187+1,Z$164,1,1,"Confirmed Trend"))=0,#N/A,INDIRECT(ADDRESS($B187+1,Z$164,1,1,"Confirmed Trend")))</f>
        <v>#N/A</v>
      </c>
      <c r="AA187" s="18" t="e" cm="1">
        <f t="array" aca="1" ref="AA187" ca="1">IF(INDIRECT(ADDRESS($B187+1,AA$164,1,1,"Confirmed Trend"))=0,#N/A,INDIRECT(ADDRESS($B187+1,AA$164,1,1,"Confirmed Trend")))</f>
        <v>#N/A</v>
      </c>
      <c r="AB187" s="18" t="e" cm="1">
        <f t="array" aca="1" ref="AB187" ca="1">IF(INDIRECT(ADDRESS($B187+1,AB$164,1,1,"Confirmed Trend"))=0,#N/A,INDIRECT(ADDRESS($B187+1,AB$164,1,1,"Confirmed Trend")))</f>
        <v>#N/A</v>
      </c>
      <c r="AC187" s="18" t="e" cm="1">
        <f t="array" aca="1" ref="AC187" ca="1">IF(INDIRECT(ADDRESS($B187+1,AC$164,1,1,"Confirmed Trend"))=0,#N/A,INDIRECT(ADDRESS($B187+1,AC$164,1,1,"Confirmed Trend")))</f>
        <v>#N/A</v>
      </c>
      <c r="AD187" s="18" t="e" cm="1">
        <f t="array" aca="1" ref="AD187" ca="1">IF(INDIRECT(ADDRESS($B187+1,AD$164,1,1,"Confirmed Trend"))=0,#N/A,INDIRECT(ADDRESS($B187+1,AD$164,1,1,"Confirmed Trend")))</f>
        <v>#N/A</v>
      </c>
      <c r="AE187" s="18" t="e" cm="1">
        <f t="array" aca="1" ref="AE187" ca="1">IF(INDIRECT(ADDRESS($B187+1,AE$164,1,1,"Confirmed Trend"))=0,#N/A,INDIRECT(ADDRESS($B187+1,AE$164,1,1,"Confirmed Trend")))</f>
        <v>#N/A</v>
      </c>
      <c r="AF187" s="18" t="e" cm="1">
        <f t="array" aca="1" ref="AF187" ca="1">IF(INDIRECT(ADDRESS($B187+1,AF$164,1,1,"Confirmed Trend"))=0,#N/A,INDIRECT(ADDRESS($B187+1,AF$164,1,1,"Confirmed Trend")))</f>
        <v>#N/A</v>
      </c>
      <c r="AG187" s="18" t="e" cm="1">
        <f t="array" aca="1" ref="AG187" ca="1">IF(INDIRECT(ADDRESS($B187+1,AG$164,1,1,"Confirmed Trend"))=0,#N/A,INDIRECT(ADDRESS($B187+1,AG$164,1,1,"Confirmed Trend")))</f>
        <v>#N/A</v>
      </c>
      <c r="AH187" s="18" t="e" cm="1">
        <f t="array" aca="1" ref="AH187" ca="1">IF(INDIRECT(ADDRESS($B187+1,AH$164,1,1,"Confirmed Trend"))=0,#N/A,INDIRECT(ADDRESS($B187+1,AH$164,1,1,"Confirmed Trend")))</f>
        <v>#N/A</v>
      </c>
      <c r="AI187" s="18" t="e" cm="1">
        <f t="array" aca="1" ref="AI187" ca="1">IF(INDIRECT(ADDRESS($B187+1,AI$164,1,1,"Confirmed Trend"))=0,#N/A,INDIRECT(ADDRESS($B187+1,AI$164,1,1,"Confirmed Trend")))</f>
        <v>#N/A</v>
      </c>
      <c r="AJ187" s="18" t="e" cm="1">
        <f t="array" aca="1" ref="AJ187" ca="1">IF(INDIRECT(ADDRESS($B187+1,AJ$164,1,1,"Confirmed Trend"))=0,#N/A,INDIRECT(ADDRESS($B187+1,AJ$164,1,1,"Confirmed Trend")))</f>
        <v>#N/A</v>
      </c>
      <c r="AK187" s="18" t="e" cm="1">
        <f t="array" aca="1" ref="AK187" ca="1">IF(INDIRECT(ADDRESS($B187+1,AK$164,1,1,"Confirmed Trend"))=0,#N/A,INDIRECT(ADDRESS($B187+1,AK$164,1,1,"Confirmed Trend")))</f>
        <v>#N/A</v>
      </c>
      <c r="AL187" s="18" t="e" cm="1">
        <f t="array" aca="1" ref="AL187" ca="1">IF(INDIRECT(ADDRESS($B187+1,AL$164,1,1,"Confirmed Trend"))=0,#N/A,INDIRECT(ADDRESS($B187+1,AL$164,1,1,"Confirmed Trend")))</f>
        <v>#N/A</v>
      </c>
      <c r="AM187" s="18" t="e" cm="1">
        <f t="array" aca="1" ref="AM187" ca="1">IF(INDIRECT(ADDRESS($B187+1,AM$164,1,1,"Confirmed Trend"))=0,#N/A,INDIRECT(ADDRESS($B187+1,AM$164,1,1,"Confirmed Trend")))</f>
        <v>#N/A</v>
      </c>
      <c r="AN187" s="18" t="e" cm="1">
        <f t="array" aca="1" ref="AN187" ca="1">IF(INDIRECT(ADDRESS($B187+1,AN$164,1,1,"Confirmed Trend"))=0,#N/A,INDIRECT(ADDRESS($B187+1,AN$164,1,1,"Confirmed Trend")))</f>
        <v>#N/A</v>
      </c>
      <c r="AO187" s="18" t="e" cm="1">
        <f t="array" aca="1" ref="AO187" ca="1">IF(INDIRECT(ADDRESS($B187+1,AO$164,1,1,"Confirmed Trend"))=0,#N/A,INDIRECT(ADDRESS($B187+1,AO$164,1,1,"Confirmed Trend")))</f>
        <v>#N/A</v>
      </c>
      <c r="AP187" s="18" t="e" cm="1">
        <f t="array" aca="1" ref="AP187" ca="1">IF(INDIRECT(ADDRESS($B187+1,AP$164,1,1,"Confirmed Trend"))=0,#N/A,INDIRECT(ADDRESS($B187+1,AP$164,1,1,"Confirmed Trend")))</f>
        <v>#N/A</v>
      </c>
      <c r="AQ187" s="18" t="e" cm="1">
        <f t="array" aca="1" ref="AQ187" ca="1">IF(INDIRECT(ADDRESS($B187+1,AQ$164,1,1,"Confirmed Trend"))=0,#N/A,INDIRECT(ADDRESS($B187+1,AQ$164,1,1,"Confirmed Trend")))</f>
        <v>#N/A</v>
      </c>
      <c r="AR187" s="18" t="e" cm="1">
        <f t="array" aca="1" ref="AR187" ca="1">IF(INDIRECT(ADDRESS($B187+1,AR$164,1,1,"Confirmed Trend"))=0,#N/A,INDIRECT(ADDRESS($B187+1,AR$164,1,1,"Confirmed Trend")))</f>
        <v>#N/A</v>
      </c>
      <c r="AS187" s="18" t="e" cm="1">
        <f t="array" aca="1" ref="AS187" ca="1">IF(INDIRECT(ADDRESS($B187+1,AS$164,1,1,"Confirmed Trend"))=0,#N/A,INDIRECT(ADDRESS($B187+1,AS$164,1,1,"Confirmed Trend")))</f>
        <v>#N/A</v>
      </c>
      <c r="AT187" s="18" t="e" cm="1">
        <f t="array" aca="1" ref="AT187" ca="1">IF(INDIRECT(ADDRESS($B187+1,AT$164,1,1,"Confirmed Trend"))=0,#N/A,INDIRECT(ADDRESS($B187+1,AT$164,1,1,"Confirmed Trend")))</f>
        <v>#N/A</v>
      </c>
      <c r="AU187" s="18" t="e" cm="1">
        <f t="array" aca="1" ref="AU187" ca="1">IF(INDIRECT(ADDRESS($B187+1,AU$164,1,1,"Confirmed Trend"))=0,#N/A,INDIRECT(ADDRESS($B187+1,AU$164,1,1,"Confirmed Trend")))</f>
        <v>#N/A</v>
      </c>
      <c r="AV187" s="18" t="e" cm="1">
        <f t="array" aca="1" ref="AV187" ca="1">IF(INDIRECT(ADDRESS($B187+1,AV$164,1,1,"Confirmed Trend"))=0,#N/A,INDIRECT(ADDRESS($B187+1,AV$164,1,1,"Confirmed Trend")))</f>
        <v>#N/A</v>
      </c>
      <c r="AW187" s="18" t="e" cm="1">
        <f t="array" aca="1" ref="AW187" ca="1">IF(INDIRECT(ADDRESS($B187+1,AW$164,1,1,"Confirmed Trend"))=0,#N/A,INDIRECT(ADDRESS($B187+1,AW$164,1,1,"Confirmed Trend")))</f>
        <v>#N/A</v>
      </c>
      <c r="AX187" s="18" t="e" cm="1">
        <f t="array" aca="1" ref="AX187" ca="1">IF(INDIRECT(ADDRESS($B187+1,AX$164,1,1,"Confirmed Trend"))=0,#N/A,INDIRECT(ADDRESS($B187+1,AX$164,1,1,"Confirmed Trend")))</f>
        <v>#N/A</v>
      </c>
      <c r="AY187" s="18" t="e" cm="1">
        <f t="array" aca="1" ref="AY187" ca="1">IF(INDIRECT(ADDRESS($B187+1,AY$164,1,1,"Confirmed Trend"))=0,#N/A,INDIRECT(ADDRESS($B187+1,AY$164,1,1,"Confirmed Trend")))</f>
        <v>#N/A</v>
      </c>
      <c r="AZ187" s="18" t="e" cm="1">
        <f t="array" aca="1" ref="AZ187" ca="1">IF(INDIRECT(ADDRESS($B187+1,AZ$164,1,1,"Confirmed Trend"))=0,#N/A,INDIRECT(ADDRESS($B187+1,AZ$164,1,1,"Confirmed Trend")))</f>
        <v>#N/A</v>
      </c>
      <c r="BA187" s="18" t="e" cm="1">
        <f t="array" aca="1" ref="BA187" ca="1">IF(INDIRECT(ADDRESS($B187+1,BA$164,1,1,"Confirmed Trend"))=0,#N/A,INDIRECT(ADDRESS($B187+1,BA$164,1,1,"Confirmed Trend")))</f>
        <v>#N/A</v>
      </c>
      <c r="BB187" s="18" t="e" cm="1">
        <f t="array" aca="1" ref="BB187" ca="1">IF(INDIRECT(ADDRESS($B187+1,BB$164,1,1,"Confirmed Trend"))=0,#N/A,INDIRECT(ADDRESS($B187+1,BB$164,1,1,"Confirmed Trend")))</f>
        <v>#N/A</v>
      </c>
      <c r="BC187" s="18" t="e" cm="1">
        <f t="array" aca="1" ref="BC187" ca="1">IF(INDIRECT(ADDRESS($B187+1,BC$164,1,1,"Confirmed Trend"))=0,#N/A,INDIRECT(ADDRESS($B187+1,BC$164,1,1,"Confirmed Trend")))</f>
        <v>#N/A</v>
      </c>
      <c r="BD187" s="18" t="e" cm="1">
        <f t="array" aca="1" ref="BD187" ca="1">IF(INDIRECT(ADDRESS($B187+1,BD$164,1,1,"Confirmed Trend"))=0,#N/A,INDIRECT(ADDRESS($B187+1,BD$164,1,1,"Confirmed Trend")))</f>
        <v>#N/A</v>
      </c>
      <c r="BE187" s="18" t="e" cm="1">
        <f t="array" aca="1" ref="BE187" ca="1">IF(INDIRECT(ADDRESS($B187+1,BE$164,1,1,"Confirmed Trend"))=0,#N/A,INDIRECT(ADDRESS($B187+1,BE$164,1,1,"Confirmed Trend")))</f>
        <v>#N/A</v>
      </c>
      <c r="BF187" s="18" t="e" cm="1">
        <f t="array" aca="1" ref="BF187" ca="1">IF(INDIRECT(ADDRESS($B187+1,BF$164,1,1,"Confirmed Trend"))=0,#N/A,INDIRECT(ADDRESS($B187+1,BF$164,1,1,"Confirmed Trend")))</f>
        <v>#N/A</v>
      </c>
      <c r="BG187" s="18" t="e" cm="1">
        <f t="array" aca="1" ref="BG187" ca="1">IF(INDIRECT(ADDRESS($B187+1,BG$164,1,1,"Confirmed Trend"))=0,#N/A,INDIRECT(ADDRESS($B187+1,BG$164,1,1,"Confirmed Trend")))</f>
        <v>#N/A</v>
      </c>
      <c r="BH187" s="18" t="e" cm="1">
        <f t="array" aca="1" ref="BH187" ca="1">IF(INDIRECT(ADDRESS($B187+1,BH$164,1,1,"Confirmed Trend"))=0,#N/A,INDIRECT(ADDRESS($B187+1,BH$164,1,1,"Confirmed Trend")))</f>
        <v>#N/A</v>
      </c>
      <c r="BI187" s="18" t="e" cm="1">
        <f t="array" aca="1" ref="BI187" ca="1">IF(INDIRECT(ADDRESS($B187+1,BI$164,1,1,"Confirmed Trend"))=0,#N/A,INDIRECT(ADDRESS($B187+1,BI$164,1,1,"Confirmed Trend")))</f>
        <v>#N/A</v>
      </c>
      <c r="BJ187" s="18" t="e" cm="1">
        <f t="array" aca="1" ref="BJ187" ca="1">IF(INDIRECT(ADDRESS($B187+1,BJ$164,1,1,"Confirmed Trend"))=0,#N/A,INDIRECT(ADDRESS($B187+1,BJ$164,1,1,"Confirmed Trend")))</f>
        <v>#N/A</v>
      </c>
      <c r="BK187" s="18" t="e" cm="1">
        <f t="array" aca="1" ref="BK187" ca="1">IF(INDIRECT(ADDRESS($B187+1,BK$164,1,1,"Confirmed Trend"))=0,#N/A,INDIRECT(ADDRESS($B187+1,BK$164,1,1,"Confirmed Trend")))</f>
        <v>#N/A</v>
      </c>
      <c r="BL187" s="18" t="e" cm="1">
        <f t="array" aca="1" ref="BL187" ca="1">IF(INDIRECT(ADDRESS($B187+1,BL$164,1,1,"Confirmed Trend"))=0,#N/A,INDIRECT(ADDRESS($B187+1,BL$164,1,1,"Confirmed Trend")))</f>
        <v>#N/A</v>
      </c>
      <c r="BM187" s="18" t="e" cm="1">
        <f t="array" aca="1" ref="BM187" ca="1">IF(INDIRECT(ADDRESS($B187+1,BM$164,1,1,"Confirmed Trend"))=0,#N/A,INDIRECT(ADDRESS($B187+1,BM$164,1,1,"Confirmed Trend")))</f>
        <v>#N/A</v>
      </c>
      <c r="BN187" s="18" t="e" cm="1">
        <f t="array" aca="1" ref="BN187" ca="1">IF(INDIRECT(ADDRESS($B187+1,BN$164,1,1,"Confirmed Trend"))=0,#N/A,INDIRECT(ADDRESS($B187+1,BN$164,1,1,"Confirmed Trend")))</f>
        <v>#N/A</v>
      </c>
      <c r="BO187" s="18" t="e" cm="1">
        <f t="array" aca="1" ref="BO187" ca="1">IF(INDIRECT(ADDRESS($B187+1,BO$164,1,1,"Confirmed Trend"))=0,#N/A,INDIRECT(ADDRESS($B187+1,BO$164,1,1,"Confirmed Trend")))</f>
        <v>#N/A</v>
      </c>
      <c r="BP187" s="18" t="e" cm="1">
        <f t="array" aca="1" ref="BP187" ca="1">IF(INDIRECT(ADDRESS($B187+1,BP$164,1,1,"Confirmed Trend"))=0,#N/A,INDIRECT(ADDRESS($B187+1,BP$164,1,1,"Confirmed Trend")))</f>
        <v>#N/A</v>
      </c>
      <c r="BQ187" s="18" t="e" cm="1">
        <f t="array" aca="1" ref="BQ187" ca="1">IF(INDIRECT(ADDRESS($B187+1,BQ$164,1,1,"Confirmed Trend"))=0,#N/A,INDIRECT(ADDRESS($B187+1,BQ$164,1,1,"Confirmed Trend")))</f>
        <v>#N/A</v>
      </c>
      <c r="BR187" s="18" t="e" cm="1">
        <f t="array" aca="1" ref="BR187" ca="1">IF(INDIRECT(ADDRESS($B187+1,BR$164,1,1,"Confirmed Trend"))=0,#N/A,INDIRECT(ADDRESS($B187+1,BR$164,1,1,"Confirmed Trend")))</f>
        <v>#N/A</v>
      </c>
      <c r="BS187" s="18" t="e" cm="1">
        <f t="array" aca="1" ref="BS187" ca="1">IF(INDIRECT(ADDRESS($B187+1,BS$164,1,1,"Confirmed Trend"))=0,#N/A,INDIRECT(ADDRESS($B187+1,BS$164,1,1,"Confirmed Trend")))</f>
        <v>#N/A</v>
      </c>
      <c r="BT187" s="18" t="e" cm="1">
        <f t="array" aca="1" ref="BT187" ca="1">IF(INDIRECT(ADDRESS($B187+1,BT$164,1,1,"Confirmed Trend"))=0,#N/A,INDIRECT(ADDRESS($B187+1,BT$164,1,1,"Confirmed Trend")))</f>
        <v>#N/A</v>
      </c>
      <c r="BU187" s="18" t="e" cm="1">
        <f t="array" aca="1" ref="BU187" ca="1">IF(INDIRECT(ADDRESS($B187+1,BU$164,1,1,"Confirmed Trend"))=0,#N/A,INDIRECT(ADDRESS($B187+1,BU$164,1,1,"Confirmed Trend")))</f>
        <v>#N/A</v>
      </c>
      <c r="BV187" s="18" t="e" cm="1">
        <f t="array" aca="1" ref="BV187" ca="1">IF(INDIRECT(ADDRESS($B187+1,BV$164,1,1,"Confirmed Trend"))=0,#N/A,INDIRECT(ADDRESS($B187+1,BV$164,1,1,"Confirmed Trend")))</f>
        <v>#N/A</v>
      </c>
    </row>
    <row r="188" spans="2:74" x14ac:dyDescent="0.25">
      <c r="B188">
        <f t="shared" si="132"/>
        <v>23</v>
      </c>
      <c r="C188" cm="1">
        <f t="array" aca="1" ref="C188" ca="1">INDIRECT(ADDRESS($B188+1,1,1,1,"Confirmed Trend"))</f>
        <v>0</v>
      </c>
      <c r="E188" s="18" t="e" cm="1">
        <f t="array" aca="1" ref="E188" ca="1">IF(INDIRECT(ADDRESS($B188+1,E$164,1,1,"Confirmed Trend"))=0,#N/A,INDIRECT(ADDRESS($B188+1,E$164,1,1,"Confirmed Trend")))</f>
        <v>#N/A</v>
      </c>
      <c r="F188" s="18" t="e" cm="1">
        <f t="array" aca="1" ref="F188" ca="1">IF(INDIRECT(ADDRESS($B188+1,F$164,1,1,"Confirmed Trend"))=0,#N/A,INDIRECT(ADDRESS($B188+1,F$164,1,1,"Confirmed Trend")))</f>
        <v>#N/A</v>
      </c>
      <c r="G188" s="18" t="e" cm="1">
        <f t="array" aca="1" ref="G188" ca="1">IF(INDIRECT(ADDRESS($B188+1,G$164,1,1,"Confirmed Trend"))=0,#N/A,INDIRECT(ADDRESS($B188+1,G$164,1,1,"Confirmed Trend")))</f>
        <v>#N/A</v>
      </c>
      <c r="H188" s="18" t="e" cm="1">
        <f t="array" aca="1" ref="H188" ca="1">IF(INDIRECT(ADDRESS($B188+1,H$164,1,1,"Confirmed Trend"))=0,#N/A,INDIRECT(ADDRESS($B188+1,H$164,1,1,"Confirmed Trend")))</f>
        <v>#N/A</v>
      </c>
      <c r="I188" s="18" t="e" cm="1">
        <f t="array" aca="1" ref="I188" ca="1">IF(INDIRECT(ADDRESS($B188+1,I$164,1,1,"Confirmed Trend"))=0,#N/A,INDIRECT(ADDRESS($B188+1,I$164,1,1,"Confirmed Trend")))</f>
        <v>#N/A</v>
      </c>
      <c r="J188" s="18" t="e" cm="1">
        <f t="array" aca="1" ref="J188" ca="1">IF(INDIRECT(ADDRESS($B188+1,J$164,1,1,"Confirmed Trend"))=0,#N/A,INDIRECT(ADDRESS($B188+1,J$164,1,1,"Confirmed Trend")))</f>
        <v>#N/A</v>
      </c>
      <c r="K188" s="18" t="e" cm="1">
        <f t="array" aca="1" ref="K188" ca="1">IF(INDIRECT(ADDRESS($B188+1,K$164,1,1,"Confirmed Trend"))=0,#N/A,INDIRECT(ADDRESS($B188+1,K$164,1,1,"Confirmed Trend")))</f>
        <v>#N/A</v>
      </c>
      <c r="L188" s="18" t="e" cm="1">
        <f t="array" aca="1" ref="L188" ca="1">IF(INDIRECT(ADDRESS($B188+1,L$164,1,1,"Confirmed Trend"))=0,#N/A,INDIRECT(ADDRESS($B188+1,L$164,1,1,"Confirmed Trend")))</f>
        <v>#N/A</v>
      </c>
      <c r="M188" s="18" t="e" cm="1">
        <f t="array" aca="1" ref="M188" ca="1">IF(INDIRECT(ADDRESS($B188+1,M$164,1,1,"Confirmed Trend"))=0,#N/A,INDIRECT(ADDRESS($B188+1,M$164,1,1,"Confirmed Trend")))</f>
        <v>#N/A</v>
      </c>
      <c r="N188" s="18" t="e" cm="1">
        <f t="array" aca="1" ref="N188" ca="1">IF(INDIRECT(ADDRESS($B188+1,N$164,1,1,"Confirmed Trend"))=0,#N/A,INDIRECT(ADDRESS($B188+1,N$164,1,1,"Confirmed Trend")))</f>
        <v>#N/A</v>
      </c>
      <c r="O188" s="18" t="e" cm="1">
        <f t="array" aca="1" ref="O188" ca="1">IF(INDIRECT(ADDRESS($B188+1,O$164,1,1,"Confirmed Trend"))=0,#N/A,INDIRECT(ADDRESS($B188+1,O$164,1,1,"Confirmed Trend")))</f>
        <v>#N/A</v>
      </c>
      <c r="P188" s="18" t="e" cm="1">
        <f t="array" aca="1" ref="P188" ca="1">IF(INDIRECT(ADDRESS($B188+1,P$164,1,1,"Confirmed Trend"))=0,#N/A,INDIRECT(ADDRESS($B188+1,P$164,1,1,"Confirmed Trend")))</f>
        <v>#N/A</v>
      </c>
      <c r="Q188" s="18" t="e" cm="1">
        <f t="array" aca="1" ref="Q188" ca="1">IF(INDIRECT(ADDRESS($B188+1,Q$164,1,1,"Confirmed Trend"))=0,#N/A,INDIRECT(ADDRESS($B188+1,Q$164,1,1,"Confirmed Trend")))</f>
        <v>#N/A</v>
      </c>
      <c r="R188" s="18" t="e" cm="1">
        <f t="array" aca="1" ref="R188" ca="1">IF(INDIRECT(ADDRESS($B188+1,R$164,1,1,"Confirmed Trend"))=0,#N/A,INDIRECT(ADDRESS($B188+1,R$164,1,1,"Confirmed Trend")))</f>
        <v>#N/A</v>
      </c>
      <c r="S188" s="18" t="e" cm="1">
        <f t="array" aca="1" ref="S188" ca="1">IF(INDIRECT(ADDRESS($B188+1,S$164,1,1,"Confirmed Trend"))=0,#N/A,INDIRECT(ADDRESS($B188+1,S$164,1,1,"Confirmed Trend")))</f>
        <v>#N/A</v>
      </c>
      <c r="T188" s="18" t="e" cm="1">
        <f t="array" aca="1" ref="T188" ca="1">IF(INDIRECT(ADDRESS($B188+1,T$164,1,1,"Confirmed Trend"))=0,#N/A,INDIRECT(ADDRESS($B188+1,T$164,1,1,"Confirmed Trend")))</f>
        <v>#N/A</v>
      </c>
      <c r="U188" s="18" t="e" cm="1">
        <f t="array" aca="1" ref="U188" ca="1">IF(INDIRECT(ADDRESS($B188+1,U$164,1,1,"Confirmed Trend"))=0,#N/A,INDIRECT(ADDRESS($B188+1,U$164,1,1,"Confirmed Trend")))</f>
        <v>#N/A</v>
      </c>
      <c r="V188" s="18" t="e" cm="1">
        <f t="array" aca="1" ref="V188" ca="1">IF(INDIRECT(ADDRESS($B188+1,V$164,1,1,"Confirmed Trend"))=0,#N/A,INDIRECT(ADDRESS($B188+1,V$164,1,1,"Confirmed Trend")))</f>
        <v>#N/A</v>
      </c>
      <c r="W188" s="18" t="e" cm="1">
        <f t="array" aca="1" ref="W188" ca="1">IF(INDIRECT(ADDRESS($B188+1,W$164,1,1,"Confirmed Trend"))=0,#N/A,INDIRECT(ADDRESS($B188+1,W$164,1,1,"Confirmed Trend")))</f>
        <v>#N/A</v>
      </c>
      <c r="X188" s="18" t="e" cm="1">
        <f t="array" aca="1" ref="X188" ca="1">IF(INDIRECT(ADDRESS($B188+1,X$164,1,1,"Confirmed Trend"))=0,#N/A,INDIRECT(ADDRESS($B188+1,X$164,1,1,"Confirmed Trend")))</f>
        <v>#N/A</v>
      </c>
      <c r="Y188" s="18" t="e" cm="1">
        <f t="array" aca="1" ref="Y188" ca="1">IF(INDIRECT(ADDRESS($B188+1,Y$164,1,1,"Confirmed Trend"))=0,#N/A,INDIRECT(ADDRESS($B188+1,Y$164,1,1,"Confirmed Trend")))</f>
        <v>#N/A</v>
      </c>
      <c r="Z188" s="18" t="e" cm="1">
        <f t="array" aca="1" ref="Z188" ca="1">IF(INDIRECT(ADDRESS($B188+1,Z$164,1,1,"Confirmed Trend"))=0,#N/A,INDIRECT(ADDRESS($B188+1,Z$164,1,1,"Confirmed Trend")))</f>
        <v>#N/A</v>
      </c>
      <c r="AA188" s="18" t="e" cm="1">
        <f t="array" aca="1" ref="AA188" ca="1">IF(INDIRECT(ADDRESS($B188+1,AA$164,1,1,"Confirmed Trend"))=0,#N/A,INDIRECT(ADDRESS($B188+1,AA$164,1,1,"Confirmed Trend")))</f>
        <v>#N/A</v>
      </c>
      <c r="AB188" s="18" t="e" cm="1">
        <f t="array" aca="1" ref="AB188" ca="1">IF(INDIRECT(ADDRESS($B188+1,AB$164,1,1,"Confirmed Trend"))=0,#N/A,INDIRECT(ADDRESS($B188+1,AB$164,1,1,"Confirmed Trend")))</f>
        <v>#N/A</v>
      </c>
      <c r="AC188" s="18" t="e" cm="1">
        <f t="array" aca="1" ref="AC188" ca="1">IF(INDIRECT(ADDRESS($B188+1,AC$164,1,1,"Confirmed Trend"))=0,#N/A,INDIRECT(ADDRESS($B188+1,AC$164,1,1,"Confirmed Trend")))</f>
        <v>#N/A</v>
      </c>
      <c r="AD188" s="18" t="e" cm="1">
        <f t="array" aca="1" ref="AD188" ca="1">IF(INDIRECT(ADDRESS($B188+1,AD$164,1,1,"Confirmed Trend"))=0,#N/A,INDIRECT(ADDRESS($B188+1,AD$164,1,1,"Confirmed Trend")))</f>
        <v>#N/A</v>
      </c>
      <c r="AE188" s="18" t="e" cm="1">
        <f t="array" aca="1" ref="AE188" ca="1">IF(INDIRECT(ADDRESS($B188+1,AE$164,1,1,"Confirmed Trend"))=0,#N/A,INDIRECT(ADDRESS($B188+1,AE$164,1,1,"Confirmed Trend")))</f>
        <v>#N/A</v>
      </c>
      <c r="AF188" s="18" t="e" cm="1">
        <f t="array" aca="1" ref="AF188" ca="1">IF(INDIRECT(ADDRESS($B188+1,AF$164,1,1,"Confirmed Trend"))=0,#N/A,INDIRECT(ADDRESS($B188+1,AF$164,1,1,"Confirmed Trend")))</f>
        <v>#N/A</v>
      </c>
      <c r="AG188" s="18" t="e" cm="1">
        <f t="array" aca="1" ref="AG188" ca="1">IF(INDIRECT(ADDRESS($B188+1,AG$164,1,1,"Confirmed Trend"))=0,#N/A,INDIRECT(ADDRESS($B188+1,AG$164,1,1,"Confirmed Trend")))</f>
        <v>#N/A</v>
      </c>
      <c r="AH188" s="18" t="e" cm="1">
        <f t="array" aca="1" ref="AH188" ca="1">IF(INDIRECT(ADDRESS($B188+1,AH$164,1,1,"Confirmed Trend"))=0,#N/A,INDIRECT(ADDRESS($B188+1,AH$164,1,1,"Confirmed Trend")))</f>
        <v>#N/A</v>
      </c>
      <c r="AI188" s="18" t="e" cm="1">
        <f t="array" aca="1" ref="AI188" ca="1">IF(INDIRECT(ADDRESS($B188+1,AI$164,1,1,"Confirmed Trend"))=0,#N/A,INDIRECT(ADDRESS($B188+1,AI$164,1,1,"Confirmed Trend")))</f>
        <v>#N/A</v>
      </c>
      <c r="AJ188" s="18" t="e" cm="1">
        <f t="array" aca="1" ref="AJ188" ca="1">IF(INDIRECT(ADDRESS($B188+1,AJ$164,1,1,"Confirmed Trend"))=0,#N/A,INDIRECT(ADDRESS($B188+1,AJ$164,1,1,"Confirmed Trend")))</f>
        <v>#N/A</v>
      </c>
      <c r="AK188" s="18" t="e" cm="1">
        <f t="array" aca="1" ref="AK188" ca="1">IF(INDIRECT(ADDRESS($B188+1,AK$164,1,1,"Confirmed Trend"))=0,#N/A,INDIRECT(ADDRESS($B188+1,AK$164,1,1,"Confirmed Trend")))</f>
        <v>#N/A</v>
      </c>
      <c r="AL188" s="18" t="e" cm="1">
        <f t="array" aca="1" ref="AL188" ca="1">IF(INDIRECT(ADDRESS($B188+1,AL$164,1,1,"Confirmed Trend"))=0,#N/A,INDIRECT(ADDRESS($B188+1,AL$164,1,1,"Confirmed Trend")))</f>
        <v>#N/A</v>
      </c>
      <c r="AM188" s="18" t="e" cm="1">
        <f t="array" aca="1" ref="AM188" ca="1">IF(INDIRECT(ADDRESS($B188+1,AM$164,1,1,"Confirmed Trend"))=0,#N/A,INDIRECT(ADDRESS($B188+1,AM$164,1,1,"Confirmed Trend")))</f>
        <v>#N/A</v>
      </c>
      <c r="AN188" s="18" t="e" cm="1">
        <f t="array" aca="1" ref="AN188" ca="1">IF(INDIRECT(ADDRESS($B188+1,AN$164,1,1,"Confirmed Trend"))=0,#N/A,INDIRECT(ADDRESS($B188+1,AN$164,1,1,"Confirmed Trend")))</f>
        <v>#N/A</v>
      </c>
      <c r="AO188" s="18" t="e" cm="1">
        <f t="array" aca="1" ref="AO188" ca="1">IF(INDIRECT(ADDRESS($B188+1,AO$164,1,1,"Confirmed Trend"))=0,#N/A,INDIRECT(ADDRESS($B188+1,AO$164,1,1,"Confirmed Trend")))</f>
        <v>#N/A</v>
      </c>
      <c r="AP188" s="18" t="e" cm="1">
        <f t="array" aca="1" ref="AP188" ca="1">IF(INDIRECT(ADDRESS($B188+1,AP$164,1,1,"Confirmed Trend"))=0,#N/A,INDIRECT(ADDRESS($B188+1,AP$164,1,1,"Confirmed Trend")))</f>
        <v>#N/A</v>
      </c>
      <c r="AQ188" s="18" t="e" cm="1">
        <f t="array" aca="1" ref="AQ188" ca="1">IF(INDIRECT(ADDRESS($B188+1,AQ$164,1,1,"Confirmed Trend"))=0,#N/A,INDIRECT(ADDRESS($B188+1,AQ$164,1,1,"Confirmed Trend")))</f>
        <v>#N/A</v>
      </c>
      <c r="AR188" s="18" t="e" cm="1">
        <f t="array" aca="1" ref="AR188" ca="1">IF(INDIRECT(ADDRESS($B188+1,AR$164,1,1,"Confirmed Trend"))=0,#N/A,INDIRECT(ADDRESS($B188+1,AR$164,1,1,"Confirmed Trend")))</f>
        <v>#N/A</v>
      </c>
      <c r="AS188" s="18" t="e" cm="1">
        <f t="array" aca="1" ref="AS188" ca="1">IF(INDIRECT(ADDRESS($B188+1,AS$164,1,1,"Confirmed Trend"))=0,#N/A,INDIRECT(ADDRESS($B188+1,AS$164,1,1,"Confirmed Trend")))</f>
        <v>#N/A</v>
      </c>
      <c r="AT188" s="18" t="e" cm="1">
        <f t="array" aca="1" ref="AT188" ca="1">IF(INDIRECT(ADDRESS($B188+1,AT$164,1,1,"Confirmed Trend"))=0,#N/A,INDIRECT(ADDRESS($B188+1,AT$164,1,1,"Confirmed Trend")))</f>
        <v>#N/A</v>
      </c>
      <c r="AU188" s="18" t="e" cm="1">
        <f t="array" aca="1" ref="AU188" ca="1">IF(INDIRECT(ADDRESS($B188+1,AU$164,1,1,"Confirmed Trend"))=0,#N/A,INDIRECT(ADDRESS($B188+1,AU$164,1,1,"Confirmed Trend")))</f>
        <v>#N/A</v>
      </c>
      <c r="AV188" s="18" t="e" cm="1">
        <f t="array" aca="1" ref="AV188" ca="1">IF(INDIRECT(ADDRESS($B188+1,AV$164,1,1,"Confirmed Trend"))=0,#N/A,INDIRECT(ADDRESS($B188+1,AV$164,1,1,"Confirmed Trend")))</f>
        <v>#N/A</v>
      </c>
      <c r="AW188" s="18" t="e" cm="1">
        <f t="array" aca="1" ref="AW188" ca="1">IF(INDIRECT(ADDRESS($B188+1,AW$164,1,1,"Confirmed Trend"))=0,#N/A,INDIRECT(ADDRESS($B188+1,AW$164,1,1,"Confirmed Trend")))</f>
        <v>#N/A</v>
      </c>
      <c r="AX188" s="18" t="e" cm="1">
        <f t="array" aca="1" ref="AX188" ca="1">IF(INDIRECT(ADDRESS($B188+1,AX$164,1,1,"Confirmed Trend"))=0,#N/A,INDIRECT(ADDRESS($B188+1,AX$164,1,1,"Confirmed Trend")))</f>
        <v>#N/A</v>
      </c>
      <c r="AY188" s="18" t="e" cm="1">
        <f t="array" aca="1" ref="AY188" ca="1">IF(INDIRECT(ADDRESS($B188+1,AY$164,1,1,"Confirmed Trend"))=0,#N/A,INDIRECT(ADDRESS($B188+1,AY$164,1,1,"Confirmed Trend")))</f>
        <v>#N/A</v>
      </c>
      <c r="AZ188" s="18" t="e" cm="1">
        <f t="array" aca="1" ref="AZ188" ca="1">IF(INDIRECT(ADDRESS($B188+1,AZ$164,1,1,"Confirmed Trend"))=0,#N/A,INDIRECT(ADDRESS($B188+1,AZ$164,1,1,"Confirmed Trend")))</f>
        <v>#N/A</v>
      </c>
      <c r="BA188" s="18" t="e" cm="1">
        <f t="array" aca="1" ref="BA188" ca="1">IF(INDIRECT(ADDRESS($B188+1,BA$164,1,1,"Confirmed Trend"))=0,#N/A,INDIRECT(ADDRESS($B188+1,BA$164,1,1,"Confirmed Trend")))</f>
        <v>#N/A</v>
      </c>
      <c r="BB188" s="18" t="e" cm="1">
        <f t="array" aca="1" ref="BB188" ca="1">IF(INDIRECT(ADDRESS($B188+1,BB$164,1,1,"Confirmed Trend"))=0,#N/A,INDIRECT(ADDRESS($B188+1,BB$164,1,1,"Confirmed Trend")))</f>
        <v>#N/A</v>
      </c>
      <c r="BC188" s="18" t="e" cm="1">
        <f t="array" aca="1" ref="BC188" ca="1">IF(INDIRECT(ADDRESS($B188+1,BC$164,1,1,"Confirmed Trend"))=0,#N/A,INDIRECT(ADDRESS($B188+1,BC$164,1,1,"Confirmed Trend")))</f>
        <v>#N/A</v>
      </c>
      <c r="BD188" s="18" t="e" cm="1">
        <f t="array" aca="1" ref="BD188" ca="1">IF(INDIRECT(ADDRESS($B188+1,BD$164,1,1,"Confirmed Trend"))=0,#N/A,INDIRECT(ADDRESS($B188+1,BD$164,1,1,"Confirmed Trend")))</f>
        <v>#N/A</v>
      </c>
      <c r="BE188" s="18" t="e" cm="1">
        <f t="array" aca="1" ref="BE188" ca="1">IF(INDIRECT(ADDRESS($B188+1,BE$164,1,1,"Confirmed Trend"))=0,#N/A,INDIRECT(ADDRESS($B188+1,BE$164,1,1,"Confirmed Trend")))</f>
        <v>#N/A</v>
      </c>
      <c r="BF188" s="18" t="e" cm="1">
        <f t="array" aca="1" ref="BF188" ca="1">IF(INDIRECT(ADDRESS($B188+1,BF$164,1,1,"Confirmed Trend"))=0,#N/A,INDIRECT(ADDRESS($B188+1,BF$164,1,1,"Confirmed Trend")))</f>
        <v>#N/A</v>
      </c>
      <c r="BG188" s="18" t="e" cm="1">
        <f t="array" aca="1" ref="BG188" ca="1">IF(INDIRECT(ADDRESS($B188+1,BG$164,1,1,"Confirmed Trend"))=0,#N/A,INDIRECT(ADDRESS($B188+1,BG$164,1,1,"Confirmed Trend")))</f>
        <v>#N/A</v>
      </c>
      <c r="BH188" s="18" t="e" cm="1">
        <f t="array" aca="1" ref="BH188" ca="1">IF(INDIRECT(ADDRESS($B188+1,BH$164,1,1,"Confirmed Trend"))=0,#N/A,INDIRECT(ADDRESS($B188+1,BH$164,1,1,"Confirmed Trend")))</f>
        <v>#N/A</v>
      </c>
      <c r="BI188" s="18" t="e" cm="1">
        <f t="array" aca="1" ref="BI188" ca="1">IF(INDIRECT(ADDRESS($B188+1,BI$164,1,1,"Confirmed Trend"))=0,#N/A,INDIRECT(ADDRESS($B188+1,BI$164,1,1,"Confirmed Trend")))</f>
        <v>#N/A</v>
      </c>
      <c r="BJ188" s="18" t="e" cm="1">
        <f t="array" aca="1" ref="BJ188" ca="1">IF(INDIRECT(ADDRESS($B188+1,BJ$164,1,1,"Confirmed Trend"))=0,#N/A,INDIRECT(ADDRESS($B188+1,BJ$164,1,1,"Confirmed Trend")))</f>
        <v>#N/A</v>
      </c>
      <c r="BK188" s="18" t="e" cm="1">
        <f t="array" aca="1" ref="BK188" ca="1">IF(INDIRECT(ADDRESS($B188+1,BK$164,1,1,"Confirmed Trend"))=0,#N/A,INDIRECT(ADDRESS($B188+1,BK$164,1,1,"Confirmed Trend")))</f>
        <v>#N/A</v>
      </c>
      <c r="BL188" s="18" t="e" cm="1">
        <f t="array" aca="1" ref="BL188" ca="1">IF(INDIRECT(ADDRESS($B188+1,BL$164,1,1,"Confirmed Trend"))=0,#N/A,INDIRECT(ADDRESS($B188+1,BL$164,1,1,"Confirmed Trend")))</f>
        <v>#N/A</v>
      </c>
      <c r="BM188" s="18" t="e" cm="1">
        <f t="array" aca="1" ref="BM188" ca="1">IF(INDIRECT(ADDRESS($B188+1,BM$164,1,1,"Confirmed Trend"))=0,#N/A,INDIRECT(ADDRESS($B188+1,BM$164,1,1,"Confirmed Trend")))</f>
        <v>#N/A</v>
      </c>
      <c r="BN188" s="18" t="e" cm="1">
        <f t="array" aca="1" ref="BN188" ca="1">IF(INDIRECT(ADDRESS($B188+1,BN$164,1,1,"Confirmed Trend"))=0,#N/A,INDIRECT(ADDRESS($B188+1,BN$164,1,1,"Confirmed Trend")))</f>
        <v>#N/A</v>
      </c>
      <c r="BO188" s="18" t="e" cm="1">
        <f t="array" aca="1" ref="BO188" ca="1">IF(INDIRECT(ADDRESS($B188+1,BO$164,1,1,"Confirmed Trend"))=0,#N/A,INDIRECT(ADDRESS($B188+1,BO$164,1,1,"Confirmed Trend")))</f>
        <v>#N/A</v>
      </c>
      <c r="BP188" s="18" t="e" cm="1">
        <f t="array" aca="1" ref="BP188" ca="1">IF(INDIRECT(ADDRESS($B188+1,BP$164,1,1,"Confirmed Trend"))=0,#N/A,INDIRECT(ADDRESS($B188+1,BP$164,1,1,"Confirmed Trend")))</f>
        <v>#N/A</v>
      </c>
      <c r="BQ188" s="18" t="e" cm="1">
        <f t="array" aca="1" ref="BQ188" ca="1">IF(INDIRECT(ADDRESS($B188+1,BQ$164,1,1,"Confirmed Trend"))=0,#N/A,INDIRECT(ADDRESS($B188+1,BQ$164,1,1,"Confirmed Trend")))</f>
        <v>#N/A</v>
      </c>
      <c r="BR188" s="18" t="e" cm="1">
        <f t="array" aca="1" ref="BR188" ca="1">IF(INDIRECT(ADDRESS($B188+1,BR$164,1,1,"Confirmed Trend"))=0,#N/A,INDIRECT(ADDRESS($B188+1,BR$164,1,1,"Confirmed Trend")))</f>
        <v>#N/A</v>
      </c>
      <c r="BS188" s="18" t="e" cm="1">
        <f t="array" aca="1" ref="BS188" ca="1">IF(INDIRECT(ADDRESS($B188+1,BS$164,1,1,"Confirmed Trend"))=0,#N/A,INDIRECT(ADDRESS($B188+1,BS$164,1,1,"Confirmed Trend")))</f>
        <v>#N/A</v>
      </c>
      <c r="BT188" s="18" t="e" cm="1">
        <f t="array" aca="1" ref="BT188" ca="1">IF(INDIRECT(ADDRESS($B188+1,BT$164,1,1,"Confirmed Trend"))=0,#N/A,INDIRECT(ADDRESS($B188+1,BT$164,1,1,"Confirmed Trend")))</f>
        <v>#N/A</v>
      </c>
      <c r="BU188" s="18" t="e" cm="1">
        <f t="array" aca="1" ref="BU188" ca="1">IF(INDIRECT(ADDRESS($B188+1,BU$164,1,1,"Confirmed Trend"))=0,#N/A,INDIRECT(ADDRESS($B188+1,BU$164,1,1,"Confirmed Trend")))</f>
        <v>#N/A</v>
      </c>
      <c r="BV188" s="18" t="e" cm="1">
        <f t="array" aca="1" ref="BV188" ca="1">IF(INDIRECT(ADDRESS($B188+1,BV$164,1,1,"Confirmed Trend"))=0,#N/A,INDIRECT(ADDRESS($B188+1,BV$164,1,1,"Confirmed Trend")))</f>
        <v>#N/A</v>
      </c>
    </row>
    <row r="189" spans="2:74" x14ac:dyDescent="0.25">
      <c r="B189">
        <f t="shared" si="132"/>
        <v>24</v>
      </c>
      <c r="C189" cm="1">
        <f t="array" aca="1" ref="C189" ca="1">INDIRECT(ADDRESS($B189+1,1,1,1,"Confirmed Trend"))</f>
        <v>0</v>
      </c>
      <c r="E189" s="18" t="e" cm="1">
        <f t="array" aca="1" ref="E189" ca="1">IF(INDIRECT(ADDRESS($B189+1,E$164,1,1,"Confirmed Trend"))=0,#N/A,INDIRECT(ADDRESS($B189+1,E$164,1,1,"Confirmed Trend")))</f>
        <v>#N/A</v>
      </c>
      <c r="F189" s="18" t="e" cm="1">
        <f t="array" aca="1" ref="F189" ca="1">IF(INDIRECT(ADDRESS($B189+1,F$164,1,1,"Confirmed Trend"))=0,#N/A,INDIRECT(ADDRESS($B189+1,F$164,1,1,"Confirmed Trend")))</f>
        <v>#N/A</v>
      </c>
      <c r="G189" s="18" t="e" cm="1">
        <f t="array" aca="1" ref="G189" ca="1">IF(INDIRECT(ADDRESS($B189+1,G$164,1,1,"Confirmed Trend"))=0,#N/A,INDIRECT(ADDRESS($B189+1,G$164,1,1,"Confirmed Trend")))</f>
        <v>#N/A</v>
      </c>
      <c r="H189" s="18" t="e" cm="1">
        <f t="array" aca="1" ref="H189" ca="1">IF(INDIRECT(ADDRESS($B189+1,H$164,1,1,"Confirmed Trend"))=0,#N/A,INDIRECT(ADDRESS($B189+1,H$164,1,1,"Confirmed Trend")))</f>
        <v>#N/A</v>
      </c>
      <c r="I189" s="18" t="e" cm="1">
        <f t="array" aca="1" ref="I189" ca="1">IF(INDIRECT(ADDRESS($B189+1,I$164,1,1,"Confirmed Trend"))=0,#N/A,INDIRECT(ADDRESS($B189+1,I$164,1,1,"Confirmed Trend")))</f>
        <v>#N/A</v>
      </c>
      <c r="J189" s="18" t="e" cm="1">
        <f t="array" aca="1" ref="J189" ca="1">IF(INDIRECT(ADDRESS($B189+1,J$164,1,1,"Confirmed Trend"))=0,#N/A,INDIRECT(ADDRESS($B189+1,J$164,1,1,"Confirmed Trend")))</f>
        <v>#N/A</v>
      </c>
      <c r="K189" s="18" t="e" cm="1">
        <f t="array" aca="1" ref="K189" ca="1">IF(INDIRECT(ADDRESS($B189+1,K$164,1,1,"Confirmed Trend"))=0,#N/A,INDIRECT(ADDRESS($B189+1,K$164,1,1,"Confirmed Trend")))</f>
        <v>#N/A</v>
      </c>
      <c r="L189" s="18" t="e" cm="1">
        <f t="array" aca="1" ref="L189" ca="1">IF(INDIRECT(ADDRESS($B189+1,L$164,1,1,"Confirmed Trend"))=0,#N/A,INDIRECT(ADDRESS($B189+1,L$164,1,1,"Confirmed Trend")))</f>
        <v>#N/A</v>
      </c>
      <c r="M189" s="18" t="e" cm="1">
        <f t="array" aca="1" ref="M189" ca="1">IF(INDIRECT(ADDRESS($B189+1,M$164,1,1,"Confirmed Trend"))=0,#N/A,INDIRECT(ADDRESS($B189+1,M$164,1,1,"Confirmed Trend")))</f>
        <v>#N/A</v>
      </c>
      <c r="N189" s="18" t="e" cm="1">
        <f t="array" aca="1" ref="N189" ca="1">IF(INDIRECT(ADDRESS($B189+1,N$164,1,1,"Confirmed Trend"))=0,#N/A,INDIRECT(ADDRESS($B189+1,N$164,1,1,"Confirmed Trend")))</f>
        <v>#N/A</v>
      </c>
      <c r="O189" s="18" t="e" cm="1">
        <f t="array" aca="1" ref="O189" ca="1">IF(INDIRECT(ADDRESS($B189+1,O$164,1,1,"Confirmed Trend"))=0,#N/A,INDIRECT(ADDRESS($B189+1,O$164,1,1,"Confirmed Trend")))</f>
        <v>#N/A</v>
      </c>
      <c r="P189" s="18" t="e" cm="1">
        <f t="array" aca="1" ref="P189" ca="1">IF(INDIRECT(ADDRESS($B189+1,P$164,1,1,"Confirmed Trend"))=0,#N/A,INDIRECT(ADDRESS($B189+1,P$164,1,1,"Confirmed Trend")))</f>
        <v>#N/A</v>
      </c>
      <c r="Q189" s="18" t="e" cm="1">
        <f t="array" aca="1" ref="Q189" ca="1">IF(INDIRECT(ADDRESS($B189+1,Q$164,1,1,"Confirmed Trend"))=0,#N/A,INDIRECT(ADDRESS($B189+1,Q$164,1,1,"Confirmed Trend")))</f>
        <v>#N/A</v>
      </c>
      <c r="R189" s="18" t="e" cm="1">
        <f t="array" aca="1" ref="R189" ca="1">IF(INDIRECT(ADDRESS($B189+1,R$164,1,1,"Confirmed Trend"))=0,#N/A,INDIRECT(ADDRESS($B189+1,R$164,1,1,"Confirmed Trend")))</f>
        <v>#N/A</v>
      </c>
      <c r="S189" s="18" t="e" cm="1">
        <f t="array" aca="1" ref="S189" ca="1">IF(INDIRECT(ADDRESS($B189+1,S$164,1,1,"Confirmed Trend"))=0,#N/A,INDIRECT(ADDRESS($B189+1,S$164,1,1,"Confirmed Trend")))</f>
        <v>#N/A</v>
      </c>
      <c r="T189" s="18" t="e" cm="1">
        <f t="array" aca="1" ref="T189" ca="1">IF(INDIRECT(ADDRESS($B189+1,T$164,1,1,"Confirmed Trend"))=0,#N/A,INDIRECT(ADDRESS($B189+1,T$164,1,1,"Confirmed Trend")))</f>
        <v>#N/A</v>
      </c>
      <c r="U189" s="18" t="e" cm="1">
        <f t="array" aca="1" ref="U189" ca="1">IF(INDIRECT(ADDRESS($B189+1,U$164,1,1,"Confirmed Trend"))=0,#N/A,INDIRECT(ADDRESS($B189+1,U$164,1,1,"Confirmed Trend")))</f>
        <v>#N/A</v>
      </c>
      <c r="V189" s="18" t="e" cm="1">
        <f t="array" aca="1" ref="V189" ca="1">IF(INDIRECT(ADDRESS($B189+1,V$164,1,1,"Confirmed Trend"))=0,#N/A,INDIRECT(ADDRESS($B189+1,V$164,1,1,"Confirmed Trend")))</f>
        <v>#N/A</v>
      </c>
      <c r="W189" s="18" t="e" cm="1">
        <f t="array" aca="1" ref="W189" ca="1">IF(INDIRECT(ADDRESS($B189+1,W$164,1,1,"Confirmed Trend"))=0,#N/A,INDIRECT(ADDRESS($B189+1,W$164,1,1,"Confirmed Trend")))</f>
        <v>#N/A</v>
      </c>
      <c r="X189" s="18" t="e" cm="1">
        <f t="array" aca="1" ref="X189" ca="1">IF(INDIRECT(ADDRESS($B189+1,X$164,1,1,"Confirmed Trend"))=0,#N/A,INDIRECT(ADDRESS($B189+1,X$164,1,1,"Confirmed Trend")))</f>
        <v>#N/A</v>
      </c>
      <c r="Y189" s="18" t="e" cm="1">
        <f t="array" aca="1" ref="Y189" ca="1">IF(INDIRECT(ADDRESS($B189+1,Y$164,1,1,"Confirmed Trend"))=0,#N/A,INDIRECT(ADDRESS($B189+1,Y$164,1,1,"Confirmed Trend")))</f>
        <v>#N/A</v>
      </c>
      <c r="Z189" s="18" t="e" cm="1">
        <f t="array" aca="1" ref="Z189" ca="1">IF(INDIRECT(ADDRESS($B189+1,Z$164,1,1,"Confirmed Trend"))=0,#N/A,INDIRECT(ADDRESS($B189+1,Z$164,1,1,"Confirmed Trend")))</f>
        <v>#N/A</v>
      </c>
      <c r="AA189" s="18" t="e" cm="1">
        <f t="array" aca="1" ref="AA189" ca="1">IF(INDIRECT(ADDRESS($B189+1,AA$164,1,1,"Confirmed Trend"))=0,#N/A,INDIRECT(ADDRESS($B189+1,AA$164,1,1,"Confirmed Trend")))</f>
        <v>#N/A</v>
      </c>
      <c r="AB189" s="18" t="e" cm="1">
        <f t="array" aca="1" ref="AB189" ca="1">IF(INDIRECT(ADDRESS($B189+1,AB$164,1,1,"Confirmed Trend"))=0,#N/A,INDIRECT(ADDRESS($B189+1,AB$164,1,1,"Confirmed Trend")))</f>
        <v>#N/A</v>
      </c>
      <c r="AC189" s="18" t="e" cm="1">
        <f t="array" aca="1" ref="AC189" ca="1">IF(INDIRECT(ADDRESS($B189+1,AC$164,1,1,"Confirmed Trend"))=0,#N/A,INDIRECT(ADDRESS($B189+1,AC$164,1,1,"Confirmed Trend")))</f>
        <v>#N/A</v>
      </c>
      <c r="AD189" s="18" t="e" cm="1">
        <f t="array" aca="1" ref="AD189" ca="1">IF(INDIRECT(ADDRESS($B189+1,AD$164,1,1,"Confirmed Trend"))=0,#N/A,INDIRECT(ADDRESS($B189+1,AD$164,1,1,"Confirmed Trend")))</f>
        <v>#N/A</v>
      </c>
      <c r="AE189" s="18" t="e" cm="1">
        <f t="array" aca="1" ref="AE189" ca="1">IF(INDIRECT(ADDRESS($B189+1,AE$164,1,1,"Confirmed Trend"))=0,#N/A,INDIRECT(ADDRESS($B189+1,AE$164,1,1,"Confirmed Trend")))</f>
        <v>#N/A</v>
      </c>
      <c r="AF189" s="18" t="e" cm="1">
        <f t="array" aca="1" ref="AF189" ca="1">IF(INDIRECT(ADDRESS($B189+1,AF$164,1,1,"Confirmed Trend"))=0,#N/A,INDIRECT(ADDRESS($B189+1,AF$164,1,1,"Confirmed Trend")))</f>
        <v>#N/A</v>
      </c>
      <c r="AG189" s="18" t="e" cm="1">
        <f t="array" aca="1" ref="AG189" ca="1">IF(INDIRECT(ADDRESS($B189+1,AG$164,1,1,"Confirmed Trend"))=0,#N/A,INDIRECT(ADDRESS($B189+1,AG$164,1,1,"Confirmed Trend")))</f>
        <v>#N/A</v>
      </c>
      <c r="AH189" s="18" t="e" cm="1">
        <f t="array" aca="1" ref="AH189" ca="1">IF(INDIRECT(ADDRESS($B189+1,AH$164,1,1,"Confirmed Trend"))=0,#N/A,INDIRECT(ADDRESS($B189+1,AH$164,1,1,"Confirmed Trend")))</f>
        <v>#N/A</v>
      </c>
      <c r="AI189" s="18" t="e" cm="1">
        <f t="array" aca="1" ref="AI189" ca="1">IF(INDIRECT(ADDRESS($B189+1,AI$164,1,1,"Confirmed Trend"))=0,#N/A,INDIRECT(ADDRESS($B189+1,AI$164,1,1,"Confirmed Trend")))</f>
        <v>#N/A</v>
      </c>
      <c r="AJ189" s="18" t="e" cm="1">
        <f t="array" aca="1" ref="AJ189" ca="1">IF(INDIRECT(ADDRESS($B189+1,AJ$164,1,1,"Confirmed Trend"))=0,#N/A,INDIRECT(ADDRESS($B189+1,AJ$164,1,1,"Confirmed Trend")))</f>
        <v>#N/A</v>
      </c>
      <c r="AK189" s="18" t="e" cm="1">
        <f t="array" aca="1" ref="AK189" ca="1">IF(INDIRECT(ADDRESS($B189+1,AK$164,1,1,"Confirmed Trend"))=0,#N/A,INDIRECT(ADDRESS($B189+1,AK$164,1,1,"Confirmed Trend")))</f>
        <v>#N/A</v>
      </c>
      <c r="AL189" s="18" t="e" cm="1">
        <f t="array" aca="1" ref="AL189" ca="1">IF(INDIRECT(ADDRESS($B189+1,AL$164,1,1,"Confirmed Trend"))=0,#N/A,INDIRECT(ADDRESS($B189+1,AL$164,1,1,"Confirmed Trend")))</f>
        <v>#N/A</v>
      </c>
      <c r="AM189" s="18" t="e" cm="1">
        <f t="array" aca="1" ref="AM189" ca="1">IF(INDIRECT(ADDRESS($B189+1,AM$164,1,1,"Confirmed Trend"))=0,#N/A,INDIRECT(ADDRESS($B189+1,AM$164,1,1,"Confirmed Trend")))</f>
        <v>#N/A</v>
      </c>
      <c r="AN189" s="18" t="e" cm="1">
        <f t="array" aca="1" ref="AN189" ca="1">IF(INDIRECT(ADDRESS($B189+1,AN$164,1,1,"Confirmed Trend"))=0,#N/A,INDIRECT(ADDRESS($B189+1,AN$164,1,1,"Confirmed Trend")))</f>
        <v>#N/A</v>
      </c>
      <c r="AO189" s="18" t="e" cm="1">
        <f t="array" aca="1" ref="AO189" ca="1">IF(INDIRECT(ADDRESS($B189+1,AO$164,1,1,"Confirmed Trend"))=0,#N/A,INDIRECT(ADDRESS($B189+1,AO$164,1,1,"Confirmed Trend")))</f>
        <v>#N/A</v>
      </c>
      <c r="AP189" s="18" t="e" cm="1">
        <f t="array" aca="1" ref="AP189" ca="1">IF(INDIRECT(ADDRESS($B189+1,AP$164,1,1,"Confirmed Trend"))=0,#N/A,INDIRECT(ADDRESS($B189+1,AP$164,1,1,"Confirmed Trend")))</f>
        <v>#N/A</v>
      </c>
      <c r="AQ189" s="18" t="e" cm="1">
        <f t="array" aca="1" ref="AQ189" ca="1">IF(INDIRECT(ADDRESS($B189+1,AQ$164,1,1,"Confirmed Trend"))=0,#N/A,INDIRECT(ADDRESS($B189+1,AQ$164,1,1,"Confirmed Trend")))</f>
        <v>#N/A</v>
      </c>
      <c r="AR189" s="18" t="e" cm="1">
        <f t="array" aca="1" ref="AR189" ca="1">IF(INDIRECT(ADDRESS($B189+1,AR$164,1,1,"Confirmed Trend"))=0,#N/A,INDIRECT(ADDRESS($B189+1,AR$164,1,1,"Confirmed Trend")))</f>
        <v>#N/A</v>
      </c>
      <c r="AS189" s="18" t="e" cm="1">
        <f t="array" aca="1" ref="AS189" ca="1">IF(INDIRECT(ADDRESS($B189+1,AS$164,1,1,"Confirmed Trend"))=0,#N/A,INDIRECT(ADDRESS($B189+1,AS$164,1,1,"Confirmed Trend")))</f>
        <v>#N/A</v>
      </c>
      <c r="AT189" s="18" t="e" cm="1">
        <f t="array" aca="1" ref="AT189" ca="1">IF(INDIRECT(ADDRESS($B189+1,AT$164,1,1,"Confirmed Trend"))=0,#N/A,INDIRECT(ADDRESS($B189+1,AT$164,1,1,"Confirmed Trend")))</f>
        <v>#N/A</v>
      </c>
      <c r="AU189" s="18" t="e" cm="1">
        <f t="array" aca="1" ref="AU189" ca="1">IF(INDIRECT(ADDRESS($B189+1,AU$164,1,1,"Confirmed Trend"))=0,#N/A,INDIRECT(ADDRESS($B189+1,AU$164,1,1,"Confirmed Trend")))</f>
        <v>#N/A</v>
      </c>
      <c r="AV189" s="18" t="e" cm="1">
        <f t="array" aca="1" ref="AV189" ca="1">IF(INDIRECT(ADDRESS($B189+1,AV$164,1,1,"Confirmed Trend"))=0,#N/A,INDIRECT(ADDRESS($B189+1,AV$164,1,1,"Confirmed Trend")))</f>
        <v>#N/A</v>
      </c>
      <c r="AW189" s="18" t="e" cm="1">
        <f t="array" aca="1" ref="AW189" ca="1">IF(INDIRECT(ADDRESS($B189+1,AW$164,1,1,"Confirmed Trend"))=0,#N/A,INDIRECT(ADDRESS($B189+1,AW$164,1,1,"Confirmed Trend")))</f>
        <v>#N/A</v>
      </c>
      <c r="AX189" s="18" t="e" cm="1">
        <f t="array" aca="1" ref="AX189" ca="1">IF(INDIRECT(ADDRESS($B189+1,AX$164,1,1,"Confirmed Trend"))=0,#N/A,INDIRECT(ADDRESS($B189+1,AX$164,1,1,"Confirmed Trend")))</f>
        <v>#N/A</v>
      </c>
      <c r="AY189" s="18" t="e" cm="1">
        <f t="array" aca="1" ref="AY189" ca="1">IF(INDIRECT(ADDRESS($B189+1,AY$164,1,1,"Confirmed Trend"))=0,#N/A,INDIRECT(ADDRESS($B189+1,AY$164,1,1,"Confirmed Trend")))</f>
        <v>#N/A</v>
      </c>
      <c r="AZ189" s="18" t="e" cm="1">
        <f t="array" aca="1" ref="AZ189" ca="1">IF(INDIRECT(ADDRESS($B189+1,AZ$164,1,1,"Confirmed Trend"))=0,#N/A,INDIRECT(ADDRESS($B189+1,AZ$164,1,1,"Confirmed Trend")))</f>
        <v>#N/A</v>
      </c>
      <c r="BA189" s="18" t="e" cm="1">
        <f t="array" aca="1" ref="BA189" ca="1">IF(INDIRECT(ADDRESS($B189+1,BA$164,1,1,"Confirmed Trend"))=0,#N/A,INDIRECT(ADDRESS($B189+1,BA$164,1,1,"Confirmed Trend")))</f>
        <v>#N/A</v>
      </c>
      <c r="BB189" s="18" t="e" cm="1">
        <f t="array" aca="1" ref="BB189" ca="1">IF(INDIRECT(ADDRESS($B189+1,BB$164,1,1,"Confirmed Trend"))=0,#N/A,INDIRECT(ADDRESS($B189+1,BB$164,1,1,"Confirmed Trend")))</f>
        <v>#N/A</v>
      </c>
      <c r="BC189" s="18" t="e" cm="1">
        <f t="array" aca="1" ref="BC189" ca="1">IF(INDIRECT(ADDRESS($B189+1,BC$164,1,1,"Confirmed Trend"))=0,#N/A,INDIRECT(ADDRESS($B189+1,BC$164,1,1,"Confirmed Trend")))</f>
        <v>#N/A</v>
      </c>
      <c r="BD189" s="18" t="e" cm="1">
        <f t="array" aca="1" ref="BD189" ca="1">IF(INDIRECT(ADDRESS($B189+1,BD$164,1,1,"Confirmed Trend"))=0,#N/A,INDIRECT(ADDRESS($B189+1,BD$164,1,1,"Confirmed Trend")))</f>
        <v>#N/A</v>
      </c>
      <c r="BE189" s="18" t="e" cm="1">
        <f t="array" aca="1" ref="BE189" ca="1">IF(INDIRECT(ADDRESS($B189+1,BE$164,1,1,"Confirmed Trend"))=0,#N/A,INDIRECT(ADDRESS($B189+1,BE$164,1,1,"Confirmed Trend")))</f>
        <v>#N/A</v>
      </c>
      <c r="BF189" s="18" t="e" cm="1">
        <f t="array" aca="1" ref="BF189" ca="1">IF(INDIRECT(ADDRESS($B189+1,BF$164,1,1,"Confirmed Trend"))=0,#N/A,INDIRECT(ADDRESS($B189+1,BF$164,1,1,"Confirmed Trend")))</f>
        <v>#N/A</v>
      </c>
      <c r="BG189" s="18" t="e" cm="1">
        <f t="array" aca="1" ref="BG189" ca="1">IF(INDIRECT(ADDRESS($B189+1,BG$164,1,1,"Confirmed Trend"))=0,#N/A,INDIRECT(ADDRESS($B189+1,BG$164,1,1,"Confirmed Trend")))</f>
        <v>#N/A</v>
      </c>
      <c r="BH189" s="18" t="e" cm="1">
        <f t="array" aca="1" ref="BH189" ca="1">IF(INDIRECT(ADDRESS($B189+1,BH$164,1,1,"Confirmed Trend"))=0,#N/A,INDIRECT(ADDRESS($B189+1,BH$164,1,1,"Confirmed Trend")))</f>
        <v>#N/A</v>
      </c>
      <c r="BI189" s="18" t="e" cm="1">
        <f t="array" aca="1" ref="BI189" ca="1">IF(INDIRECT(ADDRESS($B189+1,BI$164,1,1,"Confirmed Trend"))=0,#N/A,INDIRECT(ADDRESS($B189+1,BI$164,1,1,"Confirmed Trend")))</f>
        <v>#N/A</v>
      </c>
      <c r="BJ189" s="18" t="e" cm="1">
        <f t="array" aca="1" ref="BJ189" ca="1">IF(INDIRECT(ADDRESS($B189+1,BJ$164,1,1,"Confirmed Trend"))=0,#N/A,INDIRECT(ADDRESS($B189+1,BJ$164,1,1,"Confirmed Trend")))</f>
        <v>#N/A</v>
      </c>
      <c r="BK189" s="18" t="e" cm="1">
        <f t="array" aca="1" ref="BK189" ca="1">IF(INDIRECT(ADDRESS($B189+1,BK$164,1,1,"Confirmed Trend"))=0,#N/A,INDIRECT(ADDRESS($B189+1,BK$164,1,1,"Confirmed Trend")))</f>
        <v>#N/A</v>
      </c>
      <c r="BL189" s="18" t="e" cm="1">
        <f t="array" aca="1" ref="BL189" ca="1">IF(INDIRECT(ADDRESS($B189+1,BL$164,1,1,"Confirmed Trend"))=0,#N/A,INDIRECT(ADDRESS($B189+1,BL$164,1,1,"Confirmed Trend")))</f>
        <v>#N/A</v>
      </c>
      <c r="BM189" s="18" t="e" cm="1">
        <f t="array" aca="1" ref="BM189" ca="1">IF(INDIRECT(ADDRESS($B189+1,BM$164,1,1,"Confirmed Trend"))=0,#N/A,INDIRECT(ADDRESS($B189+1,BM$164,1,1,"Confirmed Trend")))</f>
        <v>#N/A</v>
      </c>
      <c r="BN189" s="18" t="e" cm="1">
        <f t="array" aca="1" ref="BN189" ca="1">IF(INDIRECT(ADDRESS($B189+1,BN$164,1,1,"Confirmed Trend"))=0,#N/A,INDIRECT(ADDRESS($B189+1,BN$164,1,1,"Confirmed Trend")))</f>
        <v>#N/A</v>
      </c>
      <c r="BO189" s="18" t="e" cm="1">
        <f t="array" aca="1" ref="BO189" ca="1">IF(INDIRECT(ADDRESS($B189+1,BO$164,1,1,"Confirmed Trend"))=0,#N/A,INDIRECT(ADDRESS($B189+1,BO$164,1,1,"Confirmed Trend")))</f>
        <v>#N/A</v>
      </c>
      <c r="BP189" s="18" t="e" cm="1">
        <f t="array" aca="1" ref="BP189" ca="1">IF(INDIRECT(ADDRESS($B189+1,BP$164,1,1,"Confirmed Trend"))=0,#N/A,INDIRECT(ADDRESS($B189+1,BP$164,1,1,"Confirmed Trend")))</f>
        <v>#N/A</v>
      </c>
      <c r="BQ189" s="18" t="e" cm="1">
        <f t="array" aca="1" ref="BQ189" ca="1">IF(INDIRECT(ADDRESS($B189+1,BQ$164,1,1,"Confirmed Trend"))=0,#N/A,INDIRECT(ADDRESS($B189+1,BQ$164,1,1,"Confirmed Trend")))</f>
        <v>#N/A</v>
      </c>
      <c r="BR189" s="18" t="e" cm="1">
        <f t="array" aca="1" ref="BR189" ca="1">IF(INDIRECT(ADDRESS($B189+1,BR$164,1,1,"Confirmed Trend"))=0,#N/A,INDIRECT(ADDRESS($B189+1,BR$164,1,1,"Confirmed Trend")))</f>
        <v>#N/A</v>
      </c>
      <c r="BS189" s="18" t="e" cm="1">
        <f t="array" aca="1" ref="BS189" ca="1">IF(INDIRECT(ADDRESS($B189+1,BS$164,1,1,"Confirmed Trend"))=0,#N/A,INDIRECT(ADDRESS($B189+1,BS$164,1,1,"Confirmed Trend")))</f>
        <v>#N/A</v>
      </c>
      <c r="BT189" s="18" t="e" cm="1">
        <f t="array" aca="1" ref="BT189" ca="1">IF(INDIRECT(ADDRESS($B189+1,BT$164,1,1,"Confirmed Trend"))=0,#N/A,INDIRECT(ADDRESS($B189+1,BT$164,1,1,"Confirmed Trend")))</f>
        <v>#N/A</v>
      </c>
      <c r="BU189" s="18" t="e" cm="1">
        <f t="array" aca="1" ref="BU189" ca="1">IF(INDIRECT(ADDRESS($B189+1,BU$164,1,1,"Confirmed Trend"))=0,#N/A,INDIRECT(ADDRESS($B189+1,BU$164,1,1,"Confirmed Trend")))</f>
        <v>#N/A</v>
      </c>
      <c r="BV189" s="18" t="e" cm="1">
        <f t="array" aca="1" ref="BV189" ca="1">IF(INDIRECT(ADDRESS($B189+1,BV$164,1,1,"Confirmed Trend"))=0,#N/A,INDIRECT(ADDRESS($B189+1,BV$164,1,1,"Confirmed Trend")))</f>
        <v>#N/A</v>
      </c>
    </row>
    <row r="190" spans="2:74" x14ac:dyDescent="0.25">
      <c r="B190">
        <f t="shared" si="132"/>
        <v>25</v>
      </c>
      <c r="C190" cm="1">
        <f t="array" aca="1" ref="C190" ca="1">INDIRECT(ADDRESS($B190+1,1,1,1,"Confirmed Trend"))</f>
        <v>0</v>
      </c>
      <c r="E190" s="18" t="e" cm="1">
        <f t="array" aca="1" ref="E190" ca="1">IF(INDIRECT(ADDRESS($B190+1,E$164,1,1,"Confirmed Trend"))=0,#N/A,INDIRECT(ADDRESS($B190+1,E$164,1,1,"Confirmed Trend")))</f>
        <v>#N/A</v>
      </c>
      <c r="F190" s="18" t="e" cm="1">
        <f t="array" aca="1" ref="F190" ca="1">IF(INDIRECT(ADDRESS($B190+1,F$164,1,1,"Confirmed Trend"))=0,#N/A,INDIRECT(ADDRESS($B190+1,F$164,1,1,"Confirmed Trend")))</f>
        <v>#N/A</v>
      </c>
      <c r="G190" s="18" t="e" cm="1">
        <f t="array" aca="1" ref="G190" ca="1">IF(INDIRECT(ADDRESS($B190+1,G$164,1,1,"Confirmed Trend"))=0,#N/A,INDIRECT(ADDRESS($B190+1,G$164,1,1,"Confirmed Trend")))</f>
        <v>#N/A</v>
      </c>
      <c r="H190" s="18" t="e" cm="1">
        <f t="array" aca="1" ref="H190" ca="1">IF(INDIRECT(ADDRESS($B190+1,H$164,1,1,"Confirmed Trend"))=0,#N/A,INDIRECT(ADDRESS($B190+1,H$164,1,1,"Confirmed Trend")))</f>
        <v>#N/A</v>
      </c>
      <c r="I190" s="18" t="e" cm="1">
        <f t="array" aca="1" ref="I190" ca="1">IF(INDIRECT(ADDRESS($B190+1,I$164,1,1,"Confirmed Trend"))=0,#N/A,INDIRECT(ADDRESS($B190+1,I$164,1,1,"Confirmed Trend")))</f>
        <v>#N/A</v>
      </c>
      <c r="J190" s="18" t="e" cm="1">
        <f t="array" aca="1" ref="J190" ca="1">IF(INDIRECT(ADDRESS($B190+1,J$164,1,1,"Confirmed Trend"))=0,#N/A,INDIRECT(ADDRESS($B190+1,J$164,1,1,"Confirmed Trend")))</f>
        <v>#N/A</v>
      </c>
      <c r="K190" s="18" t="e" cm="1">
        <f t="array" aca="1" ref="K190" ca="1">IF(INDIRECT(ADDRESS($B190+1,K$164,1,1,"Confirmed Trend"))=0,#N/A,INDIRECT(ADDRESS($B190+1,K$164,1,1,"Confirmed Trend")))</f>
        <v>#N/A</v>
      </c>
      <c r="L190" s="18" t="e" cm="1">
        <f t="array" aca="1" ref="L190" ca="1">IF(INDIRECT(ADDRESS($B190+1,L$164,1,1,"Confirmed Trend"))=0,#N/A,INDIRECT(ADDRESS($B190+1,L$164,1,1,"Confirmed Trend")))</f>
        <v>#N/A</v>
      </c>
      <c r="M190" s="18" t="e" cm="1">
        <f t="array" aca="1" ref="M190" ca="1">IF(INDIRECT(ADDRESS($B190+1,M$164,1,1,"Confirmed Trend"))=0,#N/A,INDIRECT(ADDRESS($B190+1,M$164,1,1,"Confirmed Trend")))</f>
        <v>#N/A</v>
      </c>
      <c r="N190" s="18" t="e" cm="1">
        <f t="array" aca="1" ref="N190" ca="1">IF(INDIRECT(ADDRESS($B190+1,N$164,1,1,"Confirmed Trend"))=0,#N/A,INDIRECT(ADDRESS($B190+1,N$164,1,1,"Confirmed Trend")))</f>
        <v>#N/A</v>
      </c>
      <c r="O190" s="18" t="e" cm="1">
        <f t="array" aca="1" ref="O190" ca="1">IF(INDIRECT(ADDRESS($B190+1,O$164,1,1,"Confirmed Trend"))=0,#N/A,INDIRECT(ADDRESS($B190+1,O$164,1,1,"Confirmed Trend")))</f>
        <v>#N/A</v>
      </c>
      <c r="P190" s="18" t="e" cm="1">
        <f t="array" aca="1" ref="P190" ca="1">IF(INDIRECT(ADDRESS($B190+1,P$164,1,1,"Confirmed Trend"))=0,#N/A,INDIRECT(ADDRESS($B190+1,P$164,1,1,"Confirmed Trend")))</f>
        <v>#N/A</v>
      </c>
      <c r="Q190" s="18" t="e" cm="1">
        <f t="array" aca="1" ref="Q190" ca="1">IF(INDIRECT(ADDRESS($B190+1,Q$164,1,1,"Confirmed Trend"))=0,#N/A,INDIRECT(ADDRESS($B190+1,Q$164,1,1,"Confirmed Trend")))</f>
        <v>#N/A</v>
      </c>
      <c r="R190" s="18" t="e" cm="1">
        <f t="array" aca="1" ref="R190" ca="1">IF(INDIRECT(ADDRESS($B190+1,R$164,1,1,"Confirmed Trend"))=0,#N/A,INDIRECT(ADDRESS($B190+1,R$164,1,1,"Confirmed Trend")))</f>
        <v>#N/A</v>
      </c>
      <c r="S190" s="18" t="e" cm="1">
        <f t="array" aca="1" ref="S190" ca="1">IF(INDIRECT(ADDRESS($B190+1,S$164,1,1,"Confirmed Trend"))=0,#N/A,INDIRECT(ADDRESS($B190+1,S$164,1,1,"Confirmed Trend")))</f>
        <v>#N/A</v>
      </c>
      <c r="T190" s="18" t="e" cm="1">
        <f t="array" aca="1" ref="T190" ca="1">IF(INDIRECT(ADDRESS($B190+1,T$164,1,1,"Confirmed Trend"))=0,#N/A,INDIRECT(ADDRESS($B190+1,T$164,1,1,"Confirmed Trend")))</f>
        <v>#N/A</v>
      </c>
      <c r="U190" s="18" t="e" cm="1">
        <f t="array" aca="1" ref="U190" ca="1">IF(INDIRECT(ADDRESS($B190+1,U$164,1,1,"Confirmed Trend"))=0,#N/A,INDIRECT(ADDRESS($B190+1,U$164,1,1,"Confirmed Trend")))</f>
        <v>#N/A</v>
      </c>
      <c r="V190" s="18" t="e" cm="1">
        <f t="array" aca="1" ref="V190" ca="1">IF(INDIRECT(ADDRESS($B190+1,V$164,1,1,"Confirmed Trend"))=0,#N/A,INDIRECT(ADDRESS($B190+1,V$164,1,1,"Confirmed Trend")))</f>
        <v>#N/A</v>
      </c>
      <c r="W190" s="18" t="e" cm="1">
        <f t="array" aca="1" ref="W190" ca="1">IF(INDIRECT(ADDRESS($B190+1,W$164,1,1,"Confirmed Trend"))=0,#N/A,INDIRECT(ADDRESS($B190+1,W$164,1,1,"Confirmed Trend")))</f>
        <v>#N/A</v>
      </c>
      <c r="X190" s="18" t="e" cm="1">
        <f t="array" aca="1" ref="X190" ca="1">IF(INDIRECT(ADDRESS($B190+1,X$164,1,1,"Confirmed Trend"))=0,#N/A,INDIRECT(ADDRESS($B190+1,X$164,1,1,"Confirmed Trend")))</f>
        <v>#N/A</v>
      </c>
      <c r="Y190" s="18" t="e" cm="1">
        <f t="array" aca="1" ref="Y190" ca="1">IF(INDIRECT(ADDRESS($B190+1,Y$164,1,1,"Confirmed Trend"))=0,#N/A,INDIRECT(ADDRESS($B190+1,Y$164,1,1,"Confirmed Trend")))</f>
        <v>#N/A</v>
      </c>
      <c r="Z190" s="18" t="e" cm="1">
        <f t="array" aca="1" ref="Z190" ca="1">IF(INDIRECT(ADDRESS($B190+1,Z$164,1,1,"Confirmed Trend"))=0,#N/A,INDIRECT(ADDRESS($B190+1,Z$164,1,1,"Confirmed Trend")))</f>
        <v>#N/A</v>
      </c>
      <c r="AA190" s="18" t="e" cm="1">
        <f t="array" aca="1" ref="AA190" ca="1">IF(INDIRECT(ADDRESS($B190+1,AA$164,1,1,"Confirmed Trend"))=0,#N/A,INDIRECT(ADDRESS($B190+1,AA$164,1,1,"Confirmed Trend")))</f>
        <v>#N/A</v>
      </c>
      <c r="AB190" s="18" t="e" cm="1">
        <f t="array" aca="1" ref="AB190" ca="1">IF(INDIRECT(ADDRESS($B190+1,AB$164,1,1,"Confirmed Trend"))=0,#N/A,INDIRECT(ADDRESS($B190+1,AB$164,1,1,"Confirmed Trend")))</f>
        <v>#N/A</v>
      </c>
      <c r="AC190" s="18" t="e" cm="1">
        <f t="array" aca="1" ref="AC190" ca="1">IF(INDIRECT(ADDRESS($B190+1,AC$164,1,1,"Confirmed Trend"))=0,#N/A,INDIRECT(ADDRESS($B190+1,AC$164,1,1,"Confirmed Trend")))</f>
        <v>#N/A</v>
      </c>
      <c r="AD190" s="18" t="e" cm="1">
        <f t="array" aca="1" ref="AD190" ca="1">IF(INDIRECT(ADDRESS($B190+1,AD$164,1,1,"Confirmed Trend"))=0,#N/A,INDIRECT(ADDRESS($B190+1,AD$164,1,1,"Confirmed Trend")))</f>
        <v>#N/A</v>
      </c>
      <c r="AE190" s="18" t="e" cm="1">
        <f t="array" aca="1" ref="AE190" ca="1">IF(INDIRECT(ADDRESS($B190+1,AE$164,1,1,"Confirmed Trend"))=0,#N/A,INDIRECT(ADDRESS($B190+1,AE$164,1,1,"Confirmed Trend")))</f>
        <v>#N/A</v>
      </c>
      <c r="AF190" s="18" t="e" cm="1">
        <f t="array" aca="1" ref="AF190" ca="1">IF(INDIRECT(ADDRESS($B190+1,AF$164,1,1,"Confirmed Trend"))=0,#N/A,INDIRECT(ADDRESS($B190+1,AF$164,1,1,"Confirmed Trend")))</f>
        <v>#N/A</v>
      </c>
      <c r="AG190" s="18" t="e" cm="1">
        <f t="array" aca="1" ref="AG190" ca="1">IF(INDIRECT(ADDRESS($B190+1,AG$164,1,1,"Confirmed Trend"))=0,#N/A,INDIRECT(ADDRESS($B190+1,AG$164,1,1,"Confirmed Trend")))</f>
        <v>#N/A</v>
      </c>
      <c r="AH190" s="18" t="e" cm="1">
        <f t="array" aca="1" ref="AH190" ca="1">IF(INDIRECT(ADDRESS($B190+1,AH$164,1,1,"Confirmed Trend"))=0,#N/A,INDIRECT(ADDRESS($B190+1,AH$164,1,1,"Confirmed Trend")))</f>
        <v>#N/A</v>
      </c>
      <c r="AI190" s="18" t="e" cm="1">
        <f t="array" aca="1" ref="AI190" ca="1">IF(INDIRECT(ADDRESS($B190+1,AI$164,1,1,"Confirmed Trend"))=0,#N/A,INDIRECT(ADDRESS($B190+1,AI$164,1,1,"Confirmed Trend")))</f>
        <v>#N/A</v>
      </c>
      <c r="AJ190" s="18" t="e" cm="1">
        <f t="array" aca="1" ref="AJ190" ca="1">IF(INDIRECT(ADDRESS($B190+1,AJ$164,1,1,"Confirmed Trend"))=0,#N/A,INDIRECT(ADDRESS($B190+1,AJ$164,1,1,"Confirmed Trend")))</f>
        <v>#N/A</v>
      </c>
      <c r="AK190" s="18" t="e" cm="1">
        <f t="array" aca="1" ref="AK190" ca="1">IF(INDIRECT(ADDRESS($B190+1,AK$164,1,1,"Confirmed Trend"))=0,#N/A,INDIRECT(ADDRESS($B190+1,AK$164,1,1,"Confirmed Trend")))</f>
        <v>#N/A</v>
      </c>
      <c r="AL190" s="18" t="e" cm="1">
        <f t="array" aca="1" ref="AL190" ca="1">IF(INDIRECT(ADDRESS($B190+1,AL$164,1,1,"Confirmed Trend"))=0,#N/A,INDIRECT(ADDRESS($B190+1,AL$164,1,1,"Confirmed Trend")))</f>
        <v>#N/A</v>
      </c>
      <c r="AM190" s="18" t="e" cm="1">
        <f t="array" aca="1" ref="AM190" ca="1">IF(INDIRECT(ADDRESS($B190+1,AM$164,1,1,"Confirmed Trend"))=0,#N/A,INDIRECT(ADDRESS($B190+1,AM$164,1,1,"Confirmed Trend")))</f>
        <v>#N/A</v>
      </c>
      <c r="AN190" s="18" t="e" cm="1">
        <f t="array" aca="1" ref="AN190" ca="1">IF(INDIRECT(ADDRESS($B190+1,AN$164,1,1,"Confirmed Trend"))=0,#N/A,INDIRECT(ADDRESS($B190+1,AN$164,1,1,"Confirmed Trend")))</f>
        <v>#N/A</v>
      </c>
      <c r="AO190" s="18" t="e" cm="1">
        <f t="array" aca="1" ref="AO190" ca="1">IF(INDIRECT(ADDRESS($B190+1,AO$164,1,1,"Confirmed Trend"))=0,#N/A,INDIRECT(ADDRESS($B190+1,AO$164,1,1,"Confirmed Trend")))</f>
        <v>#N/A</v>
      </c>
      <c r="AP190" s="18" t="e" cm="1">
        <f t="array" aca="1" ref="AP190" ca="1">IF(INDIRECT(ADDRESS($B190+1,AP$164,1,1,"Confirmed Trend"))=0,#N/A,INDIRECT(ADDRESS($B190+1,AP$164,1,1,"Confirmed Trend")))</f>
        <v>#N/A</v>
      </c>
      <c r="AQ190" s="18" t="e" cm="1">
        <f t="array" aca="1" ref="AQ190" ca="1">IF(INDIRECT(ADDRESS($B190+1,AQ$164,1,1,"Confirmed Trend"))=0,#N/A,INDIRECT(ADDRESS($B190+1,AQ$164,1,1,"Confirmed Trend")))</f>
        <v>#N/A</v>
      </c>
      <c r="AR190" s="18" t="e" cm="1">
        <f t="array" aca="1" ref="AR190" ca="1">IF(INDIRECT(ADDRESS($B190+1,AR$164,1,1,"Confirmed Trend"))=0,#N/A,INDIRECT(ADDRESS($B190+1,AR$164,1,1,"Confirmed Trend")))</f>
        <v>#N/A</v>
      </c>
      <c r="AS190" s="18" t="e" cm="1">
        <f t="array" aca="1" ref="AS190" ca="1">IF(INDIRECT(ADDRESS($B190+1,AS$164,1,1,"Confirmed Trend"))=0,#N/A,INDIRECT(ADDRESS($B190+1,AS$164,1,1,"Confirmed Trend")))</f>
        <v>#N/A</v>
      </c>
      <c r="AT190" s="18" t="e" cm="1">
        <f t="array" aca="1" ref="AT190" ca="1">IF(INDIRECT(ADDRESS($B190+1,AT$164,1,1,"Confirmed Trend"))=0,#N/A,INDIRECT(ADDRESS($B190+1,AT$164,1,1,"Confirmed Trend")))</f>
        <v>#N/A</v>
      </c>
      <c r="AU190" s="18" t="e" cm="1">
        <f t="array" aca="1" ref="AU190" ca="1">IF(INDIRECT(ADDRESS($B190+1,AU$164,1,1,"Confirmed Trend"))=0,#N/A,INDIRECT(ADDRESS($B190+1,AU$164,1,1,"Confirmed Trend")))</f>
        <v>#N/A</v>
      </c>
      <c r="AV190" s="18" t="e" cm="1">
        <f t="array" aca="1" ref="AV190" ca="1">IF(INDIRECT(ADDRESS($B190+1,AV$164,1,1,"Confirmed Trend"))=0,#N/A,INDIRECT(ADDRESS($B190+1,AV$164,1,1,"Confirmed Trend")))</f>
        <v>#N/A</v>
      </c>
      <c r="AW190" s="18" t="e" cm="1">
        <f t="array" aca="1" ref="AW190" ca="1">IF(INDIRECT(ADDRESS($B190+1,AW$164,1,1,"Confirmed Trend"))=0,#N/A,INDIRECT(ADDRESS($B190+1,AW$164,1,1,"Confirmed Trend")))</f>
        <v>#N/A</v>
      </c>
      <c r="AX190" s="18" t="e" cm="1">
        <f t="array" aca="1" ref="AX190" ca="1">IF(INDIRECT(ADDRESS($B190+1,AX$164,1,1,"Confirmed Trend"))=0,#N/A,INDIRECT(ADDRESS($B190+1,AX$164,1,1,"Confirmed Trend")))</f>
        <v>#N/A</v>
      </c>
      <c r="AY190" s="18" t="e" cm="1">
        <f t="array" aca="1" ref="AY190" ca="1">IF(INDIRECT(ADDRESS($B190+1,AY$164,1,1,"Confirmed Trend"))=0,#N/A,INDIRECT(ADDRESS($B190+1,AY$164,1,1,"Confirmed Trend")))</f>
        <v>#N/A</v>
      </c>
      <c r="AZ190" s="18" t="e" cm="1">
        <f t="array" aca="1" ref="AZ190" ca="1">IF(INDIRECT(ADDRESS($B190+1,AZ$164,1,1,"Confirmed Trend"))=0,#N/A,INDIRECT(ADDRESS($B190+1,AZ$164,1,1,"Confirmed Trend")))</f>
        <v>#N/A</v>
      </c>
      <c r="BA190" s="18" t="e" cm="1">
        <f t="array" aca="1" ref="BA190" ca="1">IF(INDIRECT(ADDRESS($B190+1,BA$164,1,1,"Confirmed Trend"))=0,#N/A,INDIRECT(ADDRESS($B190+1,BA$164,1,1,"Confirmed Trend")))</f>
        <v>#N/A</v>
      </c>
      <c r="BB190" s="18" t="e" cm="1">
        <f t="array" aca="1" ref="BB190" ca="1">IF(INDIRECT(ADDRESS($B190+1,BB$164,1,1,"Confirmed Trend"))=0,#N/A,INDIRECT(ADDRESS($B190+1,BB$164,1,1,"Confirmed Trend")))</f>
        <v>#N/A</v>
      </c>
      <c r="BC190" s="18" t="e" cm="1">
        <f t="array" aca="1" ref="BC190" ca="1">IF(INDIRECT(ADDRESS($B190+1,BC$164,1,1,"Confirmed Trend"))=0,#N/A,INDIRECT(ADDRESS($B190+1,BC$164,1,1,"Confirmed Trend")))</f>
        <v>#N/A</v>
      </c>
      <c r="BD190" s="18" t="e" cm="1">
        <f t="array" aca="1" ref="BD190" ca="1">IF(INDIRECT(ADDRESS($B190+1,BD$164,1,1,"Confirmed Trend"))=0,#N/A,INDIRECT(ADDRESS($B190+1,BD$164,1,1,"Confirmed Trend")))</f>
        <v>#N/A</v>
      </c>
      <c r="BE190" s="18" t="e" cm="1">
        <f t="array" aca="1" ref="BE190" ca="1">IF(INDIRECT(ADDRESS($B190+1,BE$164,1,1,"Confirmed Trend"))=0,#N/A,INDIRECT(ADDRESS($B190+1,BE$164,1,1,"Confirmed Trend")))</f>
        <v>#N/A</v>
      </c>
      <c r="BF190" s="18" t="e" cm="1">
        <f t="array" aca="1" ref="BF190" ca="1">IF(INDIRECT(ADDRESS($B190+1,BF$164,1,1,"Confirmed Trend"))=0,#N/A,INDIRECT(ADDRESS($B190+1,BF$164,1,1,"Confirmed Trend")))</f>
        <v>#N/A</v>
      </c>
      <c r="BG190" s="18" t="e" cm="1">
        <f t="array" aca="1" ref="BG190" ca="1">IF(INDIRECT(ADDRESS($B190+1,BG$164,1,1,"Confirmed Trend"))=0,#N/A,INDIRECT(ADDRESS($B190+1,BG$164,1,1,"Confirmed Trend")))</f>
        <v>#N/A</v>
      </c>
      <c r="BH190" s="18" t="e" cm="1">
        <f t="array" aca="1" ref="BH190" ca="1">IF(INDIRECT(ADDRESS($B190+1,BH$164,1,1,"Confirmed Trend"))=0,#N/A,INDIRECT(ADDRESS($B190+1,BH$164,1,1,"Confirmed Trend")))</f>
        <v>#N/A</v>
      </c>
      <c r="BI190" s="18" t="e" cm="1">
        <f t="array" aca="1" ref="BI190" ca="1">IF(INDIRECT(ADDRESS($B190+1,BI$164,1,1,"Confirmed Trend"))=0,#N/A,INDIRECT(ADDRESS($B190+1,BI$164,1,1,"Confirmed Trend")))</f>
        <v>#N/A</v>
      </c>
      <c r="BJ190" s="18" t="e" cm="1">
        <f t="array" aca="1" ref="BJ190" ca="1">IF(INDIRECT(ADDRESS($B190+1,BJ$164,1,1,"Confirmed Trend"))=0,#N/A,INDIRECT(ADDRESS($B190+1,BJ$164,1,1,"Confirmed Trend")))</f>
        <v>#N/A</v>
      </c>
      <c r="BK190" s="18" t="e" cm="1">
        <f t="array" aca="1" ref="BK190" ca="1">IF(INDIRECT(ADDRESS($B190+1,BK$164,1,1,"Confirmed Trend"))=0,#N/A,INDIRECT(ADDRESS($B190+1,BK$164,1,1,"Confirmed Trend")))</f>
        <v>#N/A</v>
      </c>
      <c r="BL190" s="18" t="e" cm="1">
        <f t="array" aca="1" ref="BL190" ca="1">IF(INDIRECT(ADDRESS($B190+1,BL$164,1,1,"Confirmed Trend"))=0,#N/A,INDIRECT(ADDRESS($B190+1,BL$164,1,1,"Confirmed Trend")))</f>
        <v>#N/A</v>
      </c>
      <c r="BM190" s="18" t="e" cm="1">
        <f t="array" aca="1" ref="BM190" ca="1">IF(INDIRECT(ADDRESS($B190+1,BM$164,1,1,"Confirmed Trend"))=0,#N/A,INDIRECT(ADDRESS($B190+1,BM$164,1,1,"Confirmed Trend")))</f>
        <v>#N/A</v>
      </c>
      <c r="BN190" s="18" t="e" cm="1">
        <f t="array" aca="1" ref="BN190" ca="1">IF(INDIRECT(ADDRESS($B190+1,BN$164,1,1,"Confirmed Trend"))=0,#N/A,INDIRECT(ADDRESS($B190+1,BN$164,1,1,"Confirmed Trend")))</f>
        <v>#N/A</v>
      </c>
      <c r="BO190" s="18" t="e" cm="1">
        <f t="array" aca="1" ref="BO190" ca="1">IF(INDIRECT(ADDRESS($B190+1,BO$164,1,1,"Confirmed Trend"))=0,#N/A,INDIRECT(ADDRESS($B190+1,BO$164,1,1,"Confirmed Trend")))</f>
        <v>#N/A</v>
      </c>
      <c r="BP190" s="18" t="e" cm="1">
        <f t="array" aca="1" ref="BP190" ca="1">IF(INDIRECT(ADDRESS($B190+1,BP$164,1,1,"Confirmed Trend"))=0,#N/A,INDIRECT(ADDRESS($B190+1,BP$164,1,1,"Confirmed Trend")))</f>
        <v>#N/A</v>
      </c>
      <c r="BQ190" s="18" t="e" cm="1">
        <f t="array" aca="1" ref="BQ190" ca="1">IF(INDIRECT(ADDRESS($B190+1,BQ$164,1,1,"Confirmed Trend"))=0,#N/A,INDIRECT(ADDRESS($B190+1,BQ$164,1,1,"Confirmed Trend")))</f>
        <v>#N/A</v>
      </c>
      <c r="BR190" s="18" t="e" cm="1">
        <f t="array" aca="1" ref="BR190" ca="1">IF(INDIRECT(ADDRESS($B190+1,BR$164,1,1,"Confirmed Trend"))=0,#N/A,INDIRECT(ADDRESS($B190+1,BR$164,1,1,"Confirmed Trend")))</f>
        <v>#N/A</v>
      </c>
      <c r="BS190" s="18" t="e" cm="1">
        <f t="array" aca="1" ref="BS190" ca="1">IF(INDIRECT(ADDRESS($B190+1,BS$164,1,1,"Confirmed Trend"))=0,#N/A,INDIRECT(ADDRESS($B190+1,BS$164,1,1,"Confirmed Trend")))</f>
        <v>#N/A</v>
      </c>
      <c r="BT190" s="18" t="e" cm="1">
        <f t="array" aca="1" ref="BT190" ca="1">IF(INDIRECT(ADDRESS($B190+1,BT$164,1,1,"Confirmed Trend"))=0,#N/A,INDIRECT(ADDRESS($B190+1,BT$164,1,1,"Confirmed Trend")))</f>
        <v>#N/A</v>
      </c>
      <c r="BU190" s="18" t="e" cm="1">
        <f t="array" aca="1" ref="BU190" ca="1">IF(INDIRECT(ADDRESS($B190+1,BU$164,1,1,"Confirmed Trend"))=0,#N/A,INDIRECT(ADDRESS($B190+1,BU$164,1,1,"Confirmed Trend")))</f>
        <v>#N/A</v>
      </c>
      <c r="BV190" s="18" t="e" cm="1">
        <f t="array" aca="1" ref="BV190" ca="1">IF(INDIRECT(ADDRESS($B190+1,BV$164,1,1,"Confirmed Trend"))=0,#N/A,INDIRECT(ADDRESS($B190+1,BV$164,1,1,"Confirmed Trend")))</f>
        <v>#N/A</v>
      </c>
    </row>
    <row r="191" spans="2:74" x14ac:dyDescent="0.25">
      <c r="B191">
        <f t="shared" si="132"/>
        <v>26</v>
      </c>
      <c r="C191" cm="1">
        <f t="array" aca="1" ref="C191" ca="1">INDIRECT(ADDRESS($B191+1,1,1,1,"Confirmed Trend"))</f>
        <v>0</v>
      </c>
      <c r="E191" s="18" t="e" cm="1">
        <f t="array" aca="1" ref="E191" ca="1">IF(INDIRECT(ADDRESS($B191+1,E$164,1,1,"Confirmed Trend"))=0,#N/A,INDIRECT(ADDRESS($B191+1,E$164,1,1,"Confirmed Trend")))</f>
        <v>#N/A</v>
      </c>
      <c r="F191" s="18" t="e" cm="1">
        <f t="array" aca="1" ref="F191" ca="1">IF(INDIRECT(ADDRESS($B191+1,F$164,1,1,"Confirmed Trend"))=0,#N/A,INDIRECT(ADDRESS($B191+1,F$164,1,1,"Confirmed Trend")))</f>
        <v>#N/A</v>
      </c>
      <c r="G191" s="18" t="e" cm="1">
        <f t="array" aca="1" ref="G191" ca="1">IF(INDIRECT(ADDRESS($B191+1,G$164,1,1,"Confirmed Trend"))=0,#N/A,INDIRECT(ADDRESS($B191+1,G$164,1,1,"Confirmed Trend")))</f>
        <v>#N/A</v>
      </c>
      <c r="H191" s="18" t="e" cm="1">
        <f t="array" aca="1" ref="H191" ca="1">IF(INDIRECT(ADDRESS($B191+1,H$164,1,1,"Confirmed Trend"))=0,#N/A,INDIRECT(ADDRESS($B191+1,H$164,1,1,"Confirmed Trend")))</f>
        <v>#N/A</v>
      </c>
      <c r="I191" s="18" t="e" cm="1">
        <f t="array" aca="1" ref="I191" ca="1">IF(INDIRECT(ADDRESS($B191+1,I$164,1,1,"Confirmed Trend"))=0,#N/A,INDIRECT(ADDRESS($B191+1,I$164,1,1,"Confirmed Trend")))</f>
        <v>#N/A</v>
      </c>
      <c r="J191" s="18" t="e" cm="1">
        <f t="array" aca="1" ref="J191" ca="1">IF(INDIRECT(ADDRESS($B191+1,J$164,1,1,"Confirmed Trend"))=0,#N/A,INDIRECT(ADDRESS($B191+1,J$164,1,1,"Confirmed Trend")))</f>
        <v>#N/A</v>
      </c>
      <c r="K191" s="18" t="e" cm="1">
        <f t="array" aca="1" ref="K191" ca="1">IF(INDIRECT(ADDRESS($B191+1,K$164,1,1,"Confirmed Trend"))=0,#N/A,INDIRECT(ADDRESS($B191+1,K$164,1,1,"Confirmed Trend")))</f>
        <v>#N/A</v>
      </c>
      <c r="L191" s="18" t="e" cm="1">
        <f t="array" aca="1" ref="L191" ca="1">IF(INDIRECT(ADDRESS($B191+1,L$164,1,1,"Confirmed Trend"))=0,#N/A,INDIRECT(ADDRESS($B191+1,L$164,1,1,"Confirmed Trend")))</f>
        <v>#N/A</v>
      </c>
      <c r="M191" s="18" t="e" cm="1">
        <f t="array" aca="1" ref="M191" ca="1">IF(INDIRECT(ADDRESS($B191+1,M$164,1,1,"Confirmed Trend"))=0,#N/A,INDIRECT(ADDRESS($B191+1,M$164,1,1,"Confirmed Trend")))</f>
        <v>#N/A</v>
      </c>
      <c r="N191" s="18" t="e" cm="1">
        <f t="array" aca="1" ref="N191" ca="1">IF(INDIRECT(ADDRESS($B191+1,N$164,1,1,"Confirmed Trend"))=0,#N/A,INDIRECT(ADDRESS($B191+1,N$164,1,1,"Confirmed Trend")))</f>
        <v>#N/A</v>
      </c>
      <c r="O191" s="18" t="e" cm="1">
        <f t="array" aca="1" ref="O191" ca="1">IF(INDIRECT(ADDRESS($B191+1,O$164,1,1,"Confirmed Trend"))=0,#N/A,INDIRECT(ADDRESS($B191+1,O$164,1,1,"Confirmed Trend")))</f>
        <v>#N/A</v>
      </c>
      <c r="P191" s="18" t="e" cm="1">
        <f t="array" aca="1" ref="P191" ca="1">IF(INDIRECT(ADDRESS($B191+1,P$164,1,1,"Confirmed Trend"))=0,#N/A,INDIRECT(ADDRESS($B191+1,P$164,1,1,"Confirmed Trend")))</f>
        <v>#N/A</v>
      </c>
      <c r="Q191" s="18" t="e" cm="1">
        <f t="array" aca="1" ref="Q191" ca="1">IF(INDIRECT(ADDRESS($B191+1,Q$164,1,1,"Confirmed Trend"))=0,#N/A,INDIRECT(ADDRESS($B191+1,Q$164,1,1,"Confirmed Trend")))</f>
        <v>#N/A</v>
      </c>
      <c r="R191" s="18" t="e" cm="1">
        <f t="array" aca="1" ref="R191" ca="1">IF(INDIRECT(ADDRESS($B191+1,R$164,1,1,"Confirmed Trend"))=0,#N/A,INDIRECT(ADDRESS($B191+1,R$164,1,1,"Confirmed Trend")))</f>
        <v>#N/A</v>
      </c>
      <c r="S191" s="18" t="e" cm="1">
        <f t="array" aca="1" ref="S191" ca="1">IF(INDIRECT(ADDRESS($B191+1,S$164,1,1,"Confirmed Trend"))=0,#N/A,INDIRECT(ADDRESS($B191+1,S$164,1,1,"Confirmed Trend")))</f>
        <v>#N/A</v>
      </c>
      <c r="T191" s="18" t="e" cm="1">
        <f t="array" aca="1" ref="T191" ca="1">IF(INDIRECT(ADDRESS($B191+1,T$164,1,1,"Confirmed Trend"))=0,#N/A,INDIRECT(ADDRESS($B191+1,T$164,1,1,"Confirmed Trend")))</f>
        <v>#N/A</v>
      </c>
      <c r="U191" s="18" t="e" cm="1">
        <f t="array" aca="1" ref="U191" ca="1">IF(INDIRECT(ADDRESS($B191+1,U$164,1,1,"Confirmed Trend"))=0,#N/A,INDIRECT(ADDRESS($B191+1,U$164,1,1,"Confirmed Trend")))</f>
        <v>#N/A</v>
      </c>
      <c r="V191" s="18" t="e" cm="1">
        <f t="array" aca="1" ref="V191" ca="1">IF(INDIRECT(ADDRESS($B191+1,V$164,1,1,"Confirmed Trend"))=0,#N/A,INDIRECT(ADDRESS($B191+1,V$164,1,1,"Confirmed Trend")))</f>
        <v>#N/A</v>
      </c>
      <c r="W191" s="18" t="e" cm="1">
        <f t="array" aca="1" ref="W191" ca="1">IF(INDIRECT(ADDRESS($B191+1,W$164,1,1,"Confirmed Trend"))=0,#N/A,INDIRECT(ADDRESS($B191+1,W$164,1,1,"Confirmed Trend")))</f>
        <v>#N/A</v>
      </c>
      <c r="X191" s="18" t="e" cm="1">
        <f t="array" aca="1" ref="X191" ca="1">IF(INDIRECT(ADDRESS($B191+1,X$164,1,1,"Confirmed Trend"))=0,#N/A,INDIRECT(ADDRESS($B191+1,X$164,1,1,"Confirmed Trend")))</f>
        <v>#N/A</v>
      </c>
      <c r="Y191" s="18" t="e" cm="1">
        <f t="array" aca="1" ref="Y191" ca="1">IF(INDIRECT(ADDRESS($B191+1,Y$164,1,1,"Confirmed Trend"))=0,#N/A,INDIRECT(ADDRESS($B191+1,Y$164,1,1,"Confirmed Trend")))</f>
        <v>#N/A</v>
      </c>
      <c r="Z191" s="18" t="e" cm="1">
        <f t="array" aca="1" ref="Z191" ca="1">IF(INDIRECT(ADDRESS($B191+1,Z$164,1,1,"Confirmed Trend"))=0,#N/A,INDIRECT(ADDRESS($B191+1,Z$164,1,1,"Confirmed Trend")))</f>
        <v>#N/A</v>
      </c>
      <c r="AA191" s="18" t="e" cm="1">
        <f t="array" aca="1" ref="AA191" ca="1">IF(INDIRECT(ADDRESS($B191+1,AA$164,1,1,"Confirmed Trend"))=0,#N/A,INDIRECT(ADDRESS($B191+1,AA$164,1,1,"Confirmed Trend")))</f>
        <v>#N/A</v>
      </c>
      <c r="AB191" s="18" t="e" cm="1">
        <f t="array" aca="1" ref="AB191" ca="1">IF(INDIRECT(ADDRESS($B191+1,AB$164,1,1,"Confirmed Trend"))=0,#N/A,INDIRECT(ADDRESS($B191+1,AB$164,1,1,"Confirmed Trend")))</f>
        <v>#N/A</v>
      </c>
      <c r="AC191" s="18" t="e" cm="1">
        <f t="array" aca="1" ref="AC191" ca="1">IF(INDIRECT(ADDRESS($B191+1,AC$164,1,1,"Confirmed Trend"))=0,#N/A,INDIRECT(ADDRESS($B191+1,AC$164,1,1,"Confirmed Trend")))</f>
        <v>#N/A</v>
      </c>
      <c r="AD191" s="18" t="e" cm="1">
        <f t="array" aca="1" ref="AD191" ca="1">IF(INDIRECT(ADDRESS($B191+1,AD$164,1,1,"Confirmed Trend"))=0,#N/A,INDIRECT(ADDRESS($B191+1,AD$164,1,1,"Confirmed Trend")))</f>
        <v>#N/A</v>
      </c>
      <c r="AE191" s="18" t="e" cm="1">
        <f t="array" aca="1" ref="AE191" ca="1">IF(INDIRECT(ADDRESS($B191+1,AE$164,1,1,"Confirmed Trend"))=0,#N/A,INDIRECT(ADDRESS($B191+1,AE$164,1,1,"Confirmed Trend")))</f>
        <v>#N/A</v>
      </c>
      <c r="AF191" s="18" t="e" cm="1">
        <f t="array" aca="1" ref="AF191" ca="1">IF(INDIRECT(ADDRESS($B191+1,AF$164,1,1,"Confirmed Trend"))=0,#N/A,INDIRECT(ADDRESS($B191+1,AF$164,1,1,"Confirmed Trend")))</f>
        <v>#N/A</v>
      </c>
      <c r="AG191" s="18" t="e" cm="1">
        <f t="array" aca="1" ref="AG191" ca="1">IF(INDIRECT(ADDRESS($B191+1,AG$164,1,1,"Confirmed Trend"))=0,#N/A,INDIRECT(ADDRESS($B191+1,AG$164,1,1,"Confirmed Trend")))</f>
        <v>#N/A</v>
      </c>
      <c r="AH191" s="18" t="e" cm="1">
        <f t="array" aca="1" ref="AH191" ca="1">IF(INDIRECT(ADDRESS($B191+1,AH$164,1,1,"Confirmed Trend"))=0,#N/A,INDIRECT(ADDRESS($B191+1,AH$164,1,1,"Confirmed Trend")))</f>
        <v>#N/A</v>
      </c>
      <c r="AI191" s="18" t="e" cm="1">
        <f t="array" aca="1" ref="AI191" ca="1">IF(INDIRECT(ADDRESS($B191+1,AI$164,1,1,"Confirmed Trend"))=0,#N/A,INDIRECT(ADDRESS($B191+1,AI$164,1,1,"Confirmed Trend")))</f>
        <v>#N/A</v>
      </c>
      <c r="AJ191" s="18" t="e" cm="1">
        <f t="array" aca="1" ref="AJ191" ca="1">IF(INDIRECT(ADDRESS($B191+1,AJ$164,1,1,"Confirmed Trend"))=0,#N/A,INDIRECT(ADDRESS($B191+1,AJ$164,1,1,"Confirmed Trend")))</f>
        <v>#N/A</v>
      </c>
      <c r="AK191" s="18" t="e" cm="1">
        <f t="array" aca="1" ref="AK191" ca="1">IF(INDIRECT(ADDRESS($B191+1,AK$164,1,1,"Confirmed Trend"))=0,#N/A,INDIRECT(ADDRESS($B191+1,AK$164,1,1,"Confirmed Trend")))</f>
        <v>#N/A</v>
      </c>
      <c r="AL191" s="18" t="e" cm="1">
        <f t="array" aca="1" ref="AL191" ca="1">IF(INDIRECT(ADDRESS($B191+1,AL$164,1,1,"Confirmed Trend"))=0,#N/A,INDIRECT(ADDRESS($B191+1,AL$164,1,1,"Confirmed Trend")))</f>
        <v>#N/A</v>
      </c>
      <c r="AM191" s="18" t="e" cm="1">
        <f t="array" aca="1" ref="AM191" ca="1">IF(INDIRECT(ADDRESS($B191+1,AM$164,1,1,"Confirmed Trend"))=0,#N/A,INDIRECT(ADDRESS($B191+1,AM$164,1,1,"Confirmed Trend")))</f>
        <v>#N/A</v>
      </c>
      <c r="AN191" s="18" t="e" cm="1">
        <f t="array" aca="1" ref="AN191" ca="1">IF(INDIRECT(ADDRESS($B191+1,AN$164,1,1,"Confirmed Trend"))=0,#N/A,INDIRECT(ADDRESS($B191+1,AN$164,1,1,"Confirmed Trend")))</f>
        <v>#N/A</v>
      </c>
      <c r="AO191" s="18" t="e" cm="1">
        <f t="array" aca="1" ref="AO191" ca="1">IF(INDIRECT(ADDRESS($B191+1,AO$164,1,1,"Confirmed Trend"))=0,#N/A,INDIRECT(ADDRESS($B191+1,AO$164,1,1,"Confirmed Trend")))</f>
        <v>#N/A</v>
      </c>
      <c r="AP191" s="18" t="e" cm="1">
        <f t="array" aca="1" ref="AP191" ca="1">IF(INDIRECT(ADDRESS($B191+1,AP$164,1,1,"Confirmed Trend"))=0,#N/A,INDIRECT(ADDRESS($B191+1,AP$164,1,1,"Confirmed Trend")))</f>
        <v>#N/A</v>
      </c>
      <c r="AQ191" s="18" t="e" cm="1">
        <f t="array" aca="1" ref="AQ191" ca="1">IF(INDIRECT(ADDRESS($B191+1,AQ$164,1,1,"Confirmed Trend"))=0,#N/A,INDIRECT(ADDRESS($B191+1,AQ$164,1,1,"Confirmed Trend")))</f>
        <v>#N/A</v>
      </c>
      <c r="AR191" s="18" t="e" cm="1">
        <f t="array" aca="1" ref="AR191" ca="1">IF(INDIRECT(ADDRESS($B191+1,AR$164,1,1,"Confirmed Trend"))=0,#N/A,INDIRECT(ADDRESS($B191+1,AR$164,1,1,"Confirmed Trend")))</f>
        <v>#N/A</v>
      </c>
      <c r="AS191" s="18" t="e" cm="1">
        <f t="array" aca="1" ref="AS191" ca="1">IF(INDIRECT(ADDRESS($B191+1,AS$164,1,1,"Confirmed Trend"))=0,#N/A,INDIRECT(ADDRESS($B191+1,AS$164,1,1,"Confirmed Trend")))</f>
        <v>#N/A</v>
      </c>
      <c r="AT191" s="18" t="e" cm="1">
        <f t="array" aca="1" ref="AT191" ca="1">IF(INDIRECT(ADDRESS($B191+1,AT$164,1,1,"Confirmed Trend"))=0,#N/A,INDIRECT(ADDRESS($B191+1,AT$164,1,1,"Confirmed Trend")))</f>
        <v>#N/A</v>
      </c>
      <c r="AU191" s="18" t="e" cm="1">
        <f t="array" aca="1" ref="AU191" ca="1">IF(INDIRECT(ADDRESS($B191+1,AU$164,1,1,"Confirmed Trend"))=0,#N/A,INDIRECT(ADDRESS($B191+1,AU$164,1,1,"Confirmed Trend")))</f>
        <v>#N/A</v>
      </c>
      <c r="AV191" s="18" t="e" cm="1">
        <f t="array" aca="1" ref="AV191" ca="1">IF(INDIRECT(ADDRESS($B191+1,AV$164,1,1,"Confirmed Trend"))=0,#N/A,INDIRECT(ADDRESS($B191+1,AV$164,1,1,"Confirmed Trend")))</f>
        <v>#N/A</v>
      </c>
      <c r="AW191" s="18" t="e" cm="1">
        <f t="array" aca="1" ref="AW191" ca="1">IF(INDIRECT(ADDRESS($B191+1,AW$164,1,1,"Confirmed Trend"))=0,#N/A,INDIRECT(ADDRESS($B191+1,AW$164,1,1,"Confirmed Trend")))</f>
        <v>#N/A</v>
      </c>
      <c r="AX191" s="18" t="e" cm="1">
        <f t="array" aca="1" ref="AX191" ca="1">IF(INDIRECT(ADDRESS($B191+1,AX$164,1,1,"Confirmed Trend"))=0,#N/A,INDIRECT(ADDRESS($B191+1,AX$164,1,1,"Confirmed Trend")))</f>
        <v>#N/A</v>
      </c>
      <c r="AY191" s="18" t="e" cm="1">
        <f t="array" aca="1" ref="AY191" ca="1">IF(INDIRECT(ADDRESS($B191+1,AY$164,1,1,"Confirmed Trend"))=0,#N/A,INDIRECT(ADDRESS($B191+1,AY$164,1,1,"Confirmed Trend")))</f>
        <v>#N/A</v>
      </c>
      <c r="AZ191" s="18" t="e" cm="1">
        <f t="array" aca="1" ref="AZ191" ca="1">IF(INDIRECT(ADDRESS($B191+1,AZ$164,1,1,"Confirmed Trend"))=0,#N/A,INDIRECT(ADDRESS($B191+1,AZ$164,1,1,"Confirmed Trend")))</f>
        <v>#N/A</v>
      </c>
      <c r="BA191" s="18" t="e" cm="1">
        <f t="array" aca="1" ref="BA191" ca="1">IF(INDIRECT(ADDRESS($B191+1,BA$164,1,1,"Confirmed Trend"))=0,#N/A,INDIRECT(ADDRESS($B191+1,BA$164,1,1,"Confirmed Trend")))</f>
        <v>#N/A</v>
      </c>
      <c r="BB191" s="18" t="e" cm="1">
        <f t="array" aca="1" ref="BB191" ca="1">IF(INDIRECT(ADDRESS($B191+1,BB$164,1,1,"Confirmed Trend"))=0,#N/A,INDIRECT(ADDRESS($B191+1,BB$164,1,1,"Confirmed Trend")))</f>
        <v>#N/A</v>
      </c>
      <c r="BC191" s="18" t="e" cm="1">
        <f t="array" aca="1" ref="BC191" ca="1">IF(INDIRECT(ADDRESS($B191+1,BC$164,1,1,"Confirmed Trend"))=0,#N/A,INDIRECT(ADDRESS($B191+1,BC$164,1,1,"Confirmed Trend")))</f>
        <v>#N/A</v>
      </c>
      <c r="BD191" s="18" t="e" cm="1">
        <f t="array" aca="1" ref="BD191" ca="1">IF(INDIRECT(ADDRESS($B191+1,BD$164,1,1,"Confirmed Trend"))=0,#N/A,INDIRECT(ADDRESS($B191+1,BD$164,1,1,"Confirmed Trend")))</f>
        <v>#N/A</v>
      </c>
      <c r="BE191" s="18" t="e" cm="1">
        <f t="array" aca="1" ref="BE191" ca="1">IF(INDIRECT(ADDRESS($B191+1,BE$164,1,1,"Confirmed Trend"))=0,#N/A,INDIRECT(ADDRESS($B191+1,BE$164,1,1,"Confirmed Trend")))</f>
        <v>#N/A</v>
      </c>
      <c r="BF191" s="18" t="e" cm="1">
        <f t="array" aca="1" ref="BF191" ca="1">IF(INDIRECT(ADDRESS($B191+1,BF$164,1,1,"Confirmed Trend"))=0,#N/A,INDIRECT(ADDRESS($B191+1,BF$164,1,1,"Confirmed Trend")))</f>
        <v>#N/A</v>
      </c>
      <c r="BG191" s="18" t="e" cm="1">
        <f t="array" aca="1" ref="BG191" ca="1">IF(INDIRECT(ADDRESS($B191+1,BG$164,1,1,"Confirmed Trend"))=0,#N/A,INDIRECT(ADDRESS($B191+1,BG$164,1,1,"Confirmed Trend")))</f>
        <v>#N/A</v>
      </c>
      <c r="BH191" s="18" t="e" cm="1">
        <f t="array" aca="1" ref="BH191" ca="1">IF(INDIRECT(ADDRESS($B191+1,BH$164,1,1,"Confirmed Trend"))=0,#N/A,INDIRECT(ADDRESS($B191+1,BH$164,1,1,"Confirmed Trend")))</f>
        <v>#N/A</v>
      </c>
      <c r="BI191" s="18" t="e" cm="1">
        <f t="array" aca="1" ref="BI191" ca="1">IF(INDIRECT(ADDRESS($B191+1,BI$164,1,1,"Confirmed Trend"))=0,#N/A,INDIRECT(ADDRESS($B191+1,BI$164,1,1,"Confirmed Trend")))</f>
        <v>#N/A</v>
      </c>
      <c r="BJ191" s="18" t="e" cm="1">
        <f t="array" aca="1" ref="BJ191" ca="1">IF(INDIRECT(ADDRESS($B191+1,BJ$164,1,1,"Confirmed Trend"))=0,#N/A,INDIRECT(ADDRESS($B191+1,BJ$164,1,1,"Confirmed Trend")))</f>
        <v>#N/A</v>
      </c>
      <c r="BK191" s="18" t="e" cm="1">
        <f t="array" aca="1" ref="BK191" ca="1">IF(INDIRECT(ADDRESS($B191+1,BK$164,1,1,"Confirmed Trend"))=0,#N/A,INDIRECT(ADDRESS($B191+1,BK$164,1,1,"Confirmed Trend")))</f>
        <v>#N/A</v>
      </c>
      <c r="BL191" s="18" t="e" cm="1">
        <f t="array" aca="1" ref="BL191" ca="1">IF(INDIRECT(ADDRESS($B191+1,BL$164,1,1,"Confirmed Trend"))=0,#N/A,INDIRECT(ADDRESS($B191+1,BL$164,1,1,"Confirmed Trend")))</f>
        <v>#N/A</v>
      </c>
      <c r="BM191" s="18" t="e" cm="1">
        <f t="array" aca="1" ref="BM191" ca="1">IF(INDIRECT(ADDRESS($B191+1,BM$164,1,1,"Confirmed Trend"))=0,#N/A,INDIRECT(ADDRESS($B191+1,BM$164,1,1,"Confirmed Trend")))</f>
        <v>#N/A</v>
      </c>
      <c r="BN191" s="18" t="e" cm="1">
        <f t="array" aca="1" ref="BN191" ca="1">IF(INDIRECT(ADDRESS($B191+1,BN$164,1,1,"Confirmed Trend"))=0,#N/A,INDIRECT(ADDRESS($B191+1,BN$164,1,1,"Confirmed Trend")))</f>
        <v>#N/A</v>
      </c>
      <c r="BO191" s="18" t="e" cm="1">
        <f t="array" aca="1" ref="BO191" ca="1">IF(INDIRECT(ADDRESS($B191+1,BO$164,1,1,"Confirmed Trend"))=0,#N/A,INDIRECT(ADDRESS($B191+1,BO$164,1,1,"Confirmed Trend")))</f>
        <v>#N/A</v>
      </c>
      <c r="BP191" s="18" t="e" cm="1">
        <f t="array" aca="1" ref="BP191" ca="1">IF(INDIRECT(ADDRESS($B191+1,BP$164,1,1,"Confirmed Trend"))=0,#N/A,INDIRECT(ADDRESS($B191+1,BP$164,1,1,"Confirmed Trend")))</f>
        <v>#N/A</v>
      </c>
      <c r="BQ191" s="18" t="e" cm="1">
        <f t="array" aca="1" ref="BQ191" ca="1">IF(INDIRECT(ADDRESS($B191+1,BQ$164,1,1,"Confirmed Trend"))=0,#N/A,INDIRECT(ADDRESS($B191+1,BQ$164,1,1,"Confirmed Trend")))</f>
        <v>#N/A</v>
      </c>
      <c r="BR191" s="18" t="e" cm="1">
        <f t="array" aca="1" ref="BR191" ca="1">IF(INDIRECT(ADDRESS($B191+1,BR$164,1,1,"Confirmed Trend"))=0,#N/A,INDIRECT(ADDRESS($B191+1,BR$164,1,1,"Confirmed Trend")))</f>
        <v>#N/A</v>
      </c>
      <c r="BS191" s="18" t="e" cm="1">
        <f t="array" aca="1" ref="BS191" ca="1">IF(INDIRECT(ADDRESS($B191+1,BS$164,1,1,"Confirmed Trend"))=0,#N/A,INDIRECT(ADDRESS($B191+1,BS$164,1,1,"Confirmed Trend")))</f>
        <v>#N/A</v>
      </c>
      <c r="BT191" s="18" t="e" cm="1">
        <f t="array" aca="1" ref="BT191" ca="1">IF(INDIRECT(ADDRESS($B191+1,BT$164,1,1,"Confirmed Trend"))=0,#N/A,INDIRECT(ADDRESS($B191+1,BT$164,1,1,"Confirmed Trend")))</f>
        <v>#N/A</v>
      </c>
      <c r="BU191" s="18" t="e" cm="1">
        <f t="array" aca="1" ref="BU191" ca="1">IF(INDIRECT(ADDRESS($B191+1,BU$164,1,1,"Confirmed Trend"))=0,#N/A,INDIRECT(ADDRESS($B191+1,BU$164,1,1,"Confirmed Trend")))</f>
        <v>#N/A</v>
      </c>
      <c r="BV191" s="18" t="e" cm="1">
        <f t="array" aca="1" ref="BV191" ca="1">IF(INDIRECT(ADDRESS($B191+1,BV$164,1,1,"Confirmed Trend"))=0,#N/A,INDIRECT(ADDRESS($B191+1,BV$164,1,1,"Confirmed Trend")))</f>
        <v>#N/A</v>
      </c>
    </row>
    <row r="192" spans="2:74" x14ac:dyDescent="0.25">
      <c r="B192">
        <f t="shared" si="132"/>
        <v>27</v>
      </c>
      <c r="C192" cm="1">
        <f t="array" aca="1" ref="C192" ca="1">INDIRECT(ADDRESS($B192+1,1,1,1,"Confirmed Trend"))</f>
        <v>0</v>
      </c>
      <c r="E192" s="18" t="e" cm="1">
        <f t="array" aca="1" ref="E192" ca="1">IF(INDIRECT(ADDRESS($B192+1,E$164,1,1,"Confirmed Trend"))=0,#N/A,INDIRECT(ADDRESS($B192+1,E$164,1,1,"Confirmed Trend")))</f>
        <v>#N/A</v>
      </c>
      <c r="F192" s="18" t="e" cm="1">
        <f t="array" aca="1" ref="F192" ca="1">IF(INDIRECT(ADDRESS($B192+1,F$164,1,1,"Confirmed Trend"))=0,#N/A,INDIRECT(ADDRESS($B192+1,F$164,1,1,"Confirmed Trend")))</f>
        <v>#N/A</v>
      </c>
      <c r="G192" s="18" t="e" cm="1">
        <f t="array" aca="1" ref="G192" ca="1">IF(INDIRECT(ADDRESS($B192+1,G$164,1,1,"Confirmed Trend"))=0,#N/A,INDIRECT(ADDRESS($B192+1,G$164,1,1,"Confirmed Trend")))</f>
        <v>#N/A</v>
      </c>
      <c r="H192" s="18" t="e" cm="1">
        <f t="array" aca="1" ref="H192" ca="1">IF(INDIRECT(ADDRESS($B192+1,H$164,1,1,"Confirmed Trend"))=0,#N/A,INDIRECT(ADDRESS($B192+1,H$164,1,1,"Confirmed Trend")))</f>
        <v>#N/A</v>
      </c>
      <c r="I192" s="18" t="e" cm="1">
        <f t="array" aca="1" ref="I192" ca="1">IF(INDIRECT(ADDRESS($B192+1,I$164,1,1,"Confirmed Trend"))=0,#N/A,INDIRECT(ADDRESS($B192+1,I$164,1,1,"Confirmed Trend")))</f>
        <v>#N/A</v>
      </c>
      <c r="J192" s="18" t="e" cm="1">
        <f t="array" aca="1" ref="J192" ca="1">IF(INDIRECT(ADDRESS($B192+1,J$164,1,1,"Confirmed Trend"))=0,#N/A,INDIRECT(ADDRESS($B192+1,J$164,1,1,"Confirmed Trend")))</f>
        <v>#N/A</v>
      </c>
      <c r="K192" s="18" t="e" cm="1">
        <f t="array" aca="1" ref="K192" ca="1">IF(INDIRECT(ADDRESS($B192+1,K$164,1,1,"Confirmed Trend"))=0,#N/A,INDIRECT(ADDRESS($B192+1,K$164,1,1,"Confirmed Trend")))</f>
        <v>#N/A</v>
      </c>
      <c r="L192" s="18" t="e" cm="1">
        <f t="array" aca="1" ref="L192" ca="1">IF(INDIRECT(ADDRESS($B192+1,L$164,1,1,"Confirmed Trend"))=0,#N/A,INDIRECT(ADDRESS($B192+1,L$164,1,1,"Confirmed Trend")))</f>
        <v>#N/A</v>
      </c>
      <c r="M192" s="18" t="e" cm="1">
        <f t="array" aca="1" ref="M192" ca="1">IF(INDIRECT(ADDRESS($B192+1,M$164,1,1,"Confirmed Trend"))=0,#N/A,INDIRECT(ADDRESS($B192+1,M$164,1,1,"Confirmed Trend")))</f>
        <v>#N/A</v>
      </c>
      <c r="N192" s="18" t="e" cm="1">
        <f t="array" aca="1" ref="N192" ca="1">IF(INDIRECT(ADDRESS($B192+1,N$164,1,1,"Confirmed Trend"))=0,#N/A,INDIRECT(ADDRESS($B192+1,N$164,1,1,"Confirmed Trend")))</f>
        <v>#N/A</v>
      </c>
      <c r="O192" s="18" t="e" cm="1">
        <f t="array" aca="1" ref="O192" ca="1">IF(INDIRECT(ADDRESS($B192+1,O$164,1,1,"Confirmed Trend"))=0,#N/A,INDIRECT(ADDRESS($B192+1,O$164,1,1,"Confirmed Trend")))</f>
        <v>#N/A</v>
      </c>
      <c r="P192" s="18" t="e" cm="1">
        <f t="array" aca="1" ref="P192" ca="1">IF(INDIRECT(ADDRESS($B192+1,P$164,1,1,"Confirmed Trend"))=0,#N/A,INDIRECT(ADDRESS($B192+1,P$164,1,1,"Confirmed Trend")))</f>
        <v>#N/A</v>
      </c>
      <c r="Q192" s="18" t="e" cm="1">
        <f t="array" aca="1" ref="Q192" ca="1">IF(INDIRECT(ADDRESS($B192+1,Q$164,1,1,"Confirmed Trend"))=0,#N/A,INDIRECT(ADDRESS($B192+1,Q$164,1,1,"Confirmed Trend")))</f>
        <v>#N/A</v>
      </c>
      <c r="R192" s="18" t="e" cm="1">
        <f t="array" aca="1" ref="R192" ca="1">IF(INDIRECT(ADDRESS($B192+1,R$164,1,1,"Confirmed Trend"))=0,#N/A,INDIRECT(ADDRESS($B192+1,R$164,1,1,"Confirmed Trend")))</f>
        <v>#N/A</v>
      </c>
      <c r="S192" s="18" t="e" cm="1">
        <f t="array" aca="1" ref="S192" ca="1">IF(INDIRECT(ADDRESS($B192+1,S$164,1,1,"Confirmed Trend"))=0,#N/A,INDIRECT(ADDRESS($B192+1,S$164,1,1,"Confirmed Trend")))</f>
        <v>#N/A</v>
      </c>
      <c r="T192" s="18" t="e" cm="1">
        <f t="array" aca="1" ref="T192" ca="1">IF(INDIRECT(ADDRESS($B192+1,T$164,1,1,"Confirmed Trend"))=0,#N/A,INDIRECT(ADDRESS($B192+1,T$164,1,1,"Confirmed Trend")))</f>
        <v>#N/A</v>
      </c>
      <c r="U192" s="18" t="e" cm="1">
        <f t="array" aca="1" ref="U192" ca="1">IF(INDIRECT(ADDRESS($B192+1,U$164,1,1,"Confirmed Trend"))=0,#N/A,INDIRECT(ADDRESS($B192+1,U$164,1,1,"Confirmed Trend")))</f>
        <v>#N/A</v>
      </c>
      <c r="V192" s="18" t="e" cm="1">
        <f t="array" aca="1" ref="V192" ca="1">IF(INDIRECT(ADDRESS($B192+1,V$164,1,1,"Confirmed Trend"))=0,#N/A,INDIRECT(ADDRESS($B192+1,V$164,1,1,"Confirmed Trend")))</f>
        <v>#N/A</v>
      </c>
      <c r="W192" s="18" t="e" cm="1">
        <f t="array" aca="1" ref="W192" ca="1">IF(INDIRECT(ADDRESS($B192+1,W$164,1,1,"Confirmed Trend"))=0,#N/A,INDIRECT(ADDRESS($B192+1,W$164,1,1,"Confirmed Trend")))</f>
        <v>#N/A</v>
      </c>
      <c r="X192" s="18" t="e" cm="1">
        <f t="array" aca="1" ref="X192" ca="1">IF(INDIRECT(ADDRESS($B192+1,X$164,1,1,"Confirmed Trend"))=0,#N/A,INDIRECT(ADDRESS($B192+1,X$164,1,1,"Confirmed Trend")))</f>
        <v>#N/A</v>
      </c>
      <c r="Y192" s="18" t="e" cm="1">
        <f t="array" aca="1" ref="Y192" ca="1">IF(INDIRECT(ADDRESS($B192+1,Y$164,1,1,"Confirmed Trend"))=0,#N/A,INDIRECT(ADDRESS($B192+1,Y$164,1,1,"Confirmed Trend")))</f>
        <v>#N/A</v>
      </c>
      <c r="Z192" s="18" t="e" cm="1">
        <f t="array" aca="1" ref="Z192" ca="1">IF(INDIRECT(ADDRESS($B192+1,Z$164,1,1,"Confirmed Trend"))=0,#N/A,INDIRECT(ADDRESS($B192+1,Z$164,1,1,"Confirmed Trend")))</f>
        <v>#N/A</v>
      </c>
      <c r="AA192" s="18" t="e" cm="1">
        <f t="array" aca="1" ref="AA192" ca="1">IF(INDIRECT(ADDRESS($B192+1,AA$164,1,1,"Confirmed Trend"))=0,#N/A,INDIRECT(ADDRESS($B192+1,AA$164,1,1,"Confirmed Trend")))</f>
        <v>#N/A</v>
      </c>
      <c r="AB192" s="18" t="e" cm="1">
        <f t="array" aca="1" ref="AB192" ca="1">IF(INDIRECT(ADDRESS($B192+1,AB$164,1,1,"Confirmed Trend"))=0,#N/A,INDIRECT(ADDRESS($B192+1,AB$164,1,1,"Confirmed Trend")))</f>
        <v>#N/A</v>
      </c>
      <c r="AC192" s="18" t="e" cm="1">
        <f t="array" aca="1" ref="AC192" ca="1">IF(INDIRECT(ADDRESS($B192+1,AC$164,1,1,"Confirmed Trend"))=0,#N/A,INDIRECT(ADDRESS($B192+1,AC$164,1,1,"Confirmed Trend")))</f>
        <v>#N/A</v>
      </c>
      <c r="AD192" s="18" t="e" cm="1">
        <f t="array" aca="1" ref="AD192" ca="1">IF(INDIRECT(ADDRESS($B192+1,AD$164,1,1,"Confirmed Trend"))=0,#N/A,INDIRECT(ADDRESS($B192+1,AD$164,1,1,"Confirmed Trend")))</f>
        <v>#N/A</v>
      </c>
      <c r="AE192" s="18" t="e" cm="1">
        <f t="array" aca="1" ref="AE192" ca="1">IF(INDIRECT(ADDRESS($B192+1,AE$164,1,1,"Confirmed Trend"))=0,#N/A,INDIRECT(ADDRESS($B192+1,AE$164,1,1,"Confirmed Trend")))</f>
        <v>#N/A</v>
      </c>
      <c r="AF192" s="18" t="e" cm="1">
        <f t="array" aca="1" ref="AF192" ca="1">IF(INDIRECT(ADDRESS($B192+1,AF$164,1,1,"Confirmed Trend"))=0,#N/A,INDIRECT(ADDRESS($B192+1,AF$164,1,1,"Confirmed Trend")))</f>
        <v>#N/A</v>
      </c>
      <c r="AG192" s="18" t="e" cm="1">
        <f t="array" aca="1" ref="AG192" ca="1">IF(INDIRECT(ADDRESS($B192+1,AG$164,1,1,"Confirmed Trend"))=0,#N/A,INDIRECT(ADDRESS($B192+1,AG$164,1,1,"Confirmed Trend")))</f>
        <v>#N/A</v>
      </c>
      <c r="AH192" s="18" t="e" cm="1">
        <f t="array" aca="1" ref="AH192" ca="1">IF(INDIRECT(ADDRESS($B192+1,AH$164,1,1,"Confirmed Trend"))=0,#N/A,INDIRECT(ADDRESS($B192+1,AH$164,1,1,"Confirmed Trend")))</f>
        <v>#N/A</v>
      </c>
      <c r="AI192" s="18" t="e" cm="1">
        <f t="array" aca="1" ref="AI192" ca="1">IF(INDIRECT(ADDRESS($B192+1,AI$164,1,1,"Confirmed Trend"))=0,#N/A,INDIRECT(ADDRESS($B192+1,AI$164,1,1,"Confirmed Trend")))</f>
        <v>#N/A</v>
      </c>
      <c r="AJ192" s="18" t="e" cm="1">
        <f t="array" aca="1" ref="AJ192" ca="1">IF(INDIRECT(ADDRESS($B192+1,AJ$164,1,1,"Confirmed Trend"))=0,#N/A,INDIRECT(ADDRESS($B192+1,AJ$164,1,1,"Confirmed Trend")))</f>
        <v>#N/A</v>
      </c>
      <c r="AK192" s="18" t="e" cm="1">
        <f t="array" aca="1" ref="AK192" ca="1">IF(INDIRECT(ADDRESS($B192+1,AK$164,1,1,"Confirmed Trend"))=0,#N/A,INDIRECT(ADDRESS($B192+1,AK$164,1,1,"Confirmed Trend")))</f>
        <v>#N/A</v>
      </c>
      <c r="AL192" s="18" t="e" cm="1">
        <f t="array" aca="1" ref="AL192" ca="1">IF(INDIRECT(ADDRESS($B192+1,AL$164,1,1,"Confirmed Trend"))=0,#N/A,INDIRECT(ADDRESS($B192+1,AL$164,1,1,"Confirmed Trend")))</f>
        <v>#N/A</v>
      </c>
      <c r="AM192" s="18" t="e" cm="1">
        <f t="array" aca="1" ref="AM192" ca="1">IF(INDIRECT(ADDRESS($B192+1,AM$164,1,1,"Confirmed Trend"))=0,#N/A,INDIRECT(ADDRESS($B192+1,AM$164,1,1,"Confirmed Trend")))</f>
        <v>#N/A</v>
      </c>
      <c r="AN192" s="18" t="e" cm="1">
        <f t="array" aca="1" ref="AN192" ca="1">IF(INDIRECT(ADDRESS($B192+1,AN$164,1,1,"Confirmed Trend"))=0,#N/A,INDIRECT(ADDRESS($B192+1,AN$164,1,1,"Confirmed Trend")))</f>
        <v>#N/A</v>
      </c>
      <c r="AO192" s="18" t="e" cm="1">
        <f t="array" aca="1" ref="AO192" ca="1">IF(INDIRECT(ADDRESS($B192+1,AO$164,1,1,"Confirmed Trend"))=0,#N/A,INDIRECT(ADDRESS($B192+1,AO$164,1,1,"Confirmed Trend")))</f>
        <v>#N/A</v>
      </c>
      <c r="AP192" s="18" t="e" cm="1">
        <f t="array" aca="1" ref="AP192" ca="1">IF(INDIRECT(ADDRESS($B192+1,AP$164,1,1,"Confirmed Trend"))=0,#N/A,INDIRECT(ADDRESS($B192+1,AP$164,1,1,"Confirmed Trend")))</f>
        <v>#N/A</v>
      </c>
      <c r="AQ192" s="18" t="e" cm="1">
        <f t="array" aca="1" ref="AQ192" ca="1">IF(INDIRECT(ADDRESS($B192+1,AQ$164,1,1,"Confirmed Trend"))=0,#N/A,INDIRECT(ADDRESS($B192+1,AQ$164,1,1,"Confirmed Trend")))</f>
        <v>#N/A</v>
      </c>
      <c r="AR192" s="18" t="e" cm="1">
        <f t="array" aca="1" ref="AR192" ca="1">IF(INDIRECT(ADDRESS($B192+1,AR$164,1,1,"Confirmed Trend"))=0,#N/A,INDIRECT(ADDRESS($B192+1,AR$164,1,1,"Confirmed Trend")))</f>
        <v>#N/A</v>
      </c>
      <c r="AS192" s="18" t="e" cm="1">
        <f t="array" aca="1" ref="AS192" ca="1">IF(INDIRECT(ADDRESS($B192+1,AS$164,1,1,"Confirmed Trend"))=0,#N/A,INDIRECT(ADDRESS($B192+1,AS$164,1,1,"Confirmed Trend")))</f>
        <v>#N/A</v>
      </c>
      <c r="AT192" s="18" t="e" cm="1">
        <f t="array" aca="1" ref="AT192" ca="1">IF(INDIRECT(ADDRESS($B192+1,AT$164,1,1,"Confirmed Trend"))=0,#N/A,INDIRECT(ADDRESS($B192+1,AT$164,1,1,"Confirmed Trend")))</f>
        <v>#N/A</v>
      </c>
      <c r="AU192" s="18" t="e" cm="1">
        <f t="array" aca="1" ref="AU192" ca="1">IF(INDIRECT(ADDRESS($B192+1,AU$164,1,1,"Confirmed Trend"))=0,#N/A,INDIRECT(ADDRESS($B192+1,AU$164,1,1,"Confirmed Trend")))</f>
        <v>#N/A</v>
      </c>
      <c r="AV192" s="18" t="e" cm="1">
        <f t="array" aca="1" ref="AV192" ca="1">IF(INDIRECT(ADDRESS($B192+1,AV$164,1,1,"Confirmed Trend"))=0,#N/A,INDIRECT(ADDRESS($B192+1,AV$164,1,1,"Confirmed Trend")))</f>
        <v>#N/A</v>
      </c>
      <c r="AW192" s="18" t="e" cm="1">
        <f t="array" aca="1" ref="AW192" ca="1">IF(INDIRECT(ADDRESS($B192+1,AW$164,1,1,"Confirmed Trend"))=0,#N/A,INDIRECT(ADDRESS($B192+1,AW$164,1,1,"Confirmed Trend")))</f>
        <v>#N/A</v>
      </c>
      <c r="AX192" s="18" t="e" cm="1">
        <f t="array" aca="1" ref="AX192" ca="1">IF(INDIRECT(ADDRESS($B192+1,AX$164,1,1,"Confirmed Trend"))=0,#N/A,INDIRECT(ADDRESS($B192+1,AX$164,1,1,"Confirmed Trend")))</f>
        <v>#N/A</v>
      </c>
      <c r="AY192" s="18" t="e" cm="1">
        <f t="array" aca="1" ref="AY192" ca="1">IF(INDIRECT(ADDRESS($B192+1,AY$164,1,1,"Confirmed Trend"))=0,#N/A,INDIRECT(ADDRESS($B192+1,AY$164,1,1,"Confirmed Trend")))</f>
        <v>#N/A</v>
      </c>
      <c r="AZ192" s="18" t="e" cm="1">
        <f t="array" aca="1" ref="AZ192" ca="1">IF(INDIRECT(ADDRESS($B192+1,AZ$164,1,1,"Confirmed Trend"))=0,#N/A,INDIRECT(ADDRESS($B192+1,AZ$164,1,1,"Confirmed Trend")))</f>
        <v>#N/A</v>
      </c>
      <c r="BA192" s="18" t="e" cm="1">
        <f t="array" aca="1" ref="BA192" ca="1">IF(INDIRECT(ADDRESS($B192+1,BA$164,1,1,"Confirmed Trend"))=0,#N/A,INDIRECT(ADDRESS($B192+1,BA$164,1,1,"Confirmed Trend")))</f>
        <v>#N/A</v>
      </c>
      <c r="BB192" s="18" t="e" cm="1">
        <f t="array" aca="1" ref="BB192" ca="1">IF(INDIRECT(ADDRESS($B192+1,BB$164,1,1,"Confirmed Trend"))=0,#N/A,INDIRECT(ADDRESS($B192+1,BB$164,1,1,"Confirmed Trend")))</f>
        <v>#N/A</v>
      </c>
      <c r="BC192" s="18" t="e" cm="1">
        <f t="array" aca="1" ref="BC192" ca="1">IF(INDIRECT(ADDRESS($B192+1,BC$164,1,1,"Confirmed Trend"))=0,#N/A,INDIRECT(ADDRESS($B192+1,BC$164,1,1,"Confirmed Trend")))</f>
        <v>#N/A</v>
      </c>
      <c r="BD192" s="18" t="e" cm="1">
        <f t="array" aca="1" ref="BD192" ca="1">IF(INDIRECT(ADDRESS($B192+1,BD$164,1,1,"Confirmed Trend"))=0,#N/A,INDIRECT(ADDRESS($B192+1,BD$164,1,1,"Confirmed Trend")))</f>
        <v>#N/A</v>
      </c>
      <c r="BE192" s="18" t="e" cm="1">
        <f t="array" aca="1" ref="BE192" ca="1">IF(INDIRECT(ADDRESS($B192+1,BE$164,1,1,"Confirmed Trend"))=0,#N/A,INDIRECT(ADDRESS($B192+1,BE$164,1,1,"Confirmed Trend")))</f>
        <v>#N/A</v>
      </c>
      <c r="BF192" s="18" t="e" cm="1">
        <f t="array" aca="1" ref="BF192" ca="1">IF(INDIRECT(ADDRESS($B192+1,BF$164,1,1,"Confirmed Trend"))=0,#N/A,INDIRECT(ADDRESS($B192+1,BF$164,1,1,"Confirmed Trend")))</f>
        <v>#N/A</v>
      </c>
      <c r="BG192" s="18" t="e" cm="1">
        <f t="array" aca="1" ref="BG192" ca="1">IF(INDIRECT(ADDRESS($B192+1,BG$164,1,1,"Confirmed Trend"))=0,#N/A,INDIRECT(ADDRESS($B192+1,BG$164,1,1,"Confirmed Trend")))</f>
        <v>#N/A</v>
      </c>
      <c r="BH192" s="18" t="e" cm="1">
        <f t="array" aca="1" ref="BH192" ca="1">IF(INDIRECT(ADDRESS($B192+1,BH$164,1,1,"Confirmed Trend"))=0,#N/A,INDIRECT(ADDRESS($B192+1,BH$164,1,1,"Confirmed Trend")))</f>
        <v>#N/A</v>
      </c>
      <c r="BI192" s="18" t="e" cm="1">
        <f t="array" aca="1" ref="BI192" ca="1">IF(INDIRECT(ADDRESS($B192+1,BI$164,1,1,"Confirmed Trend"))=0,#N/A,INDIRECT(ADDRESS($B192+1,BI$164,1,1,"Confirmed Trend")))</f>
        <v>#N/A</v>
      </c>
      <c r="BJ192" s="18" t="e" cm="1">
        <f t="array" aca="1" ref="BJ192" ca="1">IF(INDIRECT(ADDRESS($B192+1,BJ$164,1,1,"Confirmed Trend"))=0,#N/A,INDIRECT(ADDRESS($B192+1,BJ$164,1,1,"Confirmed Trend")))</f>
        <v>#N/A</v>
      </c>
      <c r="BK192" s="18" t="e" cm="1">
        <f t="array" aca="1" ref="BK192" ca="1">IF(INDIRECT(ADDRESS($B192+1,BK$164,1,1,"Confirmed Trend"))=0,#N/A,INDIRECT(ADDRESS($B192+1,BK$164,1,1,"Confirmed Trend")))</f>
        <v>#N/A</v>
      </c>
      <c r="BL192" s="18" t="e" cm="1">
        <f t="array" aca="1" ref="BL192" ca="1">IF(INDIRECT(ADDRESS($B192+1,BL$164,1,1,"Confirmed Trend"))=0,#N/A,INDIRECT(ADDRESS($B192+1,BL$164,1,1,"Confirmed Trend")))</f>
        <v>#N/A</v>
      </c>
      <c r="BM192" s="18" t="e" cm="1">
        <f t="array" aca="1" ref="BM192" ca="1">IF(INDIRECT(ADDRESS($B192+1,BM$164,1,1,"Confirmed Trend"))=0,#N/A,INDIRECT(ADDRESS($B192+1,BM$164,1,1,"Confirmed Trend")))</f>
        <v>#N/A</v>
      </c>
      <c r="BN192" s="18" t="e" cm="1">
        <f t="array" aca="1" ref="BN192" ca="1">IF(INDIRECT(ADDRESS($B192+1,BN$164,1,1,"Confirmed Trend"))=0,#N/A,INDIRECT(ADDRESS($B192+1,BN$164,1,1,"Confirmed Trend")))</f>
        <v>#N/A</v>
      </c>
      <c r="BO192" s="18" t="e" cm="1">
        <f t="array" aca="1" ref="BO192" ca="1">IF(INDIRECT(ADDRESS($B192+1,BO$164,1,1,"Confirmed Trend"))=0,#N/A,INDIRECT(ADDRESS($B192+1,BO$164,1,1,"Confirmed Trend")))</f>
        <v>#N/A</v>
      </c>
      <c r="BP192" s="18" t="e" cm="1">
        <f t="array" aca="1" ref="BP192" ca="1">IF(INDIRECT(ADDRESS($B192+1,BP$164,1,1,"Confirmed Trend"))=0,#N/A,INDIRECT(ADDRESS($B192+1,BP$164,1,1,"Confirmed Trend")))</f>
        <v>#N/A</v>
      </c>
      <c r="BQ192" s="18" t="e" cm="1">
        <f t="array" aca="1" ref="BQ192" ca="1">IF(INDIRECT(ADDRESS($B192+1,BQ$164,1,1,"Confirmed Trend"))=0,#N/A,INDIRECT(ADDRESS($B192+1,BQ$164,1,1,"Confirmed Trend")))</f>
        <v>#N/A</v>
      </c>
      <c r="BR192" s="18" t="e" cm="1">
        <f t="array" aca="1" ref="BR192" ca="1">IF(INDIRECT(ADDRESS($B192+1,BR$164,1,1,"Confirmed Trend"))=0,#N/A,INDIRECT(ADDRESS($B192+1,BR$164,1,1,"Confirmed Trend")))</f>
        <v>#N/A</v>
      </c>
      <c r="BS192" s="18" t="e" cm="1">
        <f t="array" aca="1" ref="BS192" ca="1">IF(INDIRECT(ADDRESS($B192+1,BS$164,1,1,"Confirmed Trend"))=0,#N/A,INDIRECT(ADDRESS($B192+1,BS$164,1,1,"Confirmed Trend")))</f>
        <v>#N/A</v>
      </c>
      <c r="BT192" s="18" t="e" cm="1">
        <f t="array" aca="1" ref="BT192" ca="1">IF(INDIRECT(ADDRESS($B192+1,BT$164,1,1,"Confirmed Trend"))=0,#N/A,INDIRECT(ADDRESS($B192+1,BT$164,1,1,"Confirmed Trend")))</f>
        <v>#N/A</v>
      </c>
      <c r="BU192" s="18" t="e" cm="1">
        <f t="array" aca="1" ref="BU192" ca="1">IF(INDIRECT(ADDRESS($B192+1,BU$164,1,1,"Confirmed Trend"))=0,#N/A,INDIRECT(ADDRESS($B192+1,BU$164,1,1,"Confirmed Trend")))</f>
        <v>#N/A</v>
      </c>
      <c r="BV192" s="18" t="e" cm="1">
        <f t="array" aca="1" ref="BV192" ca="1">IF(INDIRECT(ADDRESS($B192+1,BV$164,1,1,"Confirmed Trend"))=0,#N/A,INDIRECT(ADDRESS($B192+1,BV$164,1,1,"Confirmed Trend")))</f>
        <v>#N/A</v>
      </c>
    </row>
    <row r="193" spans="2:74" x14ac:dyDescent="0.25">
      <c r="B193">
        <f t="shared" si="132"/>
        <v>28</v>
      </c>
      <c r="C193" cm="1">
        <f t="array" aca="1" ref="C193" ca="1">INDIRECT(ADDRESS($B193+1,1,1,1,"Confirmed Trend"))</f>
        <v>0</v>
      </c>
      <c r="E193" s="18" t="e" cm="1">
        <f t="array" aca="1" ref="E193" ca="1">IF(INDIRECT(ADDRESS($B193+1,E$164,1,1,"Confirmed Trend"))=0,#N/A,INDIRECT(ADDRESS($B193+1,E$164,1,1,"Confirmed Trend")))</f>
        <v>#N/A</v>
      </c>
      <c r="F193" s="18" t="e" cm="1">
        <f t="array" aca="1" ref="F193" ca="1">IF(INDIRECT(ADDRESS($B193+1,F$164,1,1,"Confirmed Trend"))=0,#N/A,INDIRECT(ADDRESS($B193+1,F$164,1,1,"Confirmed Trend")))</f>
        <v>#N/A</v>
      </c>
      <c r="G193" s="18" t="e" cm="1">
        <f t="array" aca="1" ref="G193" ca="1">IF(INDIRECT(ADDRESS($B193+1,G$164,1,1,"Confirmed Trend"))=0,#N/A,INDIRECT(ADDRESS($B193+1,G$164,1,1,"Confirmed Trend")))</f>
        <v>#N/A</v>
      </c>
      <c r="H193" s="18" t="e" cm="1">
        <f t="array" aca="1" ref="H193" ca="1">IF(INDIRECT(ADDRESS($B193+1,H$164,1,1,"Confirmed Trend"))=0,#N/A,INDIRECT(ADDRESS($B193+1,H$164,1,1,"Confirmed Trend")))</f>
        <v>#N/A</v>
      </c>
      <c r="I193" s="18" t="e" cm="1">
        <f t="array" aca="1" ref="I193" ca="1">IF(INDIRECT(ADDRESS($B193+1,I$164,1,1,"Confirmed Trend"))=0,#N/A,INDIRECT(ADDRESS($B193+1,I$164,1,1,"Confirmed Trend")))</f>
        <v>#N/A</v>
      </c>
      <c r="J193" s="18" t="e" cm="1">
        <f t="array" aca="1" ref="J193" ca="1">IF(INDIRECT(ADDRESS($B193+1,J$164,1,1,"Confirmed Trend"))=0,#N/A,INDIRECT(ADDRESS($B193+1,J$164,1,1,"Confirmed Trend")))</f>
        <v>#N/A</v>
      </c>
      <c r="K193" s="18" t="e" cm="1">
        <f t="array" aca="1" ref="K193" ca="1">IF(INDIRECT(ADDRESS($B193+1,K$164,1,1,"Confirmed Trend"))=0,#N/A,INDIRECT(ADDRESS($B193+1,K$164,1,1,"Confirmed Trend")))</f>
        <v>#N/A</v>
      </c>
      <c r="L193" s="18" t="e" cm="1">
        <f t="array" aca="1" ref="L193" ca="1">IF(INDIRECT(ADDRESS($B193+1,L$164,1,1,"Confirmed Trend"))=0,#N/A,INDIRECT(ADDRESS($B193+1,L$164,1,1,"Confirmed Trend")))</f>
        <v>#N/A</v>
      </c>
      <c r="M193" s="18" t="e" cm="1">
        <f t="array" aca="1" ref="M193" ca="1">IF(INDIRECT(ADDRESS($B193+1,M$164,1,1,"Confirmed Trend"))=0,#N/A,INDIRECT(ADDRESS($B193+1,M$164,1,1,"Confirmed Trend")))</f>
        <v>#N/A</v>
      </c>
      <c r="N193" s="18" t="e" cm="1">
        <f t="array" aca="1" ref="N193" ca="1">IF(INDIRECT(ADDRESS($B193+1,N$164,1,1,"Confirmed Trend"))=0,#N/A,INDIRECT(ADDRESS($B193+1,N$164,1,1,"Confirmed Trend")))</f>
        <v>#N/A</v>
      </c>
      <c r="O193" s="18" t="e" cm="1">
        <f t="array" aca="1" ref="O193" ca="1">IF(INDIRECT(ADDRESS($B193+1,O$164,1,1,"Confirmed Trend"))=0,#N/A,INDIRECT(ADDRESS($B193+1,O$164,1,1,"Confirmed Trend")))</f>
        <v>#N/A</v>
      </c>
      <c r="P193" s="18" t="e" cm="1">
        <f t="array" aca="1" ref="P193" ca="1">IF(INDIRECT(ADDRESS($B193+1,P$164,1,1,"Confirmed Trend"))=0,#N/A,INDIRECT(ADDRESS($B193+1,P$164,1,1,"Confirmed Trend")))</f>
        <v>#N/A</v>
      </c>
      <c r="Q193" s="18" t="e" cm="1">
        <f t="array" aca="1" ref="Q193" ca="1">IF(INDIRECT(ADDRESS($B193+1,Q$164,1,1,"Confirmed Trend"))=0,#N/A,INDIRECT(ADDRESS($B193+1,Q$164,1,1,"Confirmed Trend")))</f>
        <v>#N/A</v>
      </c>
      <c r="R193" s="18" t="e" cm="1">
        <f t="array" aca="1" ref="R193" ca="1">IF(INDIRECT(ADDRESS($B193+1,R$164,1,1,"Confirmed Trend"))=0,#N/A,INDIRECT(ADDRESS($B193+1,R$164,1,1,"Confirmed Trend")))</f>
        <v>#N/A</v>
      </c>
      <c r="S193" s="18" t="e" cm="1">
        <f t="array" aca="1" ref="S193" ca="1">IF(INDIRECT(ADDRESS($B193+1,S$164,1,1,"Confirmed Trend"))=0,#N/A,INDIRECT(ADDRESS($B193+1,S$164,1,1,"Confirmed Trend")))</f>
        <v>#N/A</v>
      </c>
      <c r="T193" s="18" t="e" cm="1">
        <f t="array" aca="1" ref="T193" ca="1">IF(INDIRECT(ADDRESS($B193+1,T$164,1,1,"Confirmed Trend"))=0,#N/A,INDIRECT(ADDRESS($B193+1,T$164,1,1,"Confirmed Trend")))</f>
        <v>#N/A</v>
      </c>
      <c r="U193" s="18" t="e" cm="1">
        <f t="array" aca="1" ref="U193" ca="1">IF(INDIRECT(ADDRESS($B193+1,U$164,1,1,"Confirmed Trend"))=0,#N/A,INDIRECT(ADDRESS($B193+1,U$164,1,1,"Confirmed Trend")))</f>
        <v>#N/A</v>
      </c>
      <c r="V193" s="18" t="e" cm="1">
        <f t="array" aca="1" ref="V193" ca="1">IF(INDIRECT(ADDRESS($B193+1,V$164,1,1,"Confirmed Trend"))=0,#N/A,INDIRECT(ADDRESS($B193+1,V$164,1,1,"Confirmed Trend")))</f>
        <v>#N/A</v>
      </c>
      <c r="W193" s="18" t="e" cm="1">
        <f t="array" aca="1" ref="W193" ca="1">IF(INDIRECT(ADDRESS($B193+1,W$164,1,1,"Confirmed Trend"))=0,#N/A,INDIRECT(ADDRESS($B193+1,W$164,1,1,"Confirmed Trend")))</f>
        <v>#N/A</v>
      </c>
      <c r="X193" s="18" t="e" cm="1">
        <f t="array" aca="1" ref="X193" ca="1">IF(INDIRECT(ADDRESS($B193+1,X$164,1,1,"Confirmed Trend"))=0,#N/A,INDIRECT(ADDRESS($B193+1,X$164,1,1,"Confirmed Trend")))</f>
        <v>#N/A</v>
      </c>
      <c r="Y193" s="18" t="e" cm="1">
        <f t="array" aca="1" ref="Y193" ca="1">IF(INDIRECT(ADDRESS($B193+1,Y$164,1,1,"Confirmed Trend"))=0,#N/A,INDIRECT(ADDRESS($B193+1,Y$164,1,1,"Confirmed Trend")))</f>
        <v>#N/A</v>
      </c>
      <c r="Z193" s="18" t="e" cm="1">
        <f t="array" aca="1" ref="Z193" ca="1">IF(INDIRECT(ADDRESS($B193+1,Z$164,1,1,"Confirmed Trend"))=0,#N/A,INDIRECT(ADDRESS($B193+1,Z$164,1,1,"Confirmed Trend")))</f>
        <v>#N/A</v>
      </c>
      <c r="AA193" s="18" t="e" cm="1">
        <f t="array" aca="1" ref="AA193" ca="1">IF(INDIRECT(ADDRESS($B193+1,AA$164,1,1,"Confirmed Trend"))=0,#N/A,INDIRECT(ADDRESS($B193+1,AA$164,1,1,"Confirmed Trend")))</f>
        <v>#N/A</v>
      </c>
      <c r="AB193" s="18" t="e" cm="1">
        <f t="array" aca="1" ref="AB193" ca="1">IF(INDIRECT(ADDRESS($B193+1,AB$164,1,1,"Confirmed Trend"))=0,#N/A,INDIRECT(ADDRESS($B193+1,AB$164,1,1,"Confirmed Trend")))</f>
        <v>#N/A</v>
      </c>
      <c r="AC193" s="18" t="e" cm="1">
        <f t="array" aca="1" ref="AC193" ca="1">IF(INDIRECT(ADDRESS($B193+1,AC$164,1,1,"Confirmed Trend"))=0,#N/A,INDIRECT(ADDRESS($B193+1,AC$164,1,1,"Confirmed Trend")))</f>
        <v>#N/A</v>
      </c>
      <c r="AD193" s="18" t="e" cm="1">
        <f t="array" aca="1" ref="AD193" ca="1">IF(INDIRECT(ADDRESS($B193+1,AD$164,1,1,"Confirmed Trend"))=0,#N/A,INDIRECT(ADDRESS($B193+1,AD$164,1,1,"Confirmed Trend")))</f>
        <v>#N/A</v>
      </c>
      <c r="AE193" s="18" t="e" cm="1">
        <f t="array" aca="1" ref="AE193" ca="1">IF(INDIRECT(ADDRESS($B193+1,AE$164,1,1,"Confirmed Trend"))=0,#N/A,INDIRECT(ADDRESS($B193+1,AE$164,1,1,"Confirmed Trend")))</f>
        <v>#N/A</v>
      </c>
      <c r="AF193" s="18" t="e" cm="1">
        <f t="array" aca="1" ref="AF193" ca="1">IF(INDIRECT(ADDRESS($B193+1,AF$164,1,1,"Confirmed Trend"))=0,#N/A,INDIRECT(ADDRESS($B193+1,AF$164,1,1,"Confirmed Trend")))</f>
        <v>#N/A</v>
      </c>
      <c r="AG193" s="18" t="e" cm="1">
        <f t="array" aca="1" ref="AG193" ca="1">IF(INDIRECT(ADDRESS($B193+1,AG$164,1,1,"Confirmed Trend"))=0,#N/A,INDIRECT(ADDRESS($B193+1,AG$164,1,1,"Confirmed Trend")))</f>
        <v>#N/A</v>
      </c>
      <c r="AH193" s="18" t="e" cm="1">
        <f t="array" aca="1" ref="AH193" ca="1">IF(INDIRECT(ADDRESS($B193+1,AH$164,1,1,"Confirmed Trend"))=0,#N/A,INDIRECT(ADDRESS($B193+1,AH$164,1,1,"Confirmed Trend")))</f>
        <v>#N/A</v>
      </c>
      <c r="AI193" s="18" t="e" cm="1">
        <f t="array" aca="1" ref="AI193" ca="1">IF(INDIRECT(ADDRESS($B193+1,AI$164,1,1,"Confirmed Trend"))=0,#N/A,INDIRECT(ADDRESS($B193+1,AI$164,1,1,"Confirmed Trend")))</f>
        <v>#N/A</v>
      </c>
      <c r="AJ193" s="18" t="e" cm="1">
        <f t="array" aca="1" ref="AJ193" ca="1">IF(INDIRECT(ADDRESS($B193+1,AJ$164,1,1,"Confirmed Trend"))=0,#N/A,INDIRECT(ADDRESS($B193+1,AJ$164,1,1,"Confirmed Trend")))</f>
        <v>#N/A</v>
      </c>
      <c r="AK193" s="18" t="e" cm="1">
        <f t="array" aca="1" ref="AK193" ca="1">IF(INDIRECT(ADDRESS($B193+1,AK$164,1,1,"Confirmed Trend"))=0,#N/A,INDIRECT(ADDRESS($B193+1,AK$164,1,1,"Confirmed Trend")))</f>
        <v>#N/A</v>
      </c>
      <c r="AL193" s="18" t="e" cm="1">
        <f t="array" aca="1" ref="AL193" ca="1">IF(INDIRECT(ADDRESS($B193+1,AL$164,1,1,"Confirmed Trend"))=0,#N/A,INDIRECT(ADDRESS($B193+1,AL$164,1,1,"Confirmed Trend")))</f>
        <v>#N/A</v>
      </c>
      <c r="AM193" s="18" t="e" cm="1">
        <f t="array" aca="1" ref="AM193" ca="1">IF(INDIRECT(ADDRESS($B193+1,AM$164,1,1,"Confirmed Trend"))=0,#N/A,INDIRECT(ADDRESS($B193+1,AM$164,1,1,"Confirmed Trend")))</f>
        <v>#N/A</v>
      </c>
      <c r="AN193" s="18" t="e" cm="1">
        <f t="array" aca="1" ref="AN193" ca="1">IF(INDIRECT(ADDRESS($B193+1,AN$164,1,1,"Confirmed Trend"))=0,#N/A,INDIRECT(ADDRESS($B193+1,AN$164,1,1,"Confirmed Trend")))</f>
        <v>#N/A</v>
      </c>
      <c r="AO193" s="18" t="e" cm="1">
        <f t="array" aca="1" ref="AO193" ca="1">IF(INDIRECT(ADDRESS($B193+1,AO$164,1,1,"Confirmed Trend"))=0,#N/A,INDIRECT(ADDRESS($B193+1,AO$164,1,1,"Confirmed Trend")))</f>
        <v>#N/A</v>
      </c>
      <c r="AP193" s="18" t="e" cm="1">
        <f t="array" aca="1" ref="AP193" ca="1">IF(INDIRECT(ADDRESS($B193+1,AP$164,1,1,"Confirmed Trend"))=0,#N/A,INDIRECT(ADDRESS($B193+1,AP$164,1,1,"Confirmed Trend")))</f>
        <v>#N/A</v>
      </c>
      <c r="AQ193" s="18" t="e" cm="1">
        <f t="array" aca="1" ref="AQ193" ca="1">IF(INDIRECT(ADDRESS($B193+1,AQ$164,1,1,"Confirmed Trend"))=0,#N/A,INDIRECT(ADDRESS($B193+1,AQ$164,1,1,"Confirmed Trend")))</f>
        <v>#N/A</v>
      </c>
      <c r="AR193" s="18" t="e" cm="1">
        <f t="array" aca="1" ref="AR193" ca="1">IF(INDIRECT(ADDRESS($B193+1,AR$164,1,1,"Confirmed Trend"))=0,#N/A,INDIRECT(ADDRESS($B193+1,AR$164,1,1,"Confirmed Trend")))</f>
        <v>#N/A</v>
      </c>
      <c r="AS193" s="18" t="e" cm="1">
        <f t="array" aca="1" ref="AS193" ca="1">IF(INDIRECT(ADDRESS($B193+1,AS$164,1,1,"Confirmed Trend"))=0,#N/A,INDIRECT(ADDRESS($B193+1,AS$164,1,1,"Confirmed Trend")))</f>
        <v>#N/A</v>
      </c>
      <c r="AT193" s="18" t="e" cm="1">
        <f t="array" aca="1" ref="AT193" ca="1">IF(INDIRECT(ADDRESS($B193+1,AT$164,1,1,"Confirmed Trend"))=0,#N/A,INDIRECT(ADDRESS($B193+1,AT$164,1,1,"Confirmed Trend")))</f>
        <v>#N/A</v>
      </c>
      <c r="AU193" s="18" t="e" cm="1">
        <f t="array" aca="1" ref="AU193" ca="1">IF(INDIRECT(ADDRESS($B193+1,AU$164,1,1,"Confirmed Trend"))=0,#N/A,INDIRECT(ADDRESS($B193+1,AU$164,1,1,"Confirmed Trend")))</f>
        <v>#N/A</v>
      </c>
      <c r="AV193" s="18" t="e" cm="1">
        <f t="array" aca="1" ref="AV193" ca="1">IF(INDIRECT(ADDRESS($B193+1,AV$164,1,1,"Confirmed Trend"))=0,#N/A,INDIRECT(ADDRESS($B193+1,AV$164,1,1,"Confirmed Trend")))</f>
        <v>#N/A</v>
      </c>
      <c r="AW193" s="18" t="e" cm="1">
        <f t="array" aca="1" ref="AW193" ca="1">IF(INDIRECT(ADDRESS($B193+1,AW$164,1,1,"Confirmed Trend"))=0,#N/A,INDIRECT(ADDRESS($B193+1,AW$164,1,1,"Confirmed Trend")))</f>
        <v>#N/A</v>
      </c>
      <c r="AX193" s="18" t="e" cm="1">
        <f t="array" aca="1" ref="AX193" ca="1">IF(INDIRECT(ADDRESS($B193+1,AX$164,1,1,"Confirmed Trend"))=0,#N/A,INDIRECT(ADDRESS($B193+1,AX$164,1,1,"Confirmed Trend")))</f>
        <v>#N/A</v>
      </c>
      <c r="AY193" s="18" t="e" cm="1">
        <f t="array" aca="1" ref="AY193" ca="1">IF(INDIRECT(ADDRESS($B193+1,AY$164,1,1,"Confirmed Trend"))=0,#N/A,INDIRECT(ADDRESS($B193+1,AY$164,1,1,"Confirmed Trend")))</f>
        <v>#N/A</v>
      </c>
      <c r="AZ193" s="18" t="e" cm="1">
        <f t="array" aca="1" ref="AZ193" ca="1">IF(INDIRECT(ADDRESS($B193+1,AZ$164,1,1,"Confirmed Trend"))=0,#N/A,INDIRECT(ADDRESS($B193+1,AZ$164,1,1,"Confirmed Trend")))</f>
        <v>#N/A</v>
      </c>
      <c r="BA193" s="18" t="e" cm="1">
        <f t="array" aca="1" ref="BA193" ca="1">IF(INDIRECT(ADDRESS($B193+1,BA$164,1,1,"Confirmed Trend"))=0,#N/A,INDIRECT(ADDRESS($B193+1,BA$164,1,1,"Confirmed Trend")))</f>
        <v>#N/A</v>
      </c>
      <c r="BB193" s="18" t="e" cm="1">
        <f t="array" aca="1" ref="BB193" ca="1">IF(INDIRECT(ADDRESS($B193+1,BB$164,1,1,"Confirmed Trend"))=0,#N/A,INDIRECT(ADDRESS($B193+1,BB$164,1,1,"Confirmed Trend")))</f>
        <v>#N/A</v>
      </c>
      <c r="BC193" s="18" t="e" cm="1">
        <f t="array" aca="1" ref="BC193" ca="1">IF(INDIRECT(ADDRESS($B193+1,BC$164,1,1,"Confirmed Trend"))=0,#N/A,INDIRECT(ADDRESS($B193+1,BC$164,1,1,"Confirmed Trend")))</f>
        <v>#N/A</v>
      </c>
      <c r="BD193" s="18" t="e" cm="1">
        <f t="array" aca="1" ref="BD193" ca="1">IF(INDIRECT(ADDRESS($B193+1,BD$164,1,1,"Confirmed Trend"))=0,#N/A,INDIRECT(ADDRESS($B193+1,BD$164,1,1,"Confirmed Trend")))</f>
        <v>#N/A</v>
      </c>
      <c r="BE193" s="18" t="e" cm="1">
        <f t="array" aca="1" ref="BE193" ca="1">IF(INDIRECT(ADDRESS($B193+1,BE$164,1,1,"Confirmed Trend"))=0,#N/A,INDIRECT(ADDRESS($B193+1,BE$164,1,1,"Confirmed Trend")))</f>
        <v>#N/A</v>
      </c>
      <c r="BF193" s="18" t="e" cm="1">
        <f t="array" aca="1" ref="BF193" ca="1">IF(INDIRECT(ADDRESS($B193+1,BF$164,1,1,"Confirmed Trend"))=0,#N/A,INDIRECT(ADDRESS($B193+1,BF$164,1,1,"Confirmed Trend")))</f>
        <v>#N/A</v>
      </c>
      <c r="BG193" s="18" t="e" cm="1">
        <f t="array" aca="1" ref="BG193" ca="1">IF(INDIRECT(ADDRESS($B193+1,BG$164,1,1,"Confirmed Trend"))=0,#N/A,INDIRECT(ADDRESS($B193+1,BG$164,1,1,"Confirmed Trend")))</f>
        <v>#N/A</v>
      </c>
      <c r="BH193" s="18" t="e" cm="1">
        <f t="array" aca="1" ref="BH193" ca="1">IF(INDIRECT(ADDRESS($B193+1,BH$164,1,1,"Confirmed Trend"))=0,#N/A,INDIRECT(ADDRESS($B193+1,BH$164,1,1,"Confirmed Trend")))</f>
        <v>#N/A</v>
      </c>
      <c r="BI193" s="18" t="e" cm="1">
        <f t="array" aca="1" ref="BI193" ca="1">IF(INDIRECT(ADDRESS($B193+1,BI$164,1,1,"Confirmed Trend"))=0,#N/A,INDIRECT(ADDRESS($B193+1,BI$164,1,1,"Confirmed Trend")))</f>
        <v>#N/A</v>
      </c>
      <c r="BJ193" s="18" t="e" cm="1">
        <f t="array" aca="1" ref="BJ193" ca="1">IF(INDIRECT(ADDRESS($B193+1,BJ$164,1,1,"Confirmed Trend"))=0,#N/A,INDIRECT(ADDRESS($B193+1,BJ$164,1,1,"Confirmed Trend")))</f>
        <v>#N/A</v>
      </c>
      <c r="BK193" s="18" t="e" cm="1">
        <f t="array" aca="1" ref="BK193" ca="1">IF(INDIRECT(ADDRESS($B193+1,BK$164,1,1,"Confirmed Trend"))=0,#N/A,INDIRECT(ADDRESS($B193+1,BK$164,1,1,"Confirmed Trend")))</f>
        <v>#N/A</v>
      </c>
      <c r="BL193" s="18" t="e" cm="1">
        <f t="array" aca="1" ref="BL193" ca="1">IF(INDIRECT(ADDRESS($B193+1,BL$164,1,1,"Confirmed Trend"))=0,#N/A,INDIRECT(ADDRESS($B193+1,BL$164,1,1,"Confirmed Trend")))</f>
        <v>#N/A</v>
      </c>
      <c r="BM193" s="18" t="e" cm="1">
        <f t="array" aca="1" ref="BM193" ca="1">IF(INDIRECT(ADDRESS($B193+1,BM$164,1,1,"Confirmed Trend"))=0,#N/A,INDIRECT(ADDRESS($B193+1,BM$164,1,1,"Confirmed Trend")))</f>
        <v>#N/A</v>
      </c>
      <c r="BN193" s="18" t="e" cm="1">
        <f t="array" aca="1" ref="BN193" ca="1">IF(INDIRECT(ADDRESS($B193+1,BN$164,1,1,"Confirmed Trend"))=0,#N/A,INDIRECT(ADDRESS($B193+1,BN$164,1,1,"Confirmed Trend")))</f>
        <v>#N/A</v>
      </c>
      <c r="BO193" s="18" t="e" cm="1">
        <f t="array" aca="1" ref="BO193" ca="1">IF(INDIRECT(ADDRESS($B193+1,BO$164,1,1,"Confirmed Trend"))=0,#N/A,INDIRECT(ADDRESS($B193+1,BO$164,1,1,"Confirmed Trend")))</f>
        <v>#N/A</v>
      </c>
      <c r="BP193" s="18" t="e" cm="1">
        <f t="array" aca="1" ref="BP193" ca="1">IF(INDIRECT(ADDRESS($B193+1,BP$164,1,1,"Confirmed Trend"))=0,#N/A,INDIRECT(ADDRESS($B193+1,BP$164,1,1,"Confirmed Trend")))</f>
        <v>#N/A</v>
      </c>
      <c r="BQ193" s="18" t="e" cm="1">
        <f t="array" aca="1" ref="BQ193" ca="1">IF(INDIRECT(ADDRESS($B193+1,BQ$164,1,1,"Confirmed Trend"))=0,#N/A,INDIRECT(ADDRESS($B193+1,BQ$164,1,1,"Confirmed Trend")))</f>
        <v>#N/A</v>
      </c>
      <c r="BR193" s="18" t="e" cm="1">
        <f t="array" aca="1" ref="BR193" ca="1">IF(INDIRECT(ADDRESS($B193+1,BR$164,1,1,"Confirmed Trend"))=0,#N/A,INDIRECT(ADDRESS($B193+1,BR$164,1,1,"Confirmed Trend")))</f>
        <v>#N/A</v>
      </c>
      <c r="BS193" s="18" t="e" cm="1">
        <f t="array" aca="1" ref="BS193" ca="1">IF(INDIRECT(ADDRESS($B193+1,BS$164,1,1,"Confirmed Trend"))=0,#N/A,INDIRECT(ADDRESS($B193+1,BS$164,1,1,"Confirmed Trend")))</f>
        <v>#N/A</v>
      </c>
      <c r="BT193" s="18" t="e" cm="1">
        <f t="array" aca="1" ref="BT193" ca="1">IF(INDIRECT(ADDRESS($B193+1,BT$164,1,1,"Confirmed Trend"))=0,#N/A,INDIRECT(ADDRESS($B193+1,BT$164,1,1,"Confirmed Trend")))</f>
        <v>#N/A</v>
      </c>
      <c r="BU193" s="18" t="e" cm="1">
        <f t="array" aca="1" ref="BU193" ca="1">IF(INDIRECT(ADDRESS($B193+1,BU$164,1,1,"Confirmed Trend"))=0,#N/A,INDIRECT(ADDRESS($B193+1,BU$164,1,1,"Confirmed Trend")))</f>
        <v>#N/A</v>
      </c>
      <c r="BV193" s="18" t="e" cm="1">
        <f t="array" aca="1" ref="BV193" ca="1">IF(INDIRECT(ADDRESS($B193+1,BV$164,1,1,"Confirmed Trend"))=0,#N/A,INDIRECT(ADDRESS($B193+1,BV$164,1,1,"Confirmed Trend")))</f>
        <v>#N/A</v>
      </c>
    </row>
    <row r="194" spans="2:74" x14ac:dyDescent="0.25">
      <c r="B194">
        <f t="shared" si="132"/>
        <v>29</v>
      </c>
      <c r="C194" cm="1">
        <f t="array" aca="1" ref="C194" ca="1">INDIRECT(ADDRESS($B194+1,1,1,1,"Confirmed Trend"))</f>
        <v>0</v>
      </c>
      <c r="E194" s="18" t="e" cm="1">
        <f t="array" aca="1" ref="E194" ca="1">IF(INDIRECT(ADDRESS($B194+1,E$164,1,1,"Confirmed Trend"))=0,#N/A,INDIRECT(ADDRESS($B194+1,E$164,1,1,"Confirmed Trend")))</f>
        <v>#N/A</v>
      </c>
      <c r="F194" s="18" t="e" cm="1">
        <f t="array" aca="1" ref="F194" ca="1">IF(INDIRECT(ADDRESS($B194+1,F$164,1,1,"Confirmed Trend"))=0,#N/A,INDIRECT(ADDRESS($B194+1,F$164,1,1,"Confirmed Trend")))</f>
        <v>#N/A</v>
      </c>
      <c r="G194" s="18" t="e" cm="1">
        <f t="array" aca="1" ref="G194" ca="1">IF(INDIRECT(ADDRESS($B194+1,G$164,1,1,"Confirmed Trend"))=0,#N/A,INDIRECT(ADDRESS($B194+1,G$164,1,1,"Confirmed Trend")))</f>
        <v>#N/A</v>
      </c>
      <c r="H194" s="18" t="e" cm="1">
        <f t="array" aca="1" ref="H194" ca="1">IF(INDIRECT(ADDRESS($B194+1,H$164,1,1,"Confirmed Trend"))=0,#N/A,INDIRECT(ADDRESS($B194+1,H$164,1,1,"Confirmed Trend")))</f>
        <v>#N/A</v>
      </c>
      <c r="I194" s="18" t="e" cm="1">
        <f t="array" aca="1" ref="I194" ca="1">IF(INDIRECT(ADDRESS($B194+1,I$164,1,1,"Confirmed Trend"))=0,#N/A,INDIRECT(ADDRESS($B194+1,I$164,1,1,"Confirmed Trend")))</f>
        <v>#N/A</v>
      </c>
      <c r="J194" s="18" t="e" cm="1">
        <f t="array" aca="1" ref="J194" ca="1">IF(INDIRECT(ADDRESS($B194+1,J$164,1,1,"Confirmed Trend"))=0,#N/A,INDIRECT(ADDRESS($B194+1,J$164,1,1,"Confirmed Trend")))</f>
        <v>#N/A</v>
      </c>
      <c r="K194" s="18" t="e" cm="1">
        <f t="array" aca="1" ref="K194" ca="1">IF(INDIRECT(ADDRESS($B194+1,K$164,1,1,"Confirmed Trend"))=0,#N/A,INDIRECT(ADDRESS($B194+1,K$164,1,1,"Confirmed Trend")))</f>
        <v>#N/A</v>
      </c>
      <c r="L194" s="18" t="e" cm="1">
        <f t="array" aca="1" ref="L194" ca="1">IF(INDIRECT(ADDRESS($B194+1,L$164,1,1,"Confirmed Trend"))=0,#N/A,INDIRECT(ADDRESS($B194+1,L$164,1,1,"Confirmed Trend")))</f>
        <v>#N/A</v>
      </c>
      <c r="M194" s="18" t="e" cm="1">
        <f t="array" aca="1" ref="M194" ca="1">IF(INDIRECT(ADDRESS($B194+1,M$164,1,1,"Confirmed Trend"))=0,#N/A,INDIRECT(ADDRESS($B194+1,M$164,1,1,"Confirmed Trend")))</f>
        <v>#N/A</v>
      </c>
      <c r="N194" s="18" t="e" cm="1">
        <f t="array" aca="1" ref="N194" ca="1">IF(INDIRECT(ADDRESS($B194+1,N$164,1,1,"Confirmed Trend"))=0,#N/A,INDIRECT(ADDRESS($B194+1,N$164,1,1,"Confirmed Trend")))</f>
        <v>#N/A</v>
      </c>
      <c r="O194" s="18" t="e" cm="1">
        <f t="array" aca="1" ref="O194" ca="1">IF(INDIRECT(ADDRESS($B194+1,O$164,1,1,"Confirmed Trend"))=0,#N/A,INDIRECT(ADDRESS($B194+1,O$164,1,1,"Confirmed Trend")))</f>
        <v>#N/A</v>
      </c>
      <c r="P194" s="18" t="e" cm="1">
        <f t="array" aca="1" ref="P194" ca="1">IF(INDIRECT(ADDRESS($B194+1,P$164,1,1,"Confirmed Trend"))=0,#N/A,INDIRECT(ADDRESS($B194+1,P$164,1,1,"Confirmed Trend")))</f>
        <v>#N/A</v>
      </c>
      <c r="Q194" s="18" t="e" cm="1">
        <f t="array" aca="1" ref="Q194" ca="1">IF(INDIRECT(ADDRESS($B194+1,Q$164,1,1,"Confirmed Trend"))=0,#N/A,INDIRECT(ADDRESS($B194+1,Q$164,1,1,"Confirmed Trend")))</f>
        <v>#N/A</v>
      </c>
      <c r="R194" s="18" t="e" cm="1">
        <f t="array" aca="1" ref="R194" ca="1">IF(INDIRECT(ADDRESS($B194+1,R$164,1,1,"Confirmed Trend"))=0,#N/A,INDIRECT(ADDRESS($B194+1,R$164,1,1,"Confirmed Trend")))</f>
        <v>#N/A</v>
      </c>
      <c r="S194" s="18" t="e" cm="1">
        <f t="array" aca="1" ref="S194" ca="1">IF(INDIRECT(ADDRESS($B194+1,S$164,1,1,"Confirmed Trend"))=0,#N/A,INDIRECT(ADDRESS($B194+1,S$164,1,1,"Confirmed Trend")))</f>
        <v>#N/A</v>
      </c>
      <c r="T194" s="18" t="e" cm="1">
        <f t="array" aca="1" ref="T194" ca="1">IF(INDIRECT(ADDRESS($B194+1,T$164,1,1,"Confirmed Trend"))=0,#N/A,INDIRECT(ADDRESS($B194+1,T$164,1,1,"Confirmed Trend")))</f>
        <v>#N/A</v>
      </c>
      <c r="U194" s="18" t="e" cm="1">
        <f t="array" aca="1" ref="U194" ca="1">IF(INDIRECT(ADDRESS($B194+1,U$164,1,1,"Confirmed Trend"))=0,#N/A,INDIRECT(ADDRESS($B194+1,U$164,1,1,"Confirmed Trend")))</f>
        <v>#N/A</v>
      </c>
      <c r="V194" s="18" t="e" cm="1">
        <f t="array" aca="1" ref="V194" ca="1">IF(INDIRECT(ADDRESS($B194+1,V$164,1,1,"Confirmed Trend"))=0,#N/A,INDIRECT(ADDRESS($B194+1,V$164,1,1,"Confirmed Trend")))</f>
        <v>#N/A</v>
      </c>
      <c r="W194" s="18" t="e" cm="1">
        <f t="array" aca="1" ref="W194" ca="1">IF(INDIRECT(ADDRESS($B194+1,W$164,1,1,"Confirmed Trend"))=0,#N/A,INDIRECT(ADDRESS($B194+1,W$164,1,1,"Confirmed Trend")))</f>
        <v>#N/A</v>
      </c>
      <c r="X194" s="18" t="e" cm="1">
        <f t="array" aca="1" ref="X194" ca="1">IF(INDIRECT(ADDRESS($B194+1,X$164,1,1,"Confirmed Trend"))=0,#N/A,INDIRECT(ADDRESS($B194+1,X$164,1,1,"Confirmed Trend")))</f>
        <v>#N/A</v>
      </c>
      <c r="Y194" s="18" t="e" cm="1">
        <f t="array" aca="1" ref="Y194" ca="1">IF(INDIRECT(ADDRESS($B194+1,Y$164,1,1,"Confirmed Trend"))=0,#N/A,INDIRECT(ADDRESS($B194+1,Y$164,1,1,"Confirmed Trend")))</f>
        <v>#N/A</v>
      </c>
      <c r="Z194" s="18" t="e" cm="1">
        <f t="array" aca="1" ref="Z194" ca="1">IF(INDIRECT(ADDRESS($B194+1,Z$164,1,1,"Confirmed Trend"))=0,#N/A,INDIRECT(ADDRESS($B194+1,Z$164,1,1,"Confirmed Trend")))</f>
        <v>#N/A</v>
      </c>
      <c r="AA194" s="18" t="e" cm="1">
        <f t="array" aca="1" ref="AA194" ca="1">IF(INDIRECT(ADDRESS($B194+1,AA$164,1,1,"Confirmed Trend"))=0,#N/A,INDIRECT(ADDRESS($B194+1,AA$164,1,1,"Confirmed Trend")))</f>
        <v>#N/A</v>
      </c>
      <c r="AB194" s="18" t="e" cm="1">
        <f t="array" aca="1" ref="AB194" ca="1">IF(INDIRECT(ADDRESS($B194+1,AB$164,1,1,"Confirmed Trend"))=0,#N/A,INDIRECT(ADDRESS($B194+1,AB$164,1,1,"Confirmed Trend")))</f>
        <v>#N/A</v>
      </c>
      <c r="AC194" s="18" t="e" cm="1">
        <f t="array" aca="1" ref="AC194" ca="1">IF(INDIRECT(ADDRESS($B194+1,AC$164,1,1,"Confirmed Trend"))=0,#N/A,INDIRECT(ADDRESS($B194+1,AC$164,1,1,"Confirmed Trend")))</f>
        <v>#N/A</v>
      </c>
      <c r="AD194" s="18" t="e" cm="1">
        <f t="array" aca="1" ref="AD194" ca="1">IF(INDIRECT(ADDRESS($B194+1,AD$164,1,1,"Confirmed Trend"))=0,#N/A,INDIRECT(ADDRESS($B194+1,AD$164,1,1,"Confirmed Trend")))</f>
        <v>#N/A</v>
      </c>
      <c r="AE194" s="18" t="e" cm="1">
        <f t="array" aca="1" ref="AE194" ca="1">IF(INDIRECT(ADDRESS($B194+1,AE$164,1,1,"Confirmed Trend"))=0,#N/A,INDIRECT(ADDRESS($B194+1,AE$164,1,1,"Confirmed Trend")))</f>
        <v>#N/A</v>
      </c>
      <c r="AF194" s="18" t="e" cm="1">
        <f t="array" aca="1" ref="AF194" ca="1">IF(INDIRECT(ADDRESS($B194+1,AF$164,1,1,"Confirmed Trend"))=0,#N/A,INDIRECT(ADDRESS($B194+1,AF$164,1,1,"Confirmed Trend")))</f>
        <v>#N/A</v>
      </c>
      <c r="AG194" s="18" t="e" cm="1">
        <f t="array" aca="1" ref="AG194" ca="1">IF(INDIRECT(ADDRESS($B194+1,AG$164,1,1,"Confirmed Trend"))=0,#N/A,INDIRECT(ADDRESS($B194+1,AG$164,1,1,"Confirmed Trend")))</f>
        <v>#N/A</v>
      </c>
      <c r="AH194" s="18" t="e" cm="1">
        <f t="array" aca="1" ref="AH194" ca="1">IF(INDIRECT(ADDRESS($B194+1,AH$164,1,1,"Confirmed Trend"))=0,#N/A,INDIRECT(ADDRESS($B194+1,AH$164,1,1,"Confirmed Trend")))</f>
        <v>#N/A</v>
      </c>
      <c r="AI194" s="18" t="e" cm="1">
        <f t="array" aca="1" ref="AI194" ca="1">IF(INDIRECT(ADDRESS($B194+1,AI$164,1,1,"Confirmed Trend"))=0,#N/A,INDIRECT(ADDRESS($B194+1,AI$164,1,1,"Confirmed Trend")))</f>
        <v>#N/A</v>
      </c>
      <c r="AJ194" s="18" t="e" cm="1">
        <f t="array" aca="1" ref="AJ194" ca="1">IF(INDIRECT(ADDRESS($B194+1,AJ$164,1,1,"Confirmed Trend"))=0,#N/A,INDIRECT(ADDRESS($B194+1,AJ$164,1,1,"Confirmed Trend")))</f>
        <v>#N/A</v>
      </c>
      <c r="AK194" s="18" t="e" cm="1">
        <f t="array" aca="1" ref="AK194" ca="1">IF(INDIRECT(ADDRESS($B194+1,AK$164,1,1,"Confirmed Trend"))=0,#N/A,INDIRECT(ADDRESS($B194+1,AK$164,1,1,"Confirmed Trend")))</f>
        <v>#N/A</v>
      </c>
      <c r="AL194" s="18" t="e" cm="1">
        <f t="array" aca="1" ref="AL194" ca="1">IF(INDIRECT(ADDRESS($B194+1,AL$164,1,1,"Confirmed Trend"))=0,#N/A,INDIRECT(ADDRESS($B194+1,AL$164,1,1,"Confirmed Trend")))</f>
        <v>#N/A</v>
      </c>
      <c r="AM194" s="18" t="e" cm="1">
        <f t="array" aca="1" ref="AM194" ca="1">IF(INDIRECT(ADDRESS($B194+1,AM$164,1,1,"Confirmed Trend"))=0,#N/A,INDIRECT(ADDRESS($B194+1,AM$164,1,1,"Confirmed Trend")))</f>
        <v>#N/A</v>
      </c>
      <c r="AN194" s="18" t="e" cm="1">
        <f t="array" aca="1" ref="AN194" ca="1">IF(INDIRECT(ADDRESS($B194+1,AN$164,1,1,"Confirmed Trend"))=0,#N/A,INDIRECT(ADDRESS($B194+1,AN$164,1,1,"Confirmed Trend")))</f>
        <v>#N/A</v>
      </c>
      <c r="AO194" s="18" t="e" cm="1">
        <f t="array" aca="1" ref="AO194" ca="1">IF(INDIRECT(ADDRESS($B194+1,AO$164,1,1,"Confirmed Trend"))=0,#N/A,INDIRECT(ADDRESS($B194+1,AO$164,1,1,"Confirmed Trend")))</f>
        <v>#N/A</v>
      </c>
      <c r="AP194" s="18" t="e" cm="1">
        <f t="array" aca="1" ref="AP194" ca="1">IF(INDIRECT(ADDRESS($B194+1,AP$164,1,1,"Confirmed Trend"))=0,#N/A,INDIRECT(ADDRESS($B194+1,AP$164,1,1,"Confirmed Trend")))</f>
        <v>#N/A</v>
      </c>
      <c r="AQ194" s="18" t="e" cm="1">
        <f t="array" aca="1" ref="AQ194" ca="1">IF(INDIRECT(ADDRESS($B194+1,AQ$164,1,1,"Confirmed Trend"))=0,#N/A,INDIRECT(ADDRESS($B194+1,AQ$164,1,1,"Confirmed Trend")))</f>
        <v>#N/A</v>
      </c>
      <c r="AR194" s="18" t="e" cm="1">
        <f t="array" aca="1" ref="AR194" ca="1">IF(INDIRECT(ADDRESS($B194+1,AR$164,1,1,"Confirmed Trend"))=0,#N/A,INDIRECT(ADDRESS($B194+1,AR$164,1,1,"Confirmed Trend")))</f>
        <v>#N/A</v>
      </c>
      <c r="AS194" s="18" t="e" cm="1">
        <f t="array" aca="1" ref="AS194" ca="1">IF(INDIRECT(ADDRESS($B194+1,AS$164,1,1,"Confirmed Trend"))=0,#N/A,INDIRECT(ADDRESS($B194+1,AS$164,1,1,"Confirmed Trend")))</f>
        <v>#N/A</v>
      </c>
      <c r="AT194" s="18" t="e" cm="1">
        <f t="array" aca="1" ref="AT194" ca="1">IF(INDIRECT(ADDRESS($B194+1,AT$164,1,1,"Confirmed Trend"))=0,#N/A,INDIRECT(ADDRESS($B194+1,AT$164,1,1,"Confirmed Trend")))</f>
        <v>#N/A</v>
      </c>
      <c r="AU194" s="18" t="e" cm="1">
        <f t="array" aca="1" ref="AU194" ca="1">IF(INDIRECT(ADDRESS($B194+1,AU$164,1,1,"Confirmed Trend"))=0,#N/A,INDIRECT(ADDRESS($B194+1,AU$164,1,1,"Confirmed Trend")))</f>
        <v>#N/A</v>
      </c>
      <c r="AV194" s="18" t="e" cm="1">
        <f t="array" aca="1" ref="AV194" ca="1">IF(INDIRECT(ADDRESS($B194+1,AV$164,1,1,"Confirmed Trend"))=0,#N/A,INDIRECT(ADDRESS($B194+1,AV$164,1,1,"Confirmed Trend")))</f>
        <v>#N/A</v>
      </c>
      <c r="AW194" s="18" t="e" cm="1">
        <f t="array" aca="1" ref="AW194" ca="1">IF(INDIRECT(ADDRESS($B194+1,AW$164,1,1,"Confirmed Trend"))=0,#N/A,INDIRECT(ADDRESS($B194+1,AW$164,1,1,"Confirmed Trend")))</f>
        <v>#N/A</v>
      </c>
      <c r="AX194" s="18" t="e" cm="1">
        <f t="array" aca="1" ref="AX194" ca="1">IF(INDIRECT(ADDRESS($B194+1,AX$164,1,1,"Confirmed Trend"))=0,#N/A,INDIRECT(ADDRESS($B194+1,AX$164,1,1,"Confirmed Trend")))</f>
        <v>#N/A</v>
      </c>
      <c r="AY194" s="18" t="e" cm="1">
        <f t="array" aca="1" ref="AY194" ca="1">IF(INDIRECT(ADDRESS($B194+1,AY$164,1,1,"Confirmed Trend"))=0,#N/A,INDIRECT(ADDRESS($B194+1,AY$164,1,1,"Confirmed Trend")))</f>
        <v>#N/A</v>
      </c>
      <c r="AZ194" s="18" t="e" cm="1">
        <f t="array" aca="1" ref="AZ194" ca="1">IF(INDIRECT(ADDRESS($B194+1,AZ$164,1,1,"Confirmed Trend"))=0,#N/A,INDIRECT(ADDRESS($B194+1,AZ$164,1,1,"Confirmed Trend")))</f>
        <v>#N/A</v>
      </c>
      <c r="BA194" s="18" t="e" cm="1">
        <f t="array" aca="1" ref="BA194" ca="1">IF(INDIRECT(ADDRESS($B194+1,BA$164,1,1,"Confirmed Trend"))=0,#N/A,INDIRECT(ADDRESS($B194+1,BA$164,1,1,"Confirmed Trend")))</f>
        <v>#N/A</v>
      </c>
      <c r="BB194" s="18" t="e" cm="1">
        <f t="array" aca="1" ref="BB194" ca="1">IF(INDIRECT(ADDRESS($B194+1,BB$164,1,1,"Confirmed Trend"))=0,#N/A,INDIRECT(ADDRESS($B194+1,BB$164,1,1,"Confirmed Trend")))</f>
        <v>#N/A</v>
      </c>
      <c r="BC194" s="18" t="e" cm="1">
        <f t="array" aca="1" ref="BC194" ca="1">IF(INDIRECT(ADDRESS($B194+1,BC$164,1,1,"Confirmed Trend"))=0,#N/A,INDIRECT(ADDRESS($B194+1,BC$164,1,1,"Confirmed Trend")))</f>
        <v>#N/A</v>
      </c>
      <c r="BD194" s="18" t="e" cm="1">
        <f t="array" aca="1" ref="BD194" ca="1">IF(INDIRECT(ADDRESS($B194+1,BD$164,1,1,"Confirmed Trend"))=0,#N/A,INDIRECT(ADDRESS($B194+1,BD$164,1,1,"Confirmed Trend")))</f>
        <v>#N/A</v>
      </c>
      <c r="BE194" s="18" t="e" cm="1">
        <f t="array" aca="1" ref="BE194" ca="1">IF(INDIRECT(ADDRESS($B194+1,BE$164,1,1,"Confirmed Trend"))=0,#N/A,INDIRECT(ADDRESS($B194+1,BE$164,1,1,"Confirmed Trend")))</f>
        <v>#N/A</v>
      </c>
      <c r="BF194" s="18" t="e" cm="1">
        <f t="array" aca="1" ref="BF194" ca="1">IF(INDIRECT(ADDRESS($B194+1,BF$164,1,1,"Confirmed Trend"))=0,#N/A,INDIRECT(ADDRESS($B194+1,BF$164,1,1,"Confirmed Trend")))</f>
        <v>#N/A</v>
      </c>
      <c r="BG194" s="18" t="e" cm="1">
        <f t="array" aca="1" ref="BG194" ca="1">IF(INDIRECT(ADDRESS($B194+1,BG$164,1,1,"Confirmed Trend"))=0,#N/A,INDIRECT(ADDRESS($B194+1,BG$164,1,1,"Confirmed Trend")))</f>
        <v>#N/A</v>
      </c>
      <c r="BH194" s="18" t="e" cm="1">
        <f t="array" aca="1" ref="BH194" ca="1">IF(INDIRECT(ADDRESS($B194+1,BH$164,1,1,"Confirmed Trend"))=0,#N/A,INDIRECT(ADDRESS($B194+1,BH$164,1,1,"Confirmed Trend")))</f>
        <v>#N/A</v>
      </c>
      <c r="BI194" s="18" t="e" cm="1">
        <f t="array" aca="1" ref="BI194" ca="1">IF(INDIRECT(ADDRESS($B194+1,BI$164,1,1,"Confirmed Trend"))=0,#N/A,INDIRECT(ADDRESS($B194+1,BI$164,1,1,"Confirmed Trend")))</f>
        <v>#N/A</v>
      </c>
      <c r="BJ194" s="18" t="e" cm="1">
        <f t="array" aca="1" ref="BJ194" ca="1">IF(INDIRECT(ADDRESS($B194+1,BJ$164,1,1,"Confirmed Trend"))=0,#N/A,INDIRECT(ADDRESS($B194+1,BJ$164,1,1,"Confirmed Trend")))</f>
        <v>#N/A</v>
      </c>
      <c r="BK194" s="18" t="e" cm="1">
        <f t="array" aca="1" ref="BK194" ca="1">IF(INDIRECT(ADDRESS($B194+1,BK$164,1,1,"Confirmed Trend"))=0,#N/A,INDIRECT(ADDRESS($B194+1,BK$164,1,1,"Confirmed Trend")))</f>
        <v>#N/A</v>
      </c>
      <c r="BL194" s="18" t="e" cm="1">
        <f t="array" aca="1" ref="BL194" ca="1">IF(INDIRECT(ADDRESS($B194+1,BL$164,1,1,"Confirmed Trend"))=0,#N/A,INDIRECT(ADDRESS($B194+1,BL$164,1,1,"Confirmed Trend")))</f>
        <v>#N/A</v>
      </c>
      <c r="BM194" s="18" t="e" cm="1">
        <f t="array" aca="1" ref="BM194" ca="1">IF(INDIRECT(ADDRESS($B194+1,BM$164,1,1,"Confirmed Trend"))=0,#N/A,INDIRECT(ADDRESS($B194+1,BM$164,1,1,"Confirmed Trend")))</f>
        <v>#N/A</v>
      </c>
      <c r="BN194" s="18" t="e" cm="1">
        <f t="array" aca="1" ref="BN194" ca="1">IF(INDIRECT(ADDRESS($B194+1,BN$164,1,1,"Confirmed Trend"))=0,#N/A,INDIRECT(ADDRESS($B194+1,BN$164,1,1,"Confirmed Trend")))</f>
        <v>#N/A</v>
      </c>
      <c r="BO194" s="18" t="e" cm="1">
        <f t="array" aca="1" ref="BO194" ca="1">IF(INDIRECT(ADDRESS($B194+1,BO$164,1,1,"Confirmed Trend"))=0,#N/A,INDIRECT(ADDRESS($B194+1,BO$164,1,1,"Confirmed Trend")))</f>
        <v>#N/A</v>
      </c>
      <c r="BP194" s="18" t="e" cm="1">
        <f t="array" aca="1" ref="BP194" ca="1">IF(INDIRECT(ADDRESS($B194+1,BP$164,1,1,"Confirmed Trend"))=0,#N/A,INDIRECT(ADDRESS($B194+1,BP$164,1,1,"Confirmed Trend")))</f>
        <v>#N/A</v>
      </c>
      <c r="BQ194" s="18" t="e" cm="1">
        <f t="array" aca="1" ref="BQ194" ca="1">IF(INDIRECT(ADDRESS($B194+1,BQ$164,1,1,"Confirmed Trend"))=0,#N/A,INDIRECT(ADDRESS($B194+1,BQ$164,1,1,"Confirmed Trend")))</f>
        <v>#N/A</v>
      </c>
      <c r="BR194" s="18" t="e" cm="1">
        <f t="array" aca="1" ref="BR194" ca="1">IF(INDIRECT(ADDRESS($B194+1,BR$164,1,1,"Confirmed Trend"))=0,#N/A,INDIRECT(ADDRESS($B194+1,BR$164,1,1,"Confirmed Trend")))</f>
        <v>#N/A</v>
      </c>
      <c r="BS194" s="18" t="e" cm="1">
        <f t="array" aca="1" ref="BS194" ca="1">IF(INDIRECT(ADDRESS($B194+1,BS$164,1,1,"Confirmed Trend"))=0,#N/A,INDIRECT(ADDRESS($B194+1,BS$164,1,1,"Confirmed Trend")))</f>
        <v>#N/A</v>
      </c>
      <c r="BT194" s="18" t="e" cm="1">
        <f t="array" aca="1" ref="BT194" ca="1">IF(INDIRECT(ADDRESS($B194+1,BT$164,1,1,"Confirmed Trend"))=0,#N/A,INDIRECT(ADDRESS($B194+1,BT$164,1,1,"Confirmed Trend")))</f>
        <v>#N/A</v>
      </c>
      <c r="BU194" s="18" t="e" cm="1">
        <f t="array" aca="1" ref="BU194" ca="1">IF(INDIRECT(ADDRESS($B194+1,BU$164,1,1,"Confirmed Trend"))=0,#N/A,INDIRECT(ADDRESS($B194+1,BU$164,1,1,"Confirmed Trend")))</f>
        <v>#N/A</v>
      </c>
      <c r="BV194" s="18" t="e" cm="1">
        <f t="array" aca="1" ref="BV194" ca="1">IF(INDIRECT(ADDRESS($B194+1,BV$164,1,1,"Confirmed Trend"))=0,#N/A,INDIRECT(ADDRESS($B194+1,BV$164,1,1,"Confirmed Trend")))</f>
        <v>#N/A</v>
      </c>
    </row>
    <row r="195" spans="2:74" x14ac:dyDescent="0.25">
      <c r="B195">
        <f t="shared" si="132"/>
        <v>30</v>
      </c>
      <c r="C195" cm="1">
        <f t="array" aca="1" ref="C195" ca="1">INDIRECT(ADDRESS($B195+1,1,1,1,"Confirmed Trend"))</f>
        <v>0</v>
      </c>
      <c r="E195" s="18" t="e" cm="1">
        <f t="array" aca="1" ref="E195" ca="1">IF(INDIRECT(ADDRESS($B195+1,E$164,1,1,"Confirmed Trend"))=0,#N/A,INDIRECT(ADDRESS($B195+1,E$164,1,1,"Confirmed Trend")))</f>
        <v>#N/A</v>
      </c>
      <c r="F195" s="18" t="e" cm="1">
        <f t="array" aca="1" ref="F195" ca="1">IF(INDIRECT(ADDRESS($B195+1,F$164,1,1,"Confirmed Trend"))=0,#N/A,INDIRECT(ADDRESS($B195+1,F$164,1,1,"Confirmed Trend")))</f>
        <v>#N/A</v>
      </c>
      <c r="G195" s="18" t="e" cm="1">
        <f t="array" aca="1" ref="G195" ca="1">IF(INDIRECT(ADDRESS($B195+1,G$164,1,1,"Confirmed Trend"))=0,#N/A,INDIRECT(ADDRESS($B195+1,G$164,1,1,"Confirmed Trend")))</f>
        <v>#N/A</v>
      </c>
      <c r="H195" s="18" t="e" cm="1">
        <f t="array" aca="1" ref="H195" ca="1">IF(INDIRECT(ADDRESS($B195+1,H$164,1,1,"Confirmed Trend"))=0,#N/A,INDIRECT(ADDRESS($B195+1,H$164,1,1,"Confirmed Trend")))</f>
        <v>#N/A</v>
      </c>
      <c r="I195" s="18" t="e" cm="1">
        <f t="array" aca="1" ref="I195" ca="1">IF(INDIRECT(ADDRESS($B195+1,I$164,1,1,"Confirmed Trend"))=0,#N/A,INDIRECT(ADDRESS($B195+1,I$164,1,1,"Confirmed Trend")))</f>
        <v>#N/A</v>
      </c>
      <c r="J195" s="18" t="e" cm="1">
        <f t="array" aca="1" ref="J195" ca="1">IF(INDIRECT(ADDRESS($B195+1,J$164,1,1,"Confirmed Trend"))=0,#N/A,INDIRECT(ADDRESS($B195+1,J$164,1,1,"Confirmed Trend")))</f>
        <v>#N/A</v>
      </c>
      <c r="K195" s="18" t="e" cm="1">
        <f t="array" aca="1" ref="K195" ca="1">IF(INDIRECT(ADDRESS($B195+1,K$164,1,1,"Confirmed Trend"))=0,#N/A,INDIRECT(ADDRESS($B195+1,K$164,1,1,"Confirmed Trend")))</f>
        <v>#N/A</v>
      </c>
      <c r="L195" s="18" t="e" cm="1">
        <f t="array" aca="1" ref="L195" ca="1">IF(INDIRECT(ADDRESS($B195+1,L$164,1,1,"Confirmed Trend"))=0,#N/A,INDIRECT(ADDRESS($B195+1,L$164,1,1,"Confirmed Trend")))</f>
        <v>#N/A</v>
      </c>
      <c r="M195" s="18" t="e" cm="1">
        <f t="array" aca="1" ref="M195" ca="1">IF(INDIRECT(ADDRESS($B195+1,M$164,1,1,"Confirmed Trend"))=0,#N/A,INDIRECT(ADDRESS($B195+1,M$164,1,1,"Confirmed Trend")))</f>
        <v>#N/A</v>
      </c>
      <c r="N195" s="18" t="e" cm="1">
        <f t="array" aca="1" ref="N195" ca="1">IF(INDIRECT(ADDRESS($B195+1,N$164,1,1,"Confirmed Trend"))=0,#N/A,INDIRECT(ADDRESS($B195+1,N$164,1,1,"Confirmed Trend")))</f>
        <v>#N/A</v>
      </c>
      <c r="O195" s="18" t="e" cm="1">
        <f t="array" aca="1" ref="O195" ca="1">IF(INDIRECT(ADDRESS($B195+1,O$164,1,1,"Confirmed Trend"))=0,#N/A,INDIRECT(ADDRESS($B195+1,O$164,1,1,"Confirmed Trend")))</f>
        <v>#N/A</v>
      </c>
      <c r="P195" s="18" t="e" cm="1">
        <f t="array" aca="1" ref="P195" ca="1">IF(INDIRECT(ADDRESS($B195+1,P$164,1,1,"Confirmed Trend"))=0,#N/A,INDIRECT(ADDRESS($B195+1,P$164,1,1,"Confirmed Trend")))</f>
        <v>#N/A</v>
      </c>
      <c r="Q195" s="18" t="e" cm="1">
        <f t="array" aca="1" ref="Q195" ca="1">IF(INDIRECT(ADDRESS($B195+1,Q$164,1,1,"Confirmed Trend"))=0,#N/A,INDIRECT(ADDRESS($B195+1,Q$164,1,1,"Confirmed Trend")))</f>
        <v>#N/A</v>
      </c>
      <c r="R195" s="18" t="e" cm="1">
        <f t="array" aca="1" ref="R195" ca="1">IF(INDIRECT(ADDRESS($B195+1,R$164,1,1,"Confirmed Trend"))=0,#N/A,INDIRECT(ADDRESS($B195+1,R$164,1,1,"Confirmed Trend")))</f>
        <v>#N/A</v>
      </c>
      <c r="S195" s="18" t="e" cm="1">
        <f t="array" aca="1" ref="S195" ca="1">IF(INDIRECT(ADDRESS($B195+1,S$164,1,1,"Confirmed Trend"))=0,#N/A,INDIRECT(ADDRESS($B195+1,S$164,1,1,"Confirmed Trend")))</f>
        <v>#N/A</v>
      </c>
      <c r="T195" s="18" t="e" cm="1">
        <f t="array" aca="1" ref="T195" ca="1">IF(INDIRECT(ADDRESS($B195+1,T$164,1,1,"Confirmed Trend"))=0,#N/A,INDIRECT(ADDRESS($B195+1,T$164,1,1,"Confirmed Trend")))</f>
        <v>#N/A</v>
      </c>
      <c r="U195" s="18" t="e" cm="1">
        <f t="array" aca="1" ref="U195" ca="1">IF(INDIRECT(ADDRESS($B195+1,U$164,1,1,"Confirmed Trend"))=0,#N/A,INDIRECT(ADDRESS($B195+1,U$164,1,1,"Confirmed Trend")))</f>
        <v>#N/A</v>
      </c>
      <c r="V195" s="18" t="e" cm="1">
        <f t="array" aca="1" ref="V195" ca="1">IF(INDIRECT(ADDRESS($B195+1,V$164,1,1,"Confirmed Trend"))=0,#N/A,INDIRECT(ADDRESS($B195+1,V$164,1,1,"Confirmed Trend")))</f>
        <v>#N/A</v>
      </c>
      <c r="W195" s="18" t="e" cm="1">
        <f t="array" aca="1" ref="W195" ca="1">IF(INDIRECT(ADDRESS($B195+1,W$164,1,1,"Confirmed Trend"))=0,#N/A,INDIRECT(ADDRESS($B195+1,W$164,1,1,"Confirmed Trend")))</f>
        <v>#N/A</v>
      </c>
      <c r="X195" s="18" t="e" cm="1">
        <f t="array" aca="1" ref="X195" ca="1">IF(INDIRECT(ADDRESS($B195+1,X$164,1,1,"Confirmed Trend"))=0,#N/A,INDIRECT(ADDRESS($B195+1,X$164,1,1,"Confirmed Trend")))</f>
        <v>#N/A</v>
      </c>
      <c r="Y195" s="18" t="e" cm="1">
        <f t="array" aca="1" ref="Y195" ca="1">IF(INDIRECT(ADDRESS($B195+1,Y$164,1,1,"Confirmed Trend"))=0,#N/A,INDIRECT(ADDRESS($B195+1,Y$164,1,1,"Confirmed Trend")))</f>
        <v>#N/A</v>
      </c>
      <c r="Z195" s="18" t="e" cm="1">
        <f t="array" aca="1" ref="Z195" ca="1">IF(INDIRECT(ADDRESS($B195+1,Z$164,1,1,"Confirmed Trend"))=0,#N/A,INDIRECT(ADDRESS($B195+1,Z$164,1,1,"Confirmed Trend")))</f>
        <v>#N/A</v>
      </c>
      <c r="AA195" s="18" t="e" cm="1">
        <f t="array" aca="1" ref="AA195" ca="1">IF(INDIRECT(ADDRESS($B195+1,AA$164,1,1,"Confirmed Trend"))=0,#N/A,INDIRECT(ADDRESS($B195+1,AA$164,1,1,"Confirmed Trend")))</f>
        <v>#N/A</v>
      </c>
      <c r="AB195" s="18" t="e" cm="1">
        <f t="array" aca="1" ref="AB195" ca="1">IF(INDIRECT(ADDRESS($B195+1,AB$164,1,1,"Confirmed Trend"))=0,#N/A,INDIRECT(ADDRESS($B195+1,AB$164,1,1,"Confirmed Trend")))</f>
        <v>#N/A</v>
      </c>
      <c r="AC195" s="18" t="e" cm="1">
        <f t="array" aca="1" ref="AC195" ca="1">IF(INDIRECT(ADDRESS($B195+1,AC$164,1,1,"Confirmed Trend"))=0,#N/A,INDIRECT(ADDRESS($B195+1,AC$164,1,1,"Confirmed Trend")))</f>
        <v>#N/A</v>
      </c>
      <c r="AD195" s="18" t="e" cm="1">
        <f t="array" aca="1" ref="AD195" ca="1">IF(INDIRECT(ADDRESS($B195+1,AD$164,1,1,"Confirmed Trend"))=0,#N/A,INDIRECT(ADDRESS($B195+1,AD$164,1,1,"Confirmed Trend")))</f>
        <v>#N/A</v>
      </c>
      <c r="AE195" s="18" t="e" cm="1">
        <f t="array" aca="1" ref="AE195" ca="1">IF(INDIRECT(ADDRESS($B195+1,AE$164,1,1,"Confirmed Trend"))=0,#N/A,INDIRECT(ADDRESS($B195+1,AE$164,1,1,"Confirmed Trend")))</f>
        <v>#N/A</v>
      </c>
      <c r="AF195" s="18" t="e" cm="1">
        <f t="array" aca="1" ref="AF195" ca="1">IF(INDIRECT(ADDRESS($B195+1,AF$164,1,1,"Confirmed Trend"))=0,#N/A,INDIRECT(ADDRESS($B195+1,AF$164,1,1,"Confirmed Trend")))</f>
        <v>#N/A</v>
      </c>
      <c r="AG195" s="18" t="e" cm="1">
        <f t="array" aca="1" ref="AG195" ca="1">IF(INDIRECT(ADDRESS($B195+1,AG$164,1,1,"Confirmed Trend"))=0,#N/A,INDIRECT(ADDRESS($B195+1,AG$164,1,1,"Confirmed Trend")))</f>
        <v>#N/A</v>
      </c>
      <c r="AH195" s="18" t="e" cm="1">
        <f t="array" aca="1" ref="AH195" ca="1">IF(INDIRECT(ADDRESS($B195+1,AH$164,1,1,"Confirmed Trend"))=0,#N/A,INDIRECT(ADDRESS($B195+1,AH$164,1,1,"Confirmed Trend")))</f>
        <v>#N/A</v>
      </c>
      <c r="AI195" s="18" t="e" cm="1">
        <f t="array" aca="1" ref="AI195" ca="1">IF(INDIRECT(ADDRESS($B195+1,AI$164,1,1,"Confirmed Trend"))=0,#N/A,INDIRECT(ADDRESS($B195+1,AI$164,1,1,"Confirmed Trend")))</f>
        <v>#N/A</v>
      </c>
      <c r="AJ195" s="18" t="e" cm="1">
        <f t="array" aca="1" ref="AJ195" ca="1">IF(INDIRECT(ADDRESS($B195+1,AJ$164,1,1,"Confirmed Trend"))=0,#N/A,INDIRECT(ADDRESS($B195+1,AJ$164,1,1,"Confirmed Trend")))</f>
        <v>#N/A</v>
      </c>
      <c r="AK195" s="18" t="e" cm="1">
        <f t="array" aca="1" ref="AK195" ca="1">IF(INDIRECT(ADDRESS($B195+1,AK$164,1,1,"Confirmed Trend"))=0,#N/A,INDIRECT(ADDRESS($B195+1,AK$164,1,1,"Confirmed Trend")))</f>
        <v>#N/A</v>
      </c>
      <c r="AL195" s="18" t="e" cm="1">
        <f t="array" aca="1" ref="AL195" ca="1">IF(INDIRECT(ADDRESS($B195+1,AL$164,1,1,"Confirmed Trend"))=0,#N/A,INDIRECT(ADDRESS($B195+1,AL$164,1,1,"Confirmed Trend")))</f>
        <v>#N/A</v>
      </c>
      <c r="AM195" s="18" t="e" cm="1">
        <f t="array" aca="1" ref="AM195" ca="1">IF(INDIRECT(ADDRESS($B195+1,AM$164,1,1,"Confirmed Trend"))=0,#N/A,INDIRECT(ADDRESS($B195+1,AM$164,1,1,"Confirmed Trend")))</f>
        <v>#N/A</v>
      </c>
      <c r="AN195" s="18" t="e" cm="1">
        <f t="array" aca="1" ref="AN195" ca="1">IF(INDIRECT(ADDRESS($B195+1,AN$164,1,1,"Confirmed Trend"))=0,#N/A,INDIRECT(ADDRESS($B195+1,AN$164,1,1,"Confirmed Trend")))</f>
        <v>#N/A</v>
      </c>
      <c r="AO195" s="18" t="e" cm="1">
        <f t="array" aca="1" ref="AO195" ca="1">IF(INDIRECT(ADDRESS($B195+1,AO$164,1,1,"Confirmed Trend"))=0,#N/A,INDIRECT(ADDRESS($B195+1,AO$164,1,1,"Confirmed Trend")))</f>
        <v>#N/A</v>
      </c>
      <c r="AP195" s="18" t="e" cm="1">
        <f t="array" aca="1" ref="AP195" ca="1">IF(INDIRECT(ADDRESS($B195+1,AP$164,1,1,"Confirmed Trend"))=0,#N/A,INDIRECT(ADDRESS($B195+1,AP$164,1,1,"Confirmed Trend")))</f>
        <v>#N/A</v>
      </c>
      <c r="AQ195" s="18" t="e" cm="1">
        <f t="array" aca="1" ref="AQ195" ca="1">IF(INDIRECT(ADDRESS($B195+1,AQ$164,1,1,"Confirmed Trend"))=0,#N/A,INDIRECT(ADDRESS($B195+1,AQ$164,1,1,"Confirmed Trend")))</f>
        <v>#N/A</v>
      </c>
      <c r="AR195" s="18" t="e" cm="1">
        <f t="array" aca="1" ref="AR195" ca="1">IF(INDIRECT(ADDRESS($B195+1,AR$164,1,1,"Confirmed Trend"))=0,#N/A,INDIRECT(ADDRESS($B195+1,AR$164,1,1,"Confirmed Trend")))</f>
        <v>#N/A</v>
      </c>
      <c r="AS195" s="18" t="e" cm="1">
        <f t="array" aca="1" ref="AS195" ca="1">IF(INDIRECT(ADDRESS($B195+1,AS$164,1,1,"Confirmed Trend"))=0,#N/A,INDIRECT(ADDRESS($B195+1,AS$164,1,1,"Confirmed Trend")))</f>
        <v>#N/A</v>
      </c>
      <c r="AT195" s="18" t="e" cm="1">
        <f t="array" aca="1" ref="AT195" ca="1">IF(INDIRECT(ADDRESS($B195+1,AT$164,1,1,"Confirmed Trend"))=0,#N/A,INDIRECT(ADDRESS($B195+1,AT$164,1,1,"Confirmed Trend")))</f>
        <v>#N/A</v>
      </c>
      <c r="AU195" s="18" t="e" cm="1">
        <f t="array" aca="1" ref="AU195" ca="1">IF(INDIRECT(ADDRESS($B195+1,AU$164,1,1,"Confirmed Trend"))=0,#N/A,INDIRECT(ADDRESS($B195+1,AU$164,1,1,"Confirmed Trend")))</f>
        <v>#N/A</v>
      </c>
      <c r="AV195" s="18" t="e" cm="1">
        <f t="array" aca="1" ref="AV195" ca="1">IF(INDIRECT(ADDRESS($B195+1,AV$164,1,1,"Confirmed Trend"))=0,#N/A,INDIRECT(ADDRESS($B195+1,AV$164,1,1,"Confirmed Trend")))</f>
        <v>#N/A</v>
      </c>
      <c r="AW195" s="18" t="e" cm="1">
        <f t="array" aca="1" ref="AW195" ca="1">IF(INDIRECT(ADDRESS($B195+1,AW$164,1,1,"Confirmed Trend"))=0,#N/A,INDIRECT(ADDRESS($B195+1,AW$164,1,1,"Confirmed Trend")))</f>
        <v>#N/A</v>
      </c>
      <c r="AX195" s="18" t="e" cm="1">
        <f t="array" aca="1" ref="AX195" ca="1">IF(INDIRECT(ADDRESS($B195+1,AX$164,1,1,"Confirmed Trend"))=0,#N/A,INDIRECT(ADDRESS($B195+1,AX$164,1,1,"Confirmed Trend")))</f>
        <v>#N/A</v>
      </c>
      <c r="AY195" s="18" t="e" cm="1">
        <f t="array" aca="1" ref="AY195" ca="1">IF(INDIRECT(ADDRESS($B195+1,AY$164,1,1,"Confirmed Trend"))=0,#N/A,INDIRECT(ADDRESS($B195+1,AY$164,1,1,"Confirmed Trend")))</f>
        <v>#N/A</v>
      </c>
      <c r="AZ195" s="18" t="e" cm="1">
        <f t="array" aca="1" ref="AZ195" ca="1">IF(INDIRECT(ADDRESS($B195+1,AZ$164,1,1,"Confirmed Trend"))=0,#N/A,INDIRECT(ADDRESS($B195+1,AZ$164,1,1,"Confirmed Trend")))</f>
        <v>#N/A</v>
      </c>
      <c r="BA195" s="18" t="e" cm="1">
        <f t="array" aca="1" ref="BA195" ca="1">IF(INDIRECT(ADDRESS($B195+1,BA$164,1,1,"Confirmed Trend"))=0,#N/A,INDIRECT(ADDRESS($B195+1,BA$164,1,1,"Confirmed Trend")))</f>
        <v>#N/A</v>
      </c>
      <c r="BB195" s="18" t="e" cm="1">
        <f t="array" aca="1" ref="BB195" ca="1">IF(INDIRECT(ADDRESS($B195+1,BB$164,1,1,"Confirmed Trend"))=0,#N/A,INDIRECT(ADDRESS($B195+1,BB$164,1,1,"Confirmed Trend")))</f>
        <v>#N/A</v>
      </c>
      <c r="BC195" s="18" t="e" cm="1">
        <f t="array" aca="1" ref="BC195" ca="1">IF(INDIRECT(ADDRESS($B195+1,BC$164,1,1,"Confirmed Trend"))=0,#N/A,INDIRECT(ADDRESS($B195+1,BC$164,1,1,"Confirmed Trend")))</f>
        <v>#N/A</v>
      </c>
      <c r="BD195" s="18" t="e" cm="1">
        <f t="array" aca="1" ref="BD195" ca="1">IF(INDIRECT(ADDRESS($B195+1,BD$164,1,1,"Confirmed Trend"))=0,#N/A,INDIRECT(ADDRESS($B195+1,BD$164,1,1,"Confirmed Trend")))</f>
        <v>#N/A</v>
      </c>
      <c r="BE195" s="18" t="e" cm="1">
        <f t="array" aca="1" ref="BE195" ca="1">IF(INDIRECT(ADDRESS($B195+1,BE$164,1,1,"Confirmed Trend"))=0,#N/A,INDIRECT(ADDRESS($B195+1,BE$164,1,1,"Confirmed Trend")))</f>
        <v>#N/A</v>
      </c>
      <c r="BF195" s="18" t="e" cm="1">
        <f t="array" aca="1" ref="BF195" ca="1">IF(INDIRECT(ADDRESS($B195+1,BF$164,1,1,"Confirmed Trend"))=0,#N/A,INDIRECT(ADDRESS($B195+1,BF$164,1,1,"Confirmed Trend")))</f>
        <v>#N/A</v>
      </c>
      <c r="BG195" s="18" t="e" cm="1">
        <f t="array" aca="1" ref="BG195" ca="1">IF(INDIRECT(ADDRESS($B195+1,BG$164,1,1,"Confirmed Trend"))=0,#N/A,INDIRECT(ADDRESS($B195+1,BG$164,1,1,"Confirmed Trend")))</f>
        <v>#N/A</v>
      </c>
      <c r="BH195" s="18" t="e" cm="1">
        <f t="array" aca="1" ref="BH195" ca="1">IF(INDIRECT(ADDRESS($B195+1,BH$164,1,1,"Confirmed Trend"))=0,#N/A,INDIRECT(ADDRESS($B195+1,BH$164,1,1,"Confirmed Trend")))</f>
        <v>#N/A</v>
      </c>
      <c r="BI195" s="18" t="e" cm="1">
        <f t="array" aca="1" ref="BI195" ca="1">IF(INDIRECT(ADDRESS($B195+1,BI$164,1,1,"Confirmed Trend"))=0,#N/A,INDIRECT(ADDRESS($B195+1,BI$164,1,1,"Confirmed Trend")))</f>
        <v>#N/A</v>
      </c>
      <c r="BJ195" s="18" t="e" cm="1">
        <f t="array" aca="1" ref="BJ195" ca="1">IF(INDIRECT(ADDRESS($B195+1,BJ$164,1,1,"Confirmed Trend"))=0,#N/A,INDIRECT(ADDRESS($B195+1,BJ$164,1,1,"Confirmed Trend")))</f>
        <v>#N/A</v>
      </c>
      <c r="BK195" s="18" t="e" cm="1">
        <f t="array" aca="1" ref="BK195" ca="1">IF(INDIRECT(ADDRESS($B195+1,BK$164,1,1,"Confirmed Trend"))=0,#N/A,INDIRECT(ADDRESS($B195+1,BK$164,1,1,"Confirmed Trend")))</f>
        <v>#N/A</v>
      </c>
      <c r="BL195" s="18" t="e" cm="1">
        <f t="array" aca="1" ref="BL195" ca="1">IF(INDIRECT(ADDRESS($B195+1,BL$164,1,1,"Confirmed Trend"))=0,#N/A,INDIRECT(ADDRESS($B195+1,BL$164,1,1,"Confirmed Trend")))</f>
        <v>#N/A</v>
      </c>
      <c r="BM195" s="18" t="e" cm="1">
        <f t="array" aca="1" ref="BM195" ca="1">IF(INDIRECT(ADDRESS($B195+1,BM$164,1,1,"Confirmed Trend"))=0,#N/A,INDIRECT(ADDRESS($B195+1,BM$164,1,1,"Confirmed Trend")))</f>
        <v>#N/A</v>
      </c>
      <c r="BN195" s="18" t="e" cm="1">
        <f t="array" aca="1" ref="BN195" ca="1">IF(INDIRECT(ADDRESS($B195+1,BN$164,1,1,"Confirmed Trend"))=0,#N/A,INDIRECT(ADDRESS($B195+1,BN$164,1,1,"Confirmed Trend")))</f>
        <v>#N/A</v>
      </c>
      <c r="BO195" s="18" t="e" cm="1">
        <f t="array" aca="1" ref="BO195" ca="1">IF(INDIRECT(ADDRESS($B195+1,BO$164,1,1,"Confirmed Trend"))=0,#N/A,INDIRECT(ADDRESS($B195+1,BO$164,1,1,"Confirmed Trend")))</f>
        <v>#N/A</v>
      </c>
      <c r="BP195" s="18" t="e" cm="1">
        <f t="array" aca="1" ref="BP195" ca="1">IF(INDIRECT(ADDRESS($B195+1,BP$164,1,1,"Confirmed Trend"))=0,#N/A,INDIRECT(ADDRESS($B195+1,BP$164,1,1,"Confirmed Trend")))</f>
        <v>#N/A</v>
      </c>
      <c r="BQ195" s="18" t="e" cm="1">
        <f t="array" aca="1" ref="BQ195" ca="1">IF(INDIRECT(ADDRESS($B195+1,BQ$164,1,1,"Confirmed Trend"))=0,#N/A,INDIRECT(ADDRESS($B195+1,BQ$164,1,1,"Confirmed Trend")))</f>
        <v>#N/A</v>
      </c>
      <c r="BR195" s="18" t="e" cm="1">
        <f t="array" aca="1" ref="BR195" ca="1">IF(INDIRECT(ADDRESS($B195+1,BR$164,1,1,"Confirmed Trend"))=0,#N/A,INDIRECT(ADDRESS($B195+1,BR$164,1,1,"Confirmed Trend")))</f>
        <v>#N/A</v>
      </c>
      <c r="BS195" s="18" t="e" cm="1">
        <f t="array" aca="1" ref="BS195" ca="1">IF(INDIRECT(ADDRESS($B195+1,BS$164,1,1,"Confirmed Trend"))=0,#N/A,INDIRECT(ADDRESS($B195+1,BS$164,1,1,"Confirmed Trend")))</f>
        <v>#N/A</v>
      </c>
      <c r="BT195" s="18" t="e" cm="1">
        <f t="array" aca="1" ref="BT195" ca="1">IF(INDIRECT(ADDRESS($B195+1,BT$164,1,1,"Confirmed Trend"))=0,#N/A,INDIRECT(ADDRESS($B195+1,BT$164,1,1,"Confirmed Trend")))</f>
        <v>#N/A</v>
      </c>
      <c r="BU195" s="18" t="e" cm="1">
        <f t="array" aca="1" ref="BU195" ca="1">IF(INDIRECT(ADDRESS($B195+1,BU$164,1,1,"Confirmed Trend"))=0,#N/A,INDIRECT(ADDRESS($B195+1,BU$164,1,1,"Confirmed Trend")))</f>
        <v>#N/A</v>
      </c>
      <c r="BV195" s="18" t="e" cm="1">
        <f t="array" aca="1" ref="BV195" ca="1">IF(INDIRECT(ADDRESS($B195+1,BV$164,1,1,"Confirmed Trend"))=0,#N/A,INDIRECT(ADDRESS($B195+1,BV$164,1,1,"Confirmed Trend")))</f>
        <v>#N/A</v>
      </c>
    </row>
    <row r="196" spans="2:74" x14ac:dyDescent="0.25">
      <c r="B196">
        <f t="shared" si="132"/>
        <v>31</v>
      </c>
      <c r="C196" cm="1">
        <f t="array" aca="1" ref="C196" ca="1">INDIRECT(ADDRESS($B196+1,1,1,1,"Confirmed Trend"))</f>
        <v>0</v>
      </c>
      <c r="E196" s="18" t="e" cm="1">
        <f t="array" aca="1" ref="E196" ca="1">IF(INDIRECT(ADDRESS($B196+1,E$164,1,1,"Confirmed Trend"))=0,#N/A,INDIRECT(ADDRESS($B196+1,E$164,1,1,"Confirmed Trend")))</f>
        <v>#N/A</v>
      </c>
      <c r="F196" s="18" t="e" cm="1">
        <f t="array" aca="1" ref="F196" ca="1">IF(INDIRECT(ADDRESS($B196+1,F$164,1,1,"Confirmed Trend"))=0,#N/A,INDIRECT(ADDRESS($B196+1,F$164,1,1,"Confirmed Trend")))</f>
        <v>#N/A</v>
      </c>
      <c r="G196" s="18" t="e" cm="1">
        <f t="array" aca="1" ref="G196" ca="1">IF(INDIRECT(ADDRESS($B196+1,G$164,1,1,"Confirmed Trend"))=0,#N/A,INDIRECT(ADDRESS($B196+1,G$164,1,1,"Confirmed Trend")))</f>
        <v>#N/A</v>
      </c>
      <c r="H196" s="18" t="e" cm="1">
        <f t="array" aca="1" ref="H196" ca="1">IF(INDIRECT(ADDRESS($B196+1,H$164,1,1,"Confirmed Trend"))=0,#N/A,INDIRECT(ADDRESS($B196+1,H$164,1,1,"Confirmed Trend")))</f>
        <v>#N/A</v>
      </c>
      <c r="I196" s="18" t="e" cm="1">
        <f t="array" aca="1" ref="I196" ca="1">IF(INDIRECT(ADDRESS($B196+1,I$164,1,1,"Confirmed Trend"))=0,#N/A,INDIRECT(ADDRESS($B196+1,I$164,1,1,"Confirmed Trend")))</f>
        <v>#N/A</v>
      </c>
      <c r="J196" s="18" t="e" cm="1">
        <f t="array" aca="1" ref="J196" ca="1">IF(INDIRECT(ADDRESS($B196+1,J$164,1,1,"Confirmed Trend"))=0,#N/A,INDIRECT(ADDRESS($B196+1,J$164,1,1,"Confirmed Trend")))</f>
        <v>#N/A</v>
      </c>
      <c r="K196" s="18" t="e" cm="1">
        <f t="array" aca="1" ref="K196" ca="1">IF(INDIRECT(ADDRESS($B196+1,K$164,1,1,"Confirmed Trend"))=0,#N/A,INDIRECT(ADDRESS($B196+1,K$164,1,1,"Confirmed Trend")))</f>
        <v>#N/A</v>
      </c>
      <c r="L196" s="18" t="e" cm="1">
        <f t="array" aca="1" ref="L196" ca="1">IF(INDIRECT(ADDRESS($B196+1,L$164,1,1,"Confirmed Trend"))=0,#N/A,INDIRECT(ADDRESS($B196+1,L$164,1,1,"Confirmed Trend")))</f>
        <v>#N/A</v>
      </c>
      <c r="M196" s="18" t="e" cm="1">
        <f t="array" aca="1" ref="M196" ca="1">IF(INDIRECT(ADDRESS($B196+1,M$164,1,1,"Confirmed Trend"))=0,#N/A,INDIRECT(ADDRESS($B196+1,M$164,1,1,"Confirmed Trend")))</f>
        <v>#N/A</v>
      </c>
      <c r="N196" s="18" t="e" cm="1">
        <f t="array" aca="1" ref="N196" ca="1">IF(INDIRECT(ADDRESS($B196+1,N$164,1,1,"Confirmed Trend"))=0,#N/A,INDIRECT(ADDRESS($B196+1,N$164,1,1,"Confirmed Trend")))</f>
        <v>#N/A</v>
      </c>
      <c r="O196" s="18" t="e" cm="1">
        <f t="array" aca="1" ref="O196" ca="1">IF(INDIRECT(ADDRESS($B196+1,O$164,1,1,"Confirmed Trend"))=0,#N/A,INDIRECT(ADDRESS($B196+1,O$164,1,1,"Confirmed Trend")))</f>
        <v>#N/A</v>
      </c>
      <c r="P196" s="18" t="e" cm="1">
        <f t="array" aca="1" ref="P196" ca="1">IF(INDIRECT(ADDRESS($B196+1,P$164,1,1,"Confirmed Trend"))=0,#N/A,INDIRECT(ADDRESS($B196+1,P$164,1,1,"Confirmed Trend")))</f>
        <v>#N/A</v>
      </c>
      <c r="Q196" s="18" t="e" cm="1">
        <f t="array" aca="1" ref="Q196" ca="1">IF(INDIRECT(ADDRESS($B196+1,Q$164,1,1,"Confirmed Trend"))=0,#N/A,INDIRECT(ADDRESS($B196+1,Q$164,1,1,"Confirmed Trend")))</f>
        <v>#N/A</v>
      </c>
      <c r="R196" s="18" t="e" cm="1">
        <f t="array" aca="1" ref="R196" ca="1">IF(INDIRECT(ADDRESS($B196+1,R$164,1,1,"Confirmed Trend"))=0,#N/A,INDIRECT(ADDRESS($B196+1,R$164,1,1,"Confirmed Trend")))</f>
        <v>#N/A</v>
      </c>
      <c r="S196" s="18" t="e" cm="1">
        <f t="array" aca="1" ref="S196" ca="1">IF(INDIRECT(ADDRESS($B196+1,S$164,1,1,"Confirmed Trend"))=0,#N/A,INDIRECT(ADDRESS($B196+1,S$164,1,1,"Confirmed Trend")))</f>
        <v>#N/A</v>
      </c>
      <c r="T196" s="18" t="e" cm="1">
        <f t="array" aca="1" ref="T196" ca="1">IF(INDIRECT(ADDRESS($B196+1,T$164,1,1,"Confirmed Trend"))=0,#N/A,INDIRECT(ADDRESS($B196+1,T$164,1,1,"Confirmed Trend")))</f>
        <v>#N/A</v>
      </c>
      <c r="U196" s="18" t="e" cm="1">
        <f t="array" aca="1" ref="U196" ca="1">IF(INDIRECT(ADDRESS($B196+1,U$164,1,1,"Confirmed Trend"))=0,#N/A,INDIRECT(ADDRESS($B196+1,U$164,1,1,"Confirmed Trend")))</f>
        <v>#N/A</v>
      </c>
      <c r="V196" s="18" t="e" cm="1">
        <f t="array" aca="1" ref="V196" ca="1">IF(INDIRECT(ADDRESS($B196+1,V$164,1,1,"Confirmed Trend"))=0,#N/A,INDIRECT(ADDRESS($B196+1,V$164,1,1,"Confirmed Trend")))</f>
        <v>#N/A</v>
      </c>
      <c r="W196" s="18" t="e" cm="1">
        <f t="array" aca="1" ref="W196" ca="1">IF(INDIRECT(ADDRESS($B196+1,W$164,1,1,"Confirmed Trend"))=0,#N/A,INDIRECT(ADDRESS($B196+1,W$164,1,1,"Confirmed Trend")))</f>
        <v>#N/A</v>
      </c>
      <c r="X196" s="18" t="e" cm="1">
        <f t="array" aca="1" ref="X196" ca="1">IF(INDIRECT(ADDRESS($B196+1,X$164,1,1,"Confirmed Trend"))=0,#N/A,INDIRECT(ADDRESS($B196+1,X$164,1,1,"Confirmed Trend")))</f>
        <v>#N/A</v>
      </c>
      <c r="Y196" s="18" t="e" cm="1">
        <f t="array" aca="1" ref="Y196" ca="1">IF(INDIRECT(ADDRESS($B196+1,Y$164,1,1,"Confirmed Trend"))=0,#N/A,INDIRECT(ADDRESS($B196+1,Y$164,1,1,"Confirmed Trend")))</f>
        <v>#N/A</v>
      </c>
      <c r="Z196" s="18" t="e" cm="1">
        <f t="array" aca="1" ref="Z196" ca="1">IF(INDIRECT(ADDRESS($B196+1,Z$164,1,1,"Confirmed Trend"))=0,#N/A,INDIRECT(ADDRESS($B196+1,Z$164,1,1,"Confirmed Trend")))</f>
        <v>#N/A</v>
      </c>
      <c r="AA196" s="18" t="e" cm="1">
        <f t="array" aca="1" ref="AA196" ca="1">IF(INDIRECT(ADDRESS($B196+1,AA$164,1,1,"Confirmed Trend"))=0,#N/A,INDIRECT(ADDRESS($B196+1,AA$164,1,1,"Confirmed Trend")))</f>
        <v>#N/A</v>
      </c>
      <c r="AB196" s="18" t="e" cm="1">
        <f t="array" aca="1" ref="AB196" ca="1">IF(INDIRECT(ADDRESS($B196+1,AB$164,1,1,"Confirmed Trend"))=0,#N/A,INDIRECT(ADDRESS($B196+1,AB$164,1,1,"Confirmed Trend")))</f>
        <v>#N/A</v>
      </c>
      <c r="AC196" s="18" t="e" cm="1">
        <f t="array" aca="1" ref="AC196" ca="1">IF(INDIRECT(ADDRESS($B196+1,AC$164,1,1,"Confirmed Trend"))=0,#N/A,INDIRECT(ADDRESS($B196+1,AC$164,1,1,"Confirmed Trend")))</f>
        <v>#N/A</v>
      </c>
      <c r="AD196" s="18" t="e" cm="1">
        <f t="array" aca="1" ref="AD196" ca="1">IF(INDIRECT(ADDRESS($B196+1,AD$164,1,1,"Confirmed Trend"))=0,#N/A,INDIRECT(ADDRESS($B196+1,AD$164,1,1,"Confirmed Trend")))</f>
        <v>#N/A</v>
      </c>
      <c r="AE196" s="18" t="e" cm="1">
        <f t="array" aca="1" ref="AE196" ca="1">IF(INDIRECT(ADDRESS($B196+1,AE$164,1,1,"Confirmed Trend"))=0,#N/A,INDIRECT(ADDRESS($B196+1,AE$164,1,1,"Confirmed Trend")))</f>
        <v>#N/A</v>
      </c>
      <c r="AF196" s="18" t="e" cm="1">
        <f t="array" aca="1" ref="AF196" ca="1">IF(INDIRECT(ADDRESS($B196+1,AF$164,1,1,"Confirmed Trend"))=0,#N/A,INDIRECT(ADDRESS($B196+1,AF$164,1,1,"Confirmed Trend")))</f>
        <v>#N/A</v>
      </c>
      <c r="AG196" s="18" t="e" cm="1">
        <f t="array" aca="1" ref="AG196" ca="1">IF(INDIRECT(ADDRESS($B196+1,AG$164,1,1,"Confirmed Trend"))=0,#N/A,INDIRECT(ADDRESS($B196+1,AG$164,1,1,"Confirmed Trend")))</f>
        <v>#N/A</v>
      </c>
      <c r="AH196" s="18" t="e" cm="1">
        <f t="array" aca="1" ref="AH196" ca="1">IF(INDIRECT(ADDRESS($B196+1,AH$164,1,1,"Confirmed Trend"))=0,#N/A,INDIRECT(ADDRESS($B196+1,AH$164,1,1,"Confirmed Trend")))</f>
        <v>#N/A</v>
      </c>
      <c r="AI196" s="18" t="e" cm="1">
        <f t="array" aca="1" ref="AI196" ca="1">IF(INDIRECT(ADDRESS($B196+1,AI$164,1,1,"Confirmed Trend"))=0,#N/A,INDIRECT(ADDRESS($B196+1,AI$164,1,1,"Confirmed Trend")))</f>
        <v>#N/A</v>
      </c>
      <c r="AJ196" s="18" t="e" cm="1">
        <f t="array" aca="1" ref="AJ196" ca="1">IF(INDIRECT(ADDRESS($B196+1,AJ$164,1,1,"Confirmed Trend"))=0,#N/A,INDIRECT(ADDRESS($B196+1,AJ$164,1,1,"Confirmed Trend")))</f>
        <v>#N/A</v>
      </c>
      <c r="AK196" s="18" t="e" cm="1">
        <f t="array" aca="1" ref="AK196" ca="1">IF(INDIRECT(ADDRESS($B196+1,AK$164,1,1,"Confirmed Trend"))=0,#N/A,INDIRECT(ADDRESS($B196+1,AK$164,1,1,"Confirmed Trend")))</f>
        <v>#N/A</v>
      </c>
      <c r="AL196" s="18" t="e" cm="1">
        <f t="array" aca="1" ref="AL196" ca="1">IF(INDIRECT(ADDRESS($B196+1,AL$164,1,1,"Confirmed Trend"))=0,#N/A,INDIRECT(ADDRESS($B196+1,AL$164,1,1,"Confirmed Trend")))</f>
        <v>#N/A</v>
      </c>
      <c r="AM196" s="18" t="e" cm="1">
        <f t="array" aca="1" ref="AM196" ca="1">IF(INDIRECT(ADDRESS($B196+1,AM$164,1,1,"Confirmed Trend"))=0,#N/A,INDIRECT(ADDRESS($B196+1,AM$164,1,1,"Confirmed Trend")))</f>
        <v>#N/A</v>
      </c>
      <c r="AN196" s="18" t="e" cm="1">
        <f t="array" aca="1" ref="AN196" ca="1">IF(INDIRECT(ADDRESS($B196+1,AN$164,1,1,"Confirmed Trend"))=0,#N/A,INDIRECT(ADDRESS($B196+1,AN$164,1,1,"Confirmed Trend")))</f>
        <v>#N/A</v>
      </c>
      <c r="AO196" s="18" t="e" cm="1">
        <f t="array" aca="1" ref="AO196" ca="1">IF(INDIRECT(ADDRESS($B196+1,AO$164,1,1,"Confirmed Trend"))=0,#N/A,INDIRECT(ADDRESS($B196+1,AO$164,1,1,"Confirmed Trend")))</f>
        <v>#N/A</v>
      </c>
      <c r="AP196" s="18" t="e" cm="1">
        <f t="array" aca="1" ref="AP196" ca="1">IF(INDIRECT(ADDRESS($B196+1,AP$164,1,1,"Confirmed Trend"))=0,#N/A,INDIRECT(ADDRESS($B196+1,AP$164,1,1,"Confirmed Trend")))</f>
        <v>#N/A</v>
      </c>
      <c r="AQ196" s="18" t="e" cm="1">
        <f t="array" aca="1" ref="AQ196" ca="1">IF(INDIRECT(ADDRESS($B196+1,AQ$164,1,1,"Confirmed Trend"))=0,#N/A,INDIRECT(ADDRESS($B196+1,AQ$164,1,1,"Confirmed Trend")))</f>
        <v>#N/A</v>
      </c>
      <c r="AR196" s="18" t="e" cm="1">
        <f t="array" aca="1" ref="AR196" ca="1">IF(INDIRECT(ADDRESS($B196+1,AR$164,1,1,"Confirmed Trend"))=0,#N/A,INDIRECT(ADDRESS($B196+1,AR$164,1,1,"Confirmed Trend")))</f>
        <v>#N/A</v>
      </c>
      <c r="AS196" s="18" t="e" cm="1">
        <f t="array" aca="1" ref="AS196" ca="1">IF(INDIRECT(ADDRESS($B196+1,AS$164,1,1,"Confirmed Trend"))=0,#N/A,INDIRECT(ADDRESS($B196+1,AS$164,1,1,"Confirmed Trend")))</f>
        <v>#N/A</v>
      </c>
      <c r="AT196" s="18" t="e" cm="1">
        <f t="array" aca="1" ref="AT196" ca="1">IF(INDIRECT(ADDRESS($B196+1,AT$164,1,1,"Confirmed Trend"))=0,#N/A,INDIRECT(ADDRESS($B196+1,AT$164,1,1,"Confirmed Trend")))</f>
        <v>#N/A</v>
      </c>
      <c r="AU196" s="18" t="e" cm="1">
        <f t="array" aca="1" ref="AU196" ca="1">IF(INDIRECT(ADDRESS($B196+1,AU$164,1,1,"Confirmed Trend"))=0,#N/A,INDIRECT(ADDRESS($B196+1,AU$164,1,1,"Confirmed Trend")))</f>
        <v>#N/A</v>
      </c>
      <c r="AV196" s="18" t="e" cm="1">
        <f t="array" aca="1" ref="AV196" ca="1">IF(INDIRECT(ADDRESS($B196+1,AV$164,1,1,"Confirmed Trend"))=0,#N/A,INDIRECT(ADDRESS($B196+1,AV$164,1,1,"Confirmed Trend")))</f>
        <v>#N/A</v>
      </c>
      <c r="AW196" s="18" t="e" cm="1">
        <f t="array" aca="1" ref="AW196" ca="1">IF(INDIRECT(ADDRESS($B196+1,AW$164,1,1,"Confirmed Trend"))=0,#N/A,INDIRECT(ADDRESS($B196+1,AW$164,1,1,"Confirmed Trend")))</f>
        <v>#N/A</v>
      </c>
      <c r="AX196" s="18" t="e" cm="1">
        <f t="array" aca="1" ref="AX196" ca="1">IF(INDIRECT(ADDRESS($B196+1,AX$164,1,1,"Confirmed Trend"))=0,#N/A,INDIRECT(ADDRESS($B196+1,AX$164,1,1,"Confirmed Trend")))</f>
        <v>#N/A</v>
      </c>
      <c r="AY196" s="18" t="e" cm="1">
        <f t="array" aca="1" ref="AY196" ca="1">IF(INDIRECT(ADDRESS($B196+1,AY$164,1,1,"Confirmed Trend"))=0,#N/A,INDIRECT(ADDRESS($B196+1,AY$164,1,1,"Confirmed Trend")))</f>
        <v>#N/A</v>
      </c>
      <c r="AZ196" s="18" t="e" cm="1">
        <f t="array" aca="1" ref="AZ196" ca="1">IF(INDIRECT(ADDRESS($B196+1,AZ$164,1,1,"Confirmed Trend"))=0,#N/A,INDIRECT(ADDRESS($B196+1,AZ$164,1,1,"Confirmed Trend")))</f>
        <v>#N/A</v>
      </c>
      <c r="BA196" s="18" t="e" cm="1">
        <f t="array" aca="1" ref="BA196" ca="1">IF(INDIRECT(ADDRESS($B196+1,BA$164,1,1,"Confirmed Trend"))=0,#N/A,INDIRECT(ADDRESS($B196+1,BA$164,1,1,"Confirmed Trend")))</f>
        <v>#N/A</v>
      </c>
      <c r="BB196" s="18" t="e" cm="1">
        <f t="array" aca="1" ref="BB196" ca="1">IF(INDIRECT(ADDRESS($B196+1,BB$164,1,1,"Confirmed Trend"))=0,#N/A,INDIRECT(ADDRESS($B196+1,BB$164,1,1,"Confirmed Trend")))</f>
        <v>#N/A</v>
      </c>
      <c r="BC196" s="18" t="e" cm="1">
        <f t="array" aca="1" ref="BC196" ca="1">IF(INDIRECT(ADDRESS($B196+1,BC$164,1,1,"Confirmed Trend"))=0,#N/A,INDIRECT(ADDRESS($B196+1,BC$164,1,1,"Confirmed Trend")))</f>
        <v>#N/A</v>
      </c>
      <c r="BD196" s="18" t="e" cm="1">
        <f t="array" aca="1" ref="BD196" ca="1">IF(INDIRECT(ADDRESS($B196+1,BD$164,1,1,"Confirmed Trend"))=0,#N/A,INDIRECT(ADDRESS($B196+1,BD$164,1,1,"Confirmed Trend")))</f>
        <v>#N/A</v>
      </c>
      <c r="BE196" s="18" t="e" cm="1">
        <f t="array" aca="1" ref="BE196" ca="1">IF(INDIRECT(ADDRESS($B196+1,BE$164,1,1,"Confirmed Trend"))=0,#N/A,INDIRECT(ADDRESS($B196+1,BE$164,1,1,"Confirmed Trend")))</f>
        <v>#N/A</v>
      </c>
      <c r="BF196" s="18" t="e" cm="1">
        <f t="array" aca="1" ref="BF196" ca="1">IF(INDIRECT(ADDRESS($B196+1,BF$164,1,1,"Confirmed Trend"))=0,#N/A,INDIRECT(ADDRESS($B196+1,BF$164,1,1,"Confirmed Trend")))</f>
        <v>#N/A</v>
      </c>
      <c r="BG196" s="18" t="e" cm="1">
        <f t="array" aca="1" ref="BG196" ca="1">IF(INDIRECT(ADDRESS($B196+1,BG$164,1,1,"Confirmed Trend"))=0,#N/A,INDIRECT(ADDRESS($B196+1,BG$164,1,1,"Confirmed Trend")))</f>
        <v>#N/A</v>
      </c>
      <c r="BH196" s="18" t="e" cm="1">
        <f t="array" aca="1" ref="BH196" ca="1">IF(INDIRECT(ADDRESS($B196+1,BH$164,1,1,"Confirmed Trend"))=0,#N/A,INDIRECT(ADDRESS($B196+1,BH$164,1,1,"Confirmed Trend")))</f>
        <v>#N/A</v>
      </c>
      <c r="BI196" s="18" t="e" cm="1">
        <f t="array" aca="1" ref="BI196" ca="1">IF(INDIRECT(ADDRESS($B196+1,BI$164,1,1,"Confirmed Trend"))=0,#N/A,INDIRECT(ADDRESS($B196+1,BI$164,1,1,"Confirmed Trend")))</f>
        <v>#N/A</v>
      </c>
      <c r="BJ196" s="18" t="e" cm="1">
        <f t="array" aca="1" ref="BJ196" ca="1">IF(INDIRECT(ADDRESS($B196+1,BJ$164,1,1,"Confirmed Trend"))=0,#N/A,INDIRECT(ADDRESS($B196+1,BJ$164,1,1,"Confirmed Trend")))</f>
        <v>#N/A</v>
      </c>
      <c r="BK196" s="18" t="e" cm="1">
        <f t="array" aca="1" ref="BK196" ca="1">IF(INDIRECT(ADDRESS($B196+1,BK$164,1,1,"Confirmed Trend"))=0,#N/A,INDIRECT(ADDRESS($B196+1,BK$164,1,1,"Confirmed Trend")))</f>
        <v>#N/A</v>
      </c>
      <c r="BL196" s="18" t="e" cm="1">
        <f t="array" aca="1" ref="BL196" ca="1">IF(INDIRECT(ADDRESS($B196+1,BL$164,1,1,"Confirmed Trend"))=0,#N/A,INDIRECT(ADDRESS($B196+1,BL$164,1,1,"Confirmed Trend")))</f>
        <v>#N/A</v>
      </c>
      <c r="BM196" s="18" t="e" cm="1">
        <f t="array" aca="1" ref="BM196" ca="1">IF(INDIRECT(ADDRESS($B196+1,BM$164,1,1,"Confirmed Trend"))=0,#N/A,INDIRECT(ADDRESS($B196+1,BM$164,1,1,"Confirmed Trend")))</f>
        <v>#N/A</v>
      </c>
      <c r="BN196" s="18" t="e" cm="1">
        <f t="array" aca="1" ref="BN196" ca="1">IF(INDIRECT(ADDRESS($B196+1,BN$164,1,1,"Confirmed Trend"))=0,#N/A,INDIRECT(ADDRESS($B196+1,BN$164,1,1,"Confirmed Trend")))</f>
        <v>#N/A</v>
      </c>
      <c r="BO196" s="18" t="e" cm="1">
        <f t="array" aca="1" ref="BO196" ca="1">IF(INDIRECT(ADDRESS($B196+1,BO$164,1,1,"Confirmed Trend"))=0,#N/A,INDIRECT(ADDRESS($B196+1,BO$164,1,1,"Confirmed Trend")))</f>
        <v>#N/A</v>
      </c>
      <c r="BP196" s="18" t="e" cm="1">
        <f t="array" aca="1" ref="BP196" ca="1">IF(INDIRECT(ADDRESS($B196+1,BP$164,1,1,"Confirmed Trend"))=0,#N/A,INDIRECT(ADDRESS($B196+1,BP$164,1,1,"Confirmed Trend")))</f>
        <v>#N/A</v>
      </c>
      <c r="BQ196" s="18" t="e" cm="1">
        <f t="array" aca="1" ref="BQ196" ca="1">IF(INDIRECT(ADDRESS($B196+1,BQ$164,1,1,"Confirmed Trend"))=0,#N/A,INDIRECT(ADDRESS($B196+1,BQ$164,1,1,"Confirmed Trend")))</f>
        <v>#N/A</v>
      </c>
      <c r="BR196" s="18" t="e" cm="1">
        <f t="array" aca="1" ref="BR196" ca="1">IF(INDIRECT(ADDRESS($B196+1,BR$164,1,1,"Confirmed Trend"))=0,#N/A,INDIRECT(ADDRESS($B196+1,BR$164,1,1,"Confirmed Trend")))</f>
        <v>#N/A</v>
      </c>
      <c r="BS196" s="18" t="e" cm="1">
        <f t="array" aca="1" ref="BS196" ca="1">IF(INDIRECT(ADDRESS($B196+1,BS$164,1,1,"Confirmed Trend"))=0,#N/A,INDIRECT(ADDRESS($B196+1,BS$164,1,1,"Confirmed Trend")))</f>
        <v>#N/A</v>
      </c>
      <c r="BT196" s="18" t="e" cm="1">
        <f t="array" aca="1" ref="BT196" ca="1">IF(INDIRECT(ADDRESS($B196+1,BT$164,1,1,"Confirmed Trend"))=0,#N/A,INDIRECT(ADDRESS($B196+1,BT$164,1,1,"Confirmed Trend")))</f>
        <v>#N/A</v>
      </c>
      <c r="BU196" s="18" t="e" cm="1">
        <f t="array" aca="1" ref="BU196" ca="1">IF(INDIRECT(ADDRESS($B196+1,BU$164,1,1,"Confirmed Trend"))=0,#N/A,INDIRECT(ADDRESS($B196+1,BU$164,1,1,"Confirmed Trend")))</f>
        <v>#N/A</v>
      </c>
      <c r="BV196" s="18" t="e" cm="1">
        <f t="array" aca="1" ref="BV196" ca="1">IF(INDIRECT(ADDRESS($B196+1,BV$164,1,1,"Confirmed Trend"))=0,#N/A,INDIRECT(ADDRESS($B196+1,BV$164,1,1,"Confirmed Trend")))</f>
        <v>#N/A</v>
      </c>
    </row>
    <row r="197" spans="2:74" x14ac:dyDescent="0.25">
      <c r="B197">
        <f t="shared" si="132"/>
        <v>32</v>
      </c>
      <c r="C197" cm="1">
        <f t="array" aca="1" ref="C197" ca="1">INDIRECT(ADDRESS($B197+1,1,1,1,"Confirmed Trend"))</f>
        <v>0</v>
      </c>
      <c r="E197" s="18" t="e" cm="1">
        <f t="array" aca="1" ref="E197" ca="1">IF(INDIRECT(ADDRESS($B197+1,E$164,1,1,"Confirmed Trend"))=0,#N/A,INDIRECT(ADDRESS($B197+1,E$164,1,1,"Confirmed Trend")))</f>
        <v>#N/A</v>
      </c>
      <c r="F197" s="18" t="e" cm="1">
        <f t="array" aca="1" ref="F197" ca="1">IF(INDIRECT(ADDRESS($B197+1,F$164,1,1,"Confirmed Trend"))=0,#N/A,INDIRECT(ADDRESS($B197+1,F$164,1,1,"Confirmed Trend")))</f>
        <v>#N/A</v>
      </c>
      <c r="G197" s="18" t="e" cm="1">
        <f t="array" aca="1" ref="G197" ca="1">IF(INDIRECT(ADDRESS($B197+1,G$164,1,1,"Confirmed Trend"))=0,#N/A,INDIRECT(ADDRESS($B197+1,G$164,1,1,"Confirmed Trend")))</f>
        <v>#N/A</v>
      </c>
      <c r="H197" s="18" t="e" cm="1">
        <f t="array" aca="1" ref="H197" ca="1">IF(INDIRECT(ADDRESS($B197+1,H$164,1,1,"Confirmed Trend"))=0,#N/A,INDIRECT(ADDRESS($B197+1,H$164,1,1,"Confirmed Trend")))</f>
        <v>#N/A</v>
      </c>
      <c r="I197" s="18" t="e" cm="1">
        <f t="array" aca="1" ref="I197" ca="1">IF(INDIRECT(ADDRESS($B197+1,I$164,1,1,"Confirmed Trend"))=0,#N/A,INDIRECT(ADDRESS($B197+1,I$164,1,1,"Confirmed Trend")))</f>
        <v>#N/A</v>
      </c>
      <c r="J197" s="18" t="e" cm="1">
        <f t="array" aca="1" ref="J197" ca="1">IF(INDIRECT(ADDRESS($B197+1,J$164,1,1,"Confirmed Trend"))=0,#N/A,INDIRECT(ADDRESS($B197+1,J$164,1,1,"Confirmed Trend")))</f>
        <v>#N/A</v>
      </c>
      <c r="K197" s="18" t="e" cm="1">
        <f t="array" aca="1" ref="K197" ca="1">IF(INDIRECT(ADDRESS($B197+1,K$164,1,1,"Confirmed Trend"))=0,#N/A,INDIRECT(ADDRESS($B197+1,K$164,1,1,"Confirmed Trend")))</f>
        <v>#N/A</v>
      </c>
      <c r="L197" s="18" t="e" cm="1">
        <f t="array" aca="1" ref="L197" ca="1">IF(INDIRECT(ADDRESS($B197+1,L$164,1,1,"Confirmed Trend"))=0,#N/A,INDIRECT(ADDRESS($B197+1,L$164,1,1,"Confirmed Trend")))</f>
        <v>#N/A</v>
      </c>
      <c r="M197" s="18" t="e" cm="1">
        <f t="array" aca="1" ref="M197" ca="1">IF(INDIRECT(ADDRESS($B197+1,M$164,1,1,"Confirmed Trend"))=0,#N/A,INDIRECT(ADDRESS($B197+1,M$164,1,1,"Confirmed Trend")))</f>
        <v>#N/A</v>
      </c>
      <c r="N197" s="18" t="e" cm="1">
        <f t="array" aca="1" ref="N197" ca="1">IF(INDIRECT(ADDRESS($B197+1,N$164,1,1,"Confirmed Trend"))=0,#N/A,INDIRECT(ADDRESS($B197+1,N$164,1,1,"Confirmed Trend")))</f>
        <v>#N/A</v>
      </c>
      <c r="O197" s="18" t="e" cm="1">
        <f t="array" aca="1" ref="O197" ca="1">IF(INDIRECT(ADDRESS($B197+1,O$164,1,1,"Confirmed Trend"))=0,#N/A,INDIRECT(ADDRESS($B197+1,O$164,1,1,"Confirmed Trend")))</f>
        <v>#N/A</v>
      </c>
      <c r="P197" s="18" t="e" cm="1">
        <f t="array" aca="1" ref="P197" ca="1">IF(INDIRECT(ADDRESS($B197+1,P$164,1,1,"Confirmed Trend"))=0,#N/A,INDIRECT(ADDRESS($B197+1,P$164,1,1,"Confirmed Trend")))</f>
        <v>#N/A</v>
      </c>
      <c r="Q197" s="18" t="e" cm="1">
        <f t="array" aca="1" ref="Q197" ca="1">IF(INDIRECT(ADDRESS($B197+1,Q$164,1,1,"Confirmed Trend"))=0,#N/A,INDIRECT(ADDRESS($B197+1,Q$164,1,1,"Confirmed Trend")))</f>
        <v>#N/A</v>
      </c>
      <c r="R197" s="18" t="e" cm="1">
        <f t="array" aca="1" ref="R197" ca="1">IF(INDIRECT(ADDRESS($B197+1,R$164,1,1,"Confirmed Trend"))=0,#N/A,INDIRECT(ADDRESS($B197+1,R$164,1,1,"Confirmed Trend")))</f>
        <v>#N/A</v>
      </c>
      <c r="S197" s="18" t="e" cm="1">
        <f t="array" aca="1" ref="S197" ca="1">IF(INDIRECT(ADDRESS($B197+1,S$164,1,1,"Confirmed Trend"))=0,#N/A,INDIRECT(ADDRESS($B197+1,S$164,1,1,"Confirmed Trend")))</f>
        <v>#N/A</v>
      </c>
      <c r="T197" s="18" t="e" cm="1">
        <f t="array" aca="1" ref="T197" ca="1">IF(INDIRECT(ADDRESS($B197+1,T$164,1,1,"Confirmed Trend"))=0,#N/A,INDIRECT(ADDRESS($B197+1,T$164,1,1,"Confirmed Trend")))</f>
        <v>#N/A</v>
      </c>
      <c r="U197" s="18" t="e" cm="1">
        <f t="array" aca="1" ref="U197" ca="1">IF(INDIRECT(ADDRESS($B197+1,U$164,1,1,"Confirmed Trend"))=0,#N/A,INDIRECT(ADDRESS($B197+1,U$164,1,1,"Confirmed Trend")))</f>
        <v>#N/A</v>
      </c>
      <c r="V197" s="18" t="e" cm="1">
        <f t="array" aca="1" ref="V197" ca="1">IF(INDIRECT(ADDRESS($B197+1,V$164,1,1,"Confirmed Trend"))=0,#N/A,INDIRECT(ADDRESS($B197+1,V$164,1,1,"Confirmed Trend")))</f>
        <v>#N/A</v>
      </c>
      <c r="W197" s="18" t="e" cm="1">
        <f t="array" aca="1" ref="W197" ca="1">IF(INDIRECT(ADDRESS($B197+1,W$164,1,1,"Confirmed Trend"))=0,#N/A,INDIRECT(ADDRESS($B197+1,W$164,1,1,"Confirmed Trend")))</f>
        <v>#N/A</v>
      </c>
      <c r="X197" s="18" t="e" cm="1">
        <f t="array" aca="1" ref="X197" ca="1">IF(INDIRECT(ADDRESS($B197+1,X$164,1,1,"Confirmed Trend"))=0,#N/A,INDIRECT(ADDRESS($B197+1,X$164,1,1,"Confirmed Trend")))</f>
        <v>#N/A</v>
      </c>
      <c r="Y197" s="18" t="e" cm="1">
        <f t="array" aca="1" ref="Y197" ca="1">IF(INDIRECT(ADDRESS($B197+1,Y$164,1,1,"Confirmed Trend"))=0,#N/A,INDIRECT(ADDRESS($B197+1,Y$164,1,1,"Confirmed Trend")))</f>
        <v>#N/A</v>
      </c>
      <c r="Z197" s="18" t="e" cm="1">
        <f t="array" aca="1" ref="Z197" ca="1">IF(INDIRECT(ADDRESS($B197+1,Z$164,1,1,"Confirmed Trend"))=0,#N/A,INDIRECT(ADDRESS($B197+1,Z$164,1,1,"Confirmed Trend")))</f>
        <v>#N/A</v>
      </c>
      <c r="AA197" s="18" t="e" cm="1">
        <f t="array" aca="1" ref="AA197" ca="1">IF(INDIRECT(ADDRESS($B197+1,AA$164,1,1,"Confirmed Trend"))=0,#N/A,INDIRECT(ADDRESS($B197+1,AA$164,1,1,"Confirmed Trend")))</f>
        <v>#N/A</v>
      </c>
      <c r="AB197" s="18" t="e" cm="1">
        <f t="array" aca="1" ref="AB197" ca="1">IF(INDIRECT(ADDRESS($B197+1,AB$164,1,1,"Confirmed Trend"))=0,#N/A,INDIRECT(ADDRESS($B197+1,AB$164,1,1,"Confirmed Trend")))</f>
        <v>#N/A</v>
      </c>
      <c r="AC197" s="18" t="e" cm="1">
        <f t="array" aca="1" ref="AC197" ca="1">IF(INDIRECT(ADDRESS($B197+1,AC$164,1,1,"Confirmed Trend"))=0,#N/A,INDIRECT(ADDRESS($B197+1,AC$164,1,1,"Confirmed Trend")))</f>
        <v>#N/A</v>
      </c>
      <c r="AD197" s="18" t="e" cm="1">
        <f t="array" aca="1" ref="AD197" ca="1">IF(INDIRECT(ADDRESS($B197+1,AD$164,1,1,"Confirmed Trend"))=0,#N/A,INDIRECT(ADDRESS($B197+1,AD$164,1,1,"Confirmed Trend")))</f>
        <v>#N/A</v>
      </c>
      <c r="AE197" s="18" t="e" cm="1">
        <f t="array" aca="1" ref="AE197" ca="1">IF(INDIRECT(ADDRESS($B197+1,AE$164,1,1,"Confirmed Trend"))=0,#N/A,INDIRECT(ADDRESS($B197+1,AE$164,1,1,"Confirmed Trend")))</f>
        <v>#N/A</v>
      </c>
      <c r="AF197" s="18" t="e" cm="1">
        <f t="array" aca="1" ref="AF197" ca="1">IF(INDIRECT(ADDRESS($B197+1,AF$164,1,1,"Confirmed Trend"))=0,#N/A,INDIRECT(ADDRESS($B197+1,AF$164,1,1,"Confirmed Trend")))</f>
        <v>#N/A</v>
      </c>
      <c r="AG197" s="18" t="e" cm="1">
        <f t="array" aca="1" ref="AG197" ca="1">IF(INDIRECT(ADDRESS($B197+1,AG$164,1,1,"Confirmed Trend"))=0,#N/A,INDIRECT(ADDRESS($B197+1,AG$164,1,1,"Confirmed Trend")))</f>
        <v>#N/A</v>
      </c>
      <c r="AH197" s="18" t="e" cm="1">
        <f t="array" aca="1" ref="AH197" ca="1">IF(INDIRECT(ADDRESS($B197+1,AH$164,1,1,"Confirmed Trend"))=0,#N/A,INDIRECT(ADDRESS($B197+1,AH$164,1,1,"Confirmed Trend")))</f>
        <v>#N/A</v>
      </c>
      <c r="AI197" s="18" t="e" cm="1">
        <f t="array" aca="1" ref="AI197" ca="1">IF(INDIRECT(ADDRESS($B197+1,AI$164,1,1,"Confirmed Trend"))=0,#N/A,INDIRECT(ADDRESS($B197+1,AI$164,1,1,"Confirmed Trend")))</f>
        <v>#N/A</v>
      </c>
      <c r="AJ197" s="18" t="e" cm="1">
        <f t="array" aca="1" ref="AJ197" ca="1">IF(INDIRECT(ADDRESS($B197+1,AJ$164,1,1,"Confirmed Trend"))=0,#N/A,INDIRECT(ADDRESS($B197+1,AJ$164,1,1,"Confirmed Trend")))</f>
        <v>#N/A</v>
      </c>
      <c r="AK197" s="18" t="e" cm="1">
        <f t="array" aca="1" ref="AK197" ca="1">IF(INDIRECT(ADDRESS($B197+1,AK$164,1,1,"Confirmed Trend"))=0,#N/A,INDIRECT(ADDRESS($B197+1,AK$164,1,1,"Confirmed Trend")))</f>
        <v>#N/A</v>
      </c>
      <c r="AL197" s="18" t="e" cm="1">
        <f t="array" aca="1" ref="AL197" ca="1">IF(INDIRECT(ADDRESS($B197+1,AL$164,1,1,"Confirmed Trend"))=0,#N/A,INDIRECT(ADDRESS($B197+1,AL$164,1,1,"Confirmed Trend")))</f>
        <v>#N/A</v>
      </c>
      <c r="AM197" s="18" t="e" cm="1">
        <f t="array" aca="1" ref="AM197" ca="1">IF(INDIRECT(ADDRESS($B197+1,AM$164,1,1,"Confirmed Trend"))=0,#N/A,INDIRECT(ADDRESS($B197+1,AM$164,1,1,"Confirmed Trend")))</f>
        <v>#N/A</v>
      </c>
      <c r="AN197" s="18" t="e" cm="1">
        <f t="array" aca="1" ref="AN197" ca="1">IF(INDIRECT(ADDRESS($B197+1,AN$164,1,1,"Confirmed Trend"))=0,#N/A,INDIRECT(ADDRESS($B197+1,AN$164,1,1,"Confirmed Trend")))</f>
        <v>#N/A</v>
      </c>
      <c r="AO197" s="18" t="e" cm="1">
        <f t="array" aca="1" ref="AO197" ca="1">IF(INDIRECT(ADDRESS($B197+1,AO$164,1,1,"Confirmed Trend"))=0,#N/A,INDIRECT(ADDRESS($B197+1,AO$164,1,1,"Confirmed Trend")))</f>
        <v>#N/A</v>
      </c>
      <c r="AP197" s="18" t="e" cm="1">
        <f t="array" aca="1" ref="AP197" ca="1">IF(INDIRECT(ADDRESS($B197+1,AP$164,1,1,"Confirmed Trend"))=0,#N/A,INDIRECT(ADDRESS($B197+1,AP$164,1,1,"Confirmed Trend")))</f>
        <v>#N/A</v>
      </c>
      <c r="AQ197" s="18" t="e" cm="1">
        <f t="array" aca="1" ref="AQ197" ca="1">IF(INDIRECT(ADDRESS($B197+1,AQ$164,1,1,"Confirmed Trend"))=0,#N/A,INDIRECT(ADDRESS($B197+1,AQ$164,1,1,"Confirmed Trend")))</f>
        <v>#N/A</v>
      </c>
      <c r="AR197" s="18" t="e" cm="1">
        <f t="array" aca="1" ref="AR197" ca="1">IF(INDIRECT(ADDRESS($B197+1,AR$164,1,1,"Confirmed Trend"))=0,#N/A,INDIRECT(ADDRESS($B197+1,AR$164,1,1,"Confirmed Trend")))</f>
        <v>#N/A</v>
      </c>
      <c r="AS197" s="18" t="e" cm="1">
        <f t="array" aca="1" ref="AS197" ca="1">IF(INDIRECT(ADDRESS($B197+1,AS$164,1,1,"Confirmed Trend"))=0,#N/A,INDIRECT(ADDRESS($B197+1,AS$164,1,1,"Confirmed Trend")))</f>
        <v>#N/A</v>
      </c>
      <c r="AT197" s="18" t="e" cm="1">
        <f t="array" aca="1" ref="AT197" ca="1">IF(INDIRECT(ADDRESS($B197+1,AT$164,1,1,"Confirmed Trend"))=0,#N/A,INDIRECT(ADDRESS($B197+1,AT$164,1,1,"Confirmed Trend")))</f>
        <v>#N/A</v>
      </c>
      <c r="AU197" s="18" t="e" cm="1">
        <f t="array" aca="1" ref="AU197" ca="1">IF(INDIRECT(ADDRESS($B197+1,AU$164,1,1,"Confirmed Trend"))=0,#N/A,INDIRECT(ADDRESS($B197+1,AU$164,1,1,"Confirmed Trend")))</f>
        <v>#N/A</v>
      </c>
      <c r="AV197" s="18" t="e" cm="1">
        <f t="array" aca="1" ref="AV197" ca="1">IF(INDIRECT(ADDRESS($B197+1,AV$164,1,1,"Confirmed Trend"))=0,#N/A,INDIRECT(ADDRESS($B197+1,AV$164,1,1,"Confirmed Trend")))</f>
        <v>#N/A</v>
      </c>
      <c r="AW197" s="18" t="e" cm="1">
        <f t="array" aca="1" ref="AW197" ca="1">IF(INDIRECT(ADDRESS($B197+1,AW$164,1,1,"Confirmed Trend"))=0,#N/A,INDIRECT(ADDRESS($B197+1,AW$164,1,1,"Confirmed Trend")))</f>
        <v>#N/A</v>
      </c>
      <c r="AX197" s="18" t="e" cm="1">
        <f t="array" aca="1" ref="AX197" ca="1">IF(INDIRECT(ADDRESS($B197+1,AX$164,1,1,"Confirmed Trend"))=0,#N/A,INDIRECT(ADDRESS($B197+1,AX$164,1,1,"Confirmed Trend")))</f>
        <v>#N/A</v>
      </c>
      <c r="AY197" s="18" t="e" cm="1">
        <f t="array" aca="1" ref="AY197" ca="1">IF(INDIRECT(ADDRESS($B197+1,AY$164,1,1,"Confirmed Trend"))=0,#N/A,INDIRECT(ADDRESS($B197+1,AY$164,1,1,"Confirmed Trend")))</f>
        <v>#N/A</v>
      </c>
      <c r="AZ197" s="18" t="e" cm="1">
        <f t="array" aca="1" ref="AZ197" ca="1">IF(INDIRECT(ADDRESS($B197+1,AZ$164,1,1,"Confirmed Trend"))=0,#N/A,INDIRECT(ADDRESS($B197+1,AZ$164,1,1,"Confirmed Trend")))</f>
        <v>#N/A</v>
      </c>
      <c r="BA197" s="18" t="e" cm="1">
        <f t="array" aca="1" ref="BA197" ca="1">IF(INDIRECT(ADDRESS($B197+1,BA$164,1,1,"Confirmed Trend"))=0,#N/A,INDIRECT(ADDRESS($B197+1,BA$164,1,1,"Confirmed Trend")))</f>
        <v>#N/A</v>
      </c>
      <c r="BB197" s="18" t="e" cm="1">
        <f t="array" aca="1" ref="BB197" ca="1">IF(INDIRECT(ADDRESS($B197+1,BB$164,1,1,"Confirmed Trend"))=0,#N/A,INDIRECT(ADDRESS($B197+1,BB$164,1,1,"Confirmed Trend")))</f>
        <v>#N/A</v>
      </c>
      <c r="BC197" s="18" t="e" cm="1">
        <f t="array" aca="1" ref="BC197" ca="1">IF(INDIRECT(ADDRESS($B197+1,BC$164,1,1,"Confirmed Trend"))=0,#N/A,INDIRECT(ADDRESS($B197+1,BC$164,1,1,"Confirmed Trend")))</f>
        <v>#N/A</v>
      </c>
      <c r="BD197" s="18" t="e" cm="1">
        <f t="array" aca="1" ref="BD197" ca="1">IF(INDIRECT(ADDRESS($B197+1,BD$164,1,1,"Confirmed Trend"))=0,#N/A,INDIRECT(ADDRESS($B197+1,BD$164,1,1,"Confirmed Trend")))</f>
        <v>#N/A</v>
      </c>
      <c r="BE197" s="18" t="e" cm="1">
        <f t="array" aca="1" ref="BE197" ca="1">IF(INDIRECT(ADDRESS($B197+1,BE$164,1,1,"Confirmed Trend"))=0,#N/A,INDIRECT(ADDRESS($B197+1,BE$164,1,1,"Confirmed Trend")))</f>
        <v>#N/A</v>
      </c>
      <c r="BF197" s="18" t="e" cm="1">
        <f t="array" aca="1" ref="BF197" ca="1">IF(INDIRECT(ADDRESS($B197+1,BF$164,1,1,"Confirmed Trend"))=0,#N/A,INDIRECT(ADDRESS($B197+1,BF$164,1,1,"Confirmed Trend")))</f>
        <v>#N/A</v>
      </c>
      <c r="BG197" s="18" t="e" cm="1">
        <f t="array" aca="1" ref="BG197" ca="1">IF(INDIRECT(ADDRESS($B197+1,BG$164,1,1,"Confirmed Trend"))=0,#N/A,INDIRECT(ADDRESS($B197+1,BG$164,1,1,"Confirmed Trend")))</f>
        <v>#N/A</v>
      </c>
      <c r="BH197" s="18" t="e" cm="1">
        <f t="array" aca="1" ref="BH197" ca="1">IF(INDIRECT(ADDRESS($B197+1,BH$164,1,1,"Confirmed Trend"))=0,#N/A,INDIRECT(ADDRESS($B197+1,BH$164,1,1,"Confirmed Trend")))</f>
        <v>#N/A</v>
      </c>
      <c r="BI197" s="18" t="e" cm="1">
        <f t="array" aca="1" ref="BI197" ca="1">IF(INDIRECT(ADDRESS($B197+1,BI$164,1,1,"Confirmed Trend"))=0,#N/A,INDIRECT(ADDRESS($B197+1,BI$164,1,1,"Confirmed Trend")))</f>
        <v>#N/A</v>
      </c>
      <c r="BJ197" s="18" t="e" cm="1">
        <f t="array" aca="1" ref="BJ197" ca="1">IF(INDIRECT(ADDRESS($B197+1,BJ$164,1,1,"Confirmed Trend"))=0,#N/A,INDIRECT(ADDRESS($B197+1,BJ$164,1,1,"Confirmed Trend")))</f>
        <v>#N/A</v>
      </c>
      <c r="BK197" s="18" t="e" cm="1">
        <f t="array" aca="1" ref="BK197" ca="1">IF(INDIRECT(ADDRESS($B197+1,BK$164,1,1,"Confirmed Trend"))=0,#N/A,INDIRECT(ADDRESS($B197+1,BK$164,1,1,"Confirmed Trend")))</f>
        <v>#N/A</v>
      </c>
      <c r="BL197" s="18" t="e" cm="1">
        <f t="array" aca="1" ref="BL197" ca="1">IF(INDIRECT(ADDRESS($B197+1,BL$164,1,1,"Confirmed Trend"))=0,#N/A,INDIRECT(ADDRESS($B197+1,BL$164,1,1,"Confirmed Trend")))</f>
        <v>#N/A</v>
      </c>
      <c r="BM197" s="18" t="e" cm="1">
        <f t="array" aca="1" ref="BM197" ca="1">IF(INDIRECT(ADDRESS($B197+1,BM$164,1,1,"Confirmed Trend"))=0,#N/A,INDIRECT(ADDRESS($B197+1,BM$164,1,1,"Confirmed Trend")))</f>
        <v>#N/A</v>
      </c>
      <c r="BN197" s="18" t="e" cm="1">
        <f t="array" aca="1" ref="BN197" ca="1">IF(INDIRECT(ADDRESS($B197+1,BN$164,1,1,"Confirmed Trend"))=0,#N/A,INDIRECT(ADDRESS($B197+1,BN$164,1,1,"Confirmed Trend")))</f>
        <v>#N/A</v>
      </c>
      <c r="BO197" s="18" t="e" cm="1">
        <f t="array" aca="1" ref="BO197" ca="1">IF(INDIRECT(ADDRESS($B197+1,BO$164,1,1,"Confirmed Trend"))=0,#N/A,INDIRECT(ADDRESS($B197+1,BO$164,1,1,"Confirmed Trend")))</f>
        <v>#N/A</v>
      </c>
      <c r="BP197" s="18" t="e" cm="1">
        <f t="array" aca="1" ref="BP197" ca="1">IF(INDIRECT(ADDRESS($B197+1,BP$164,1,1,"Confirmed Trend"))=0,#N/A,INDIRECT(ADDRESS($B197+1,BP$164,1,1,"Confirmed Trend")))</f>
        <v>#N/A</v>
      </c>
      <c r="BQ197" s="18" t="e" cm="1">
        <f t="array" aca="1" ref="BQ197" ca="1">IF(INDIRECT(ADDRESS($B197+1,BQ$164,1,1,"Confirmed Trend"))=0,#N/A,INDIRECT(ADDRESS($B197+1,BQ$164,1,1,"Confirmed Trend")))</f>
        <v>#N/A</v>
      </c>
      <c r="BR197" s="18" t="e" cm="1">
        <f t="array" aca="1" ref="BR197" ca="1">IF(INDIRECT(ADDRESS($B197+1,BR$164,1,1,"Confirmed Trend"))=0,#N/A,INDIRECT(ADDRESS($B197+1,BR$164,1,1,"Confirmed Trend")))</f>
        <v>#N/A</v>
      </c>
      <c r="BS197" s="18" t="e" cm="1">
        <f t="array" aca="1" ref="BS197" ca="1">IF(INDIRECT(ADDRESS($B197+1,BS$164,1,1,"Confirmed Trend"))=0,#N/A,INDIRECT(ADDRESS($B197+1,BS$164,1,1,"Confirmed Trend")))</f>
        <v>#N/A</v>
      </c>
      <c r="BT197" s="18" t="e" cm="1">
        <f t="array" aca="1" ref="BT197" ca="1">IF(INDIRECT(ADDRESS($B197+1,BT$164,1,1,"Confirmed Trend"))=0,#N/A,INDIRECT(ADDRESS($B197+1,BT$164,1,1,"Confirmed Trend")))</f>
        <v>#N/A</v>
      </c>
      <c r="BU197" s="18" t="e" cm="1">
        <f t="array" aca="1" ref="BU197" ca="1">IF(INDIRECT(ADDRESS($B197+1,BU$164,1,1,"Confirmed Trend"))=0,#N/A,INDIRECT(ADDRESS($B197+1,BU$164,1,1,"Confirmed Trend")))</f>
        <v>#N/A</v>
      </c>
      <c r="BV197" s="18" t="e" cm="1">
        <f t="array" aca="1" ref="BV197" ca="1">IF(INDIRECT(ADDRESS($B197+1,BV$164,1,1,"Confirmed Trend"))=0,#N/A,INDIRECT(ADDRESS($B197+1,BV$164,1,1,"Confirmed Trend")))</f>
        <v>#N/A</v>
      </c>
    </row>
    <row r="198" spans="2:74" x14ac:dyDescent="0.25">
      <c r="B198">
        <f t="shared" si="132"/>
        <v>33</v>
      </c>
      <c r="C198" cm="1">
        <f t="array" aca="1" ref="C198" ca="1">INDIRECT(ADDRESS($B198+1,1,1,1,"Confirmed Trend"))</f>
        <v>0</v>
      </c>
      <c r="E198" s="18" t="e" cm="1">
        <f t="array" aca="1" ref="E198" ca="1">IF(INDIRECT(ADDRESS($B198+1,E$164,1,1,"Confirmed Trend"))=0,#N/A,INDIRECT(ADDRESS($B198+1,E$164,1,1,"Confirmed Trend")))</f>
        <v>#N/A</v>
      </c>
      <c r="F198" s="18" t="e" cm="1">
        <f t="array" aca="1" ref="F198" ca="1">IF(INDIRECT(ADDRESS($B198+1,F$164,1,1,"Confirmed Trend"))=0,#N/A,INDIRECT(ADDRESS($B198+1,F$164,1,1,"Confirmed Trend")))</f>
        <v>#N/A</v>
      </c>
      <c r="G198" s="18" t="e" cm="1">
        <f t="array" aca="1" ref="G198" ca="1">IF(INDIRECT(ADDRESS($B198+1,G$164,1,1,"Confirmed Trend"))=0,#N/A,INDIRECT(ADDRESS($B198+1,G$164,1,1,"Confirmed Trend")))</f>
        <v>#N/A</v>
      </c>
      <c r="H198" s="18" t="e" cm="1">
        <f t="array" aca="1" ref="H198" ca="1">IF(INDIRECT(ADDRESS($B198+1,H$164,1,1,"Confirmed Trend"))=0,#N/A,INDIRECT(ADDRESS($B198+1,H$164,1,1,"Confirmed Trend")))</f>
        <v>#N/A</v>
      </c>
      <c r="I198" s="18" t="e" cm="1">
        <f t="array" aca="1" ref="I198" ca="1">IF(INDIRECT(ADDRESS($B198+1,I$164,1,1,"Confirmed Trend"))=0,#N/A,INDIRECT(ADDRESS($B198+1,I$164,1,1,"Confirmed Trend")))</f>
        <v>#N/A</v>
      </c>
      <c r="J198" s="18" t="e" cm="1">
        <f t="array" aca="1" ref="J198" ca="1">IF(INDIRECT(ADDRESS($B198+1,J$164,1,1,"Confirmed Trend"))=0,#N/A,INDIRECT(ADDRESS($B198+1,J$164,1,1,"Confirmed Trend")))</f>
        <v>#N/A</v>
      </c>
      <c r="K198" s="18" t="e" cm="1">
        <f t="array" aca="1" ref="K198" ca="1">IF(INDIRECT(ADDRESS($B198+1,K$164,1,1,"Confirmed Trend"))=0,#N/A,INDIRECT(ADDRESS($B198+1,K$164,1,1,"Confirmed Trend")))</f>
        <v>#N/A</v>
      </c>
      <c r="L198" s="18" t="e" cm="1">
        <f t="array" aca="1" ref="L198" ca="1">IF(INDIRECT(ADDRESS($B198+1,L$164,1,1,"Confirmed Trend"))=0,#N/A,INDIRECT(ADDRESS($B198+1,L$164,1,1,"Confirmed Trend")))</f>
        <v>#N/A</v>
      </c>
      <c r="M198" s="18" t="e" cm="1">
        <f t="array" aca="1" ref="M198" ca="1">IF(INDIRECT(ADDRESS($B198+1,M$164,1,1,"Confirmed Trend"))=0,#N/A,INDIRECT(ADDRESS($B198+1,M$164,1,1,"Confirmed Trend")))</f>
        <v>#N/A</v>
      </c>
      <c r="N198" s="18" t="e" cm="1">
        <f t="array" aca="1" ref="N198" ca="1">IF(INDIRECT(ADDRESS($B198+1,N$164,1,1,"Confirmed Trend"))=0,#N/A,INDIRECT(ADDRESS($B198+1,N$164,1,1,"Confirmed Trend")))</f>
        <v>#N/A</v>
      </c>
      <c r="O198" s="18" t="e" cm="1">
        <f t="array" aca="1" ref="O198" ca="1">IF(INDIRECT(ADDRESS($B198+1,O$164,1,1,"Confirmed Trend"))=0,#N/A,INDIRECT(ADDRESS($B198+1,O$164,1,1,"Confirmed Trend")))</f>
        <v>#N/A</v>
      </c>
      <c r="P198" s="18" t="e" cm="1">
        <f t="array" aca="1" ref="P198" ca="1">IF(INDIRECT(ADDRESS($B198+1,P$164,1,1,"Confirmed Trend"))=0,#N/A,INDIRECT(ADDRESS($B198+1,P$164,1,1,"Confirmed Trend")))</f>
        <v>#N/A</v>
      </c>
      <c r="Q198" s="18" t="e" cm="1">
        <f t="array" aca="1" ref="Q198" ca="1">IF(INDIRECT(ADDRESS($B198+1,Q$164,1,1,"Confirmed Trend"))=0,#N/A,INDIRECT(ADDRESS($B198+1,Q$164,1,1,"Confirmed Trend")))</f>
        <v>#N/A</v>
      </c>
      <c r="R198" s="18" t="e" cm="1">
        <f t="array" aca="1" ref="R198" ca="1">IF(INDIRECT(ADDRESS($B198+1,R$164,1,1,"Confirmed Trend"))=0,#N/A,INDIRECT(ADDRESS($B198+1,R$164,1,1,"Confirmed Trend")))</f>
        <v>#N/A</v>
      </c>
      <c r="S198" s="18" t="e" cm="1">
        <f t="array" aca="1" ref="S198" ca="1">IF(INDIRECT(ADDRESS($B198+1,S$164,1,1,"Confirmed Trend"))=0,#N/A,INDIRECT(ADDRESS($B198+1,S$164,1,1,"Confirmed Trend")))</f>
        <v>#N/A</v>
      </c>
      <c r="T198" s="18" t="e" cm="1">
        <f t="array" aca="1" ref="T198" ca="1">IF(INDIRECT(ADDRESS($B198+1,T$164,1,1,"Confirmed Trend"))=0,#N/A,INDIRECT(ADDRESS($B198+1,T$164,1,1,"Confirmed Trend")))</f>
        <v>#N/A</v>
      </c>
      <c r="U198" s="18" t="e" cm="1">
        <f t="array" aca="1" ref="U198" ca="1">IF(INDIRECT(ADDRESS($B198+1,U$164,1,1,"Confirmed Trend"))=0,#N/A,INDIRECT(ADDRESS($B198+1,U$164,1,1,"Confirmed Trend")))</f>
        <v>#N/A</v>
      </c>
      <c r="V198" s="18" t="e" cm="1">
        <f t="array" aca="1" ref="V198" ca="1">IF(INDIRECT(ADDRESS($B198+1,V$164,1,1,"Confirmed Trend"))=0,#N/A,INDIRECT(ADDRESS($B198+1,V$164,1,1,"Confirmed Trend")))</f>
        <v>#N/A</v>
      </c>
      <c r="W198" s="18" t="e" cm="1">
        <f t="array" aca="1" ref="W198" ca="1">IF(INDIRECT(ADDRESS($B198+1,W$164,1,1,"Confirmed Trend"))=0,#N/A,INDIRECT(ADDRESS($B198+1,W$164,1,1,"Confirmed Trend")))</f>
        <v>#N/A</v>
      </c>
      <c r="X198" s="18" t="e" cm="1">
        <f t="array" aca="1" ref="X198" ca="1">IF(INDIRECT(ADDRESS($B198+1,X$164,1,1,"Confirmed Trend"))=0,#N/A,INDIRECT(ADDRESS($B198+1,X$164,1,1,"Confirmed Trend")))</f>
        <v>#N/A</v>
      </c>
      <c r="Y198" s="18" t="e" cm="1">
        <f t="array" aca="1" ref="Y198" ca="1">IF(INDIRECT(ADDRESS($B198+1,Y$164,1,1,"Confirmed Trend"))=0,#N/A,INDIRECT(ADDRESS($B198+1,Y$164,1,1,"Confirmed Trend")))</f>
        <v>#N/A</v>
      </c>
      <c r="Z198" s="18" t="e" cm="1">
        <f t="array" aca="1" ref="Z198" ca="1">IF(INDIRECT(ADDRESS($B198+1,Z$164,1,1,"Confirmed Trend"))=0,#N/A,INDIRECT(ADDRESS($B198+1,Z$164,1,1,"Confirmed Trend")))</f>
        <v>#N/A</v>
      </c>
      <c r="AA198" s="18" t="e" cm="1">
        <f t="array" aca="1" ref="AA198" ca="1">IF(INDIRECT(ADDRESS($B198+1,AA$164,1,1,"Confirmed Trend"))=0,#N/A,INDIRECT(ADDRESS($B198+1,AA$164,1,1,"Confirmed Trend")))</f>
        <v>#N/A</v>
      </c>
      <c r="AB198" s="18" t="e" cm="1">
        <f t="array" aca="1" ref="AB198" ca="1">IF(INDIRECT(ADDRESS($B198+1,AB$164,1,1,"Confirmed Trend"))=0,#N/A,INDIRECT(ADDRESS($B198+1,AB$164,1,1,"Confirmed Trend")))</f>
        <v>#N/A</v>
      </c>
      <c r="AC198" s="18" t="e" cm="1">
        <f t="array" aca="1" ref="AC198" ca="1">IF(INDIRECT(ADDRESS($B198+1,AC$164,1,1,"Confirmed Trend"))=0,#N/A,INDIRECT(ADDRESS($B198+1,AC$164,1,1,"Confirmed Trend")))</f>
        <v>#N/A</v>
      </c>
      <c r="AD198" s="18" t="e" cm="1">
        <f t="array" aca="1" ref="AD198" ca="1">IF(INDIRECT(ADDRESS($B198+1,AD$164,1,1,"Confirmed Trend"))=0,#N/A,INDIRECT(ADDRESS($B198+1,AD$164,1,1,"Confirmed Trend")))</f>
        <v>#N/A</v>
      </c>
      <c r="AE198" s="18" t="e" cm="1">
        <f t="array" aca="1" ref="AE198" ca="1">IF(INDIRECT(ADDRESS($B198+1,AE$164,1,1,"Confirmed Trend"))=0,#N/A,INDIRECT(ADDRESS($B198+1,AE$164,1,1,"Confirmed Trend")))</f>
        <v>#N/A</v>
      </c>
      <c r="AF198" s="18" t="e" cm="1">
        <f t="array" aca="1" ref="AF198" ca="1">IF(INDIRECT(ADDRESS($B198+1,AF$164,1,1,"Confirmed Trend"))=0,#N/A,INDIRECT(ADDRESS($B198+1,AF$164,1,1,"Confirmed Trend")))</f>
        <v>#N/A</v>
      </c>
      <c r="AG198" s="18" t="e" cm="1">
        <f t="array" aca="1" ref="AG198" ca="1">IF(INDIRECT(ADDRESS($B198+1,AG$164,1,1,"Confirmed Trend"))=0,#N/A,INDIRECT(ADDRESS($B198+1,AG$164,1,1,"Confirmed Trend")))</f>
        <v>#N/A</v>
      </c>
      <c r="AH198" s="18" t="e" cm="1">
        <f t="array" aca="1" ref="AH198" ca="1">IF(INDIRECT(ADDRESS($B198+1,AH$164,1,1,"Confirmed Trend"))=0,#N/A,INDIRECT(ADDRESS($B198+1,AH$164,1,1,"Confirmed Trend")))</f>
        <v>#N/A</v>
      </c>
      <c r="AI198" s="18" t="e" cm="1">
        <f t="array" aca="1" ref="AI198" ca="1">IF(INDIRECT(ADDRESS($B198+1,AI$164,1,1,"Confirmed Trend"))=0,#N/A,INDIRECT(ADDRESS($B198+1,AI$164,1,1,"Confirmed Trend")))</f>
        <v>#N/A</v>
      </c>
      <c r="AJ198" s="18" t="e" cm="1">
        <f t="array" aca="1" ref="AJ198" ca="1">IF(INDIRECT(ADDRESS($B198+1,AJ$164,1,1,"Confirmed Trend"))=0,#N/A,INDIRECT(ADDRESS($B198+1,AJ$164,1,1,"Confirmed Trend")))</f>
        <v>#N/A</v>
      </c>
      <c r="AK198" s="18" t="e" cm="1">
        <f t="array" aca="1" ref="AK198" ca="1">IF(INDIRECT(ADDRESS($B198+1,AK$164,1,1,"Confirmed Trend"))=0,#N/A,INDIRECT(ADDRESS($B198+1,AK$164,1,1,"Confirmed Trend")))</f>
        <v>#N/A</v>
      </c>
      <c r="AL198" s="18" t="e" cm="1">
        <f t="array" aca="1" ref="AL198" ca="1">IF(INDIRECT(ADDRESS($B198+1,AL$164,1,1,"Confirmed Trend"))=0,#N/A,INDIRECT(ADDRESS($B198+1,AL$164,1,1,"Confirmed Trend")))</f>
        <v>#N/A</v>
      </c>
      <c r="AM198" s="18" t="e" cm="1">
        <f t="array" aca="1" ref="AM198" ca="1">IF(INDIRECT(ADDRESS($B198+1,AM$164,1,1,"Confirmed Trend"))=0,#N/A,INDIRECT(ADDRESS($B198+1,AM$164,1,1,"Confirmed Trend")))</f>
        <v>#N/A</v>
      </c>
      <c r="AN198" s="18" t="e" cm="1">
        <f t="array" aca="1" ref="AN198" ca="1">IF(INDIRECT(ADDRESS($B198+1,AN$164,1,1,"Confirmed Trend"))=0,#N/A,INDIRECT(ADDRESS($B198+1,AN$164,1,1,"Confirmed Trend")))</f>
        <v>#N/A</v>
      </c>
      <c r="AO198" s="18" t="e" cm="1">
        <f t="array" aca="1" ref="AO198" ca="1">IF(INDIRECT(ADDRESS($B198+1,AO$164,1,1,"Confirmed Trend"))=0,#N/A,INDIRECT(ADDRESS($B198+1,AO$164,1,1,"Confirmed Trend")))</f>
        <v>#N/A</v>
      </c>
      <c r="AP198" s="18" t="e" cm="1">
        <f t="array" aca="1" ref="AP198" ca="1">IF(INDIRECT(ADDRESS($B198+1,AP$164,1,1,"Confirmed Trend"))=0,#N/A,INDIRECT(ADDRESS($B198+1,AP$164,1,1,"Confirmed Trend")))</f>
        <v>#N/A</v>
      </c>
      <c r="AQ198" s="18" t="e" cm="1">
        <f t="array" aca="1" ref="AQ198" ca="1">IF(INDIRECT(ADDRESS($B198+1,AQ$164,1,1,"Confirmed Trend"))=0,#N/A,INDIRECT(ADDRESS($B198+1,AQ$164,1,1,"Confirmed Trend")))</f>
        <v>#N/A</v>
      </c>
      <c r="AR198" s="18" t="e" cm="1">
        <f t="array" aca="1" ref="AR198" ca="1">IF(INDIRECT(ADDRESS($B198+1,AR$164,1,1,"Confirmed Trend"))=0,#N/A,INDIRECT(ADDRESS($B198+1,AR$164,1,1,"Confirmed Trend")))</f>
        <v>#N/A</v>
      </c>
      <c r="AS198" s="18" t="e" cm="1">
        <f t="array" aca="1" ref="AS198" ca="1">IF(INDIRECT(ADDRESS($B198+1,AS$164,1,1,"Confirmed Trend"))=0,#N/A,INDIRECT(ADDRESS($B198+1,AS$164,1,1,"Confirmed Trend")))</f>
        <v>#N/A</v>
      </c>
      <c r="AT198" s="18" t="e" cm="1">
        <f t="array" aca="1" ref="AT198" ca="1">IF(INDIRECT(ADDRESS($B198+1,AT$164,1,1,"Confirmed Trend"))=0,#N/A,INDIRECT(ADDRESS($B198+1,AT$164,1,1,"Confirmed Trend")))</f>
        <v>#N/A</v>
      </c>
      <c r="AU198" s="18" t="e" cm="1">
        <f t="array" aca="1" ref="AU198" ca="1">IF(INDIRECT(ADDRESS($B198+1,AU$164,1,1,"Confirmed Trend"))=0,#N/A,INDIRECT(ADDRESS($B198+1,AU$164,1,1,"Confirmed Trend")))</f>
        <v>#N/A</v>
      </c>
      <c r="AV198" s="18" t="e" cm="1">
        <f t="array" aca="1" ref="AV198" ca="1">IF(INDIRECT(ADDRESS($B198+1,AV$164,1,1,"Confirmed Trend"))=0,#N/A,INDIRECT(ADDRESS($B198+1,AV$164,1,1,"Confirmed Trend")))</f>
        <v>#N/A</v>
      </c>
      <c r="AW198" s="18" t="e" cm="1">
        <f t="array" aca="1" ref="AW198" ca="1">IF(INDIRECT(ADDRESS($B198+1,AW$164,1,1,"Confirmed Trend"))=0,#N/A,INDIRECT(ADDRESS($B198+1,AW$164,1,1,"Confirmed Trend")))</f>
        <v>#N/A</v>
      </c>
      <c r="AX198" s="18" t="e" cm="1">
        <f t="array" aca="1" ref="AX198" ca="1">IF(INDIRECT(ADDRESS($B198+1,AX$164,1,1,"Confirmed Trend"))=0,#N/A,INDIRECT(ADDRESS($B198+1,AX$164,1,1,"Confirmed Trend")))</f>
        <v>#N/A</v>
      </c>
      <c r="AY198" s="18" t="e" cm="1">
        <f t="array" aca="1" ref="AY198" ca="1">IF(INDIRECT(ADDRESS($B198+1,AY$164,1,1,"Confirmed Trend"))=0,#N/A,INDIRECT(ADDRESS($B198+1,AY$164,1,1,"Confirmed Trend")))</f>
        <v>#N/A</v>
      </c>
      <c r="AZ198" s="18" t="e" cm="1">
        <f t="array" aca="1" ref="AZ198" ca="1">IF(INDIRECT(ADDRESS($B198+1,AZ$164,1,1,"Confirmed Trend"))=0,#N/A,INDIRECT(ADDRESS($B198+1,AZ$164,1,1,"Confirmed Trend")))</f>
        <v>#N/A</v>
      </c>
      <c r="BA198" s="18" t="e" cm="1">
        <f t="array" aca="1" ref="BA198" ca="1">IF(INDIRECT(ADDRESS($B198+1,BA$164,1,1,"Confirmed Trend"))=0,#N/A,INDIRECT(ADDRESS($B198+1,BA$164,1,1,"Confirmed Trend")))</f>
        <v>#N/A</v>
      </c>
      <c r="BB198" s="18" t="e" cm="1">
        <f t="array" aca="1" ref="BB198" ca="1">IF(INDIRECT(ADDRESS($B198+1,BB$164,1,1,"Confirmed Trend"))=0,#N/A,INDIRECT(ADDRESS($B198+1,BB$164,1,1,"Confirmed Trend")))</f>
        <v>#N/A</v>
      </c>
      <c r="BC198" s="18" t="e" cm="1">
        <f t="array" aca="1" ref="BC198" ca="1">IF(INDIRECT(ADDRESS($B198+1,BC$164,1,1,"Confirmed Trend"))=0,#N/A,INDIRECT(ADDRESS($B198+1,BC$164,1,1,"Confirmed Trend")))</f>
        <v>#N/A</v>
      </c>
      <c r="BD198" s="18" t="e" cm="1">
        <f t="array" aca="1" ref="BD198" ca="1">IF(INDIRECT(ADDRESS($B198+1,BD$164,1,1,"Confirmed Trend"))=0,#N/A,INDIRECT(ADDRESS($B198+1,BD$164,1,1,"Confirmed Trend")))</f>
        <v>#N/A</v>
      </c>
      <c r="BE198" s="18" t="e" cm="1">
        <f t="array" aca="1" ref="BE198" ca="1">IF(INDIRECT(ADDRESS($B198+1,BE$164,1,1,"Confirmed Trend"))=0,#N/A,INDIRECT(ADDRESS($B198+1,BE$164,1,1,"Confirmed Trend")))</f>
        <v>#N/A</v>
      </c>
      <c r="BF198" s="18" t="e" cm="1">
        <f t="array" aca="1" ref="BF198" ca="1">IF(INDIRECT(ADDRESS($B198+1,BF$164,1,1,"Confirmed Trend"))=0,#N/A,INDIRECT(ADDRESS($B198+1,BF$164,1,1,"Confirmed Trend")))</f>
        <v>#N/A</v>
      </c>
      <c r="BG198" s="18" t="e" cm="1">
        <f t="array" aca="1" ref="BG198" ca="1">IF(INDIRECT(ADDRESS($B198+1,BG$164,1,1,"Confirmed Trend"))=0,#N/A,INDIRECT(ADDRESS($B198+1,BG$164,1,1,"Confirmed Trend")))</f>
        <v>#N/A</v>
      </c>
      <c r="BH198" s="18" t="e" cm="1">
        <f t="array" aca="1" ref="BH198" ca="1">IF(INDIRECT(ADDRESS($B198+1,BH$164,1,1,"Confirmed Trend"))=0,#N/A,INDIRECT(ADDRESS($B198+1,BH$164,1,1,"Confirmed Trend")))</f>
        <v>#N/A</v>
      </c>
      <c r="BI198" s="18" t="e" cm="1">
        <f t="array" aca="1" ref="BI198" ca="1">IF(INDIRECT(ADDRESS($B198+1,BI$164,1,1,"Confirmed Trend"))=0,#N/A,INDIRECT(ADDRESS($B198+1,BI$164,1,1,"Confirmed Trend")))</f>
        <v>#N/A</v>
      </c>
      <c r="BJ198" s="18" t="e" cm="1">
        <f t="array" aca="1" ref="BJ198" ca="1">IF(INDIRECT(ADDRESS($B198+1,BJ$164,1,1,"Confirmed Trend"))=0,#N/A,INDIRECT(ADDRESS($B198+1,BJ$164,1,1,"Confirmed Trend")))</f>
        <v>#N/A</v>
      </c>
      <c r="BK198" s="18" t="e" cm="1">
        <f t="array" aca="1" ref="BK198" ca="1">IF(INDIRECT(ADDRESS($B198+1,BK$164,1,1,"Confirmed Trend"))=0,#N/A,INDIRECT(ADDRESS($B198+1,BK$164,1,1,"Confirmed Trend")))</f>
        <v>#N/A</v>
      </c>
      <c r="BL198" s="18" t="e" cm="1">
        <f t="array" aca="1" ref="BL198" ca="1">IF(INDIRECT(ADDRESS($B198+1,BL$164,1,1,"Confirmed Trend"))=0,#N/A,INDIRECT(ADDRESS($B198+1,BL$164,1,1,"Confirmed Trend")))</f>
        <v>#N/A</v>
      </c>
      <c r="BM198" s="18" t="e" cm="1">
        <f t="array" aca="1" ref="BM198" ca="1">IF(INDIRECT(ADDRESS($B198+1,BM$164,1,1,"Confirmed Trend"))=0,#N/A,INDIRECT(ADDRESS($B198+1,BM$164,1,1,"Confirmed Trend")))</f>
        <v>#N/A</v>
      </c>
      <c r="BN198" s="18" t="e" cm="1">
        <f t="array" aca="1" ref="BN198" ca="1">IF(INDIRECT(ADDRESS($B198+1,BN$164,1,1,"Confirmed Trend"))=0,#N/A,INDIRECT(ADDRESS($B198+1,BN$164,1,1,"Confirmed Trend")))</f>
        <v>#N/A</v>
      </c>
      <c r="BO198" s="18" t="e" cm="1">
        <f t="array" aca="1" ref="BO198" ca="1">IF(INDIRECT(ADDRESS($B198+1,BO$164,1,1,"Confirmed Trend"))=0,#N/A,INDIRECT(ADDRESS($B198+1,BO$164,1,1,"Confirmed Trend")))</f>
        <v>#N/A</v>
      </c>
      <c r="BP198" s="18" t="e" cm="1">
        <f t="array" aca="1" ref="BP198" ca="1">IF(INDIRECT(ADDRESS($B198+1,BP$164,1,1,"Confirmed Trend"))=0,#N/A,INDIRECT(ADDRESS($B198+1,BP$164,1,1,"Confirmed Trend")))</f>
        <v>#N/A</v>
      </c>
      <c r="BQ198" s="18" t="e" cm="1">
        <f t="array" aca="1" ref="BQ198" ca="1">IF(INDIRECT(ADDRESS($B198+1,BQ$164,1,1,"Confirmed Trend"))=0,#N/A,INDIRECT(ADDRESS($B198+1,BQ$164,1,1,"Confirmed Trend")))</f>
        <v>#N/A</v>
      </c>
      <c r="BR198" s="18" t="e" cm="1">
        <f t="array" aca="1" ref="BR198" ca="1">IF(INDIRECT(ADDRESS($B198+1,BR$164,1,1,"Confirmed Trend"))=0,#N/A,INDIRECT(ADDRESS($B198+1,BR$164,1,1,"Confirmed Trend")))</f>
        <v>#N/A</v>
      </c>
      <c r="BS198" s="18" t="e" cm="1">
        <f t="array" aca="1" ref="BS198" ca="1">IF(INDIRECT(ADDRESS($B198+1,BS$164,1,1,"Confirmed Trend"))=0,#N/A,INDIRECT(ADDRESS($B198+1,BS$164,1,1,"Confirmed Trend")))</f>
        <v>#N/A</v>
      </c>
      <c r="BT198" s="18" t="e" cm="1">
        <f t="array" aca="1" ref="BT198" ca="1">IF(INDIRECT(ADDRESS($B198+1,BT$164,1,1,"Confirmed Trend"))=0,#N/A,INDIRECT(ADDRESS($B198+1,BT$164,1,1,"Confirmed Trend")))</f>
        <v>#N/A</v>
      </c>
      <c r="BU198" s="18" t="e" cm="1">
        <f t="array" aca="1" ref="BU198" ca="1">IF(INDIRECT(ADDRESS($B198+1,BU$164,1,1,"Confirmed Trend"))=0,#N/A,INDIRECT(ADDRESS($B198+1,BU$164,1,1,"Confirmed Trend")))</f>
        <v>#N/A</v>
      </c>
      <c r="BV198" s="18" t="e" cm="1">
        <f t="array" aca="1" ref="BV198" ca="1">IF(INDIRECT(ADDRESS($B198+1,BV$164,1,1,"Confirmed Trend"))=0,#N/A,INDIRECT(ADDRESS($B198+1,BV$164,1,1,"Confirmed Trend")))</f>
        <v>#N/A</v>
      </c>
    </row>
    <row r="199" spans="2:74" x14ac:dyDescent="0.25">
      <c r="B199">
        <f t="shared" si="132"/>
        <v>34</v>
      </c>
      <c r="C199" cm="1">
        <f t="array" aca="1" ref="C199" ca="1">INDIRECT(ADDRESS($B199+1,1,1,1,"Confirmed Trend"))</f>
        <v>0</v>
      </c>
      <c r="E199" s="18" t="e" cm="1">
        <f t="array" aca="1" ref="E199" ca="1">IF(INDIRECT(ADDRESS($B199+1,E$164,1,1,"Confirmed Trend"))=0,#N/A,INDIRECT(ADDRESS($B199+1,E$164,1,1,"Confirmed Trend")))</f>
        <v>#N/A</v>
      </c>
      <c r="F199" s="18" t="e" cm="1">
        <f t="array" aca="1" ref="F199" ca="1">IF(INDIRECT(ADDRESS($B199+1,F$164,1,1,"Confirmed Trend"))=0,#N/A,INDIRECT(ADDRESS($B199+1,F$164,1,1,"Confirmed Trend")))</f>
        <v>#N/A</v>
      </c>
      <c r="G199" s="18" t="e" cm="1">
        <f t="array" aca="1" ref="G199" ca="1">IF(INDIRECT(ADDRESS($B199+1,G$164,1,1,"Confirmed Trend"))=0,#N/A,INDIRECT(ADDRESS($B199+1,G$164,1,1,"Confirmed Trend")))</f>
        <v>#N/A</v>
      </c>
      <c r="H199" s="18" t="e" cm="1">
        <f t="array" aca="1" ref="H199" ca="1">IF(INDIRECT(ADDRESS($B199+1,H$164,1,1,"Confirmed Trend"))=0,#N/A,INDIRECT(ADDRESS($B199+1,H$164,1,1,"Confirmed Trend")))</f>
        <v>#N/A</v>
      </c>
      <c r="I199" s="18" t="e" cm="1">
        <f t="array" aca="1" ref="I199" ca="1">IF(INDIRECT(ADDRESS($B199+1,I$164,1,1,"Confirmed Trend"))=0,#N/A,INDIRECT(ADDRESS($B199+1,I$164,1,1,"Confirmed Trend")))</f>
        <v>#N/A</v>
      </c>
      <c r="J199" s="18" t="e" cm="1">
        <f t="array" aca="1" ref="J199" ca="1">IF(INDIRECT(ADDRESS($B199+1,J$164,1,1,"Confirmed Trend"))=0,#N/A,INDIRECT(ADDRESS($B199+1,J$164,1,1,"Confirmed Trend")))</f>
        <v>#N/A</v>
      </c>
      <c r="K199" s="18" t="e" cm="1">
        <f t="array" aca="1" ref="K199" ca="1">IF(INDIRECT(ADDRESS($B199+1,K$164,1,1,"Confirmed Trend"))=0,#N/A,INDIRECT(ADDRESS($B199+1,K$164,1,1,"Confirmed Trend")))</f>
        <v>#N/A</v>
      </c>
      <c r="L199" s="18" t="e" cm="1">
        <f t="array" aca="1" ref="L199" ca="1">IF(INDIRECT(ADDRESS($B199+1,L$164,1,1,"Confirmed Trend"))=0,#N/A,INDIRECT(ADDRESS($B199+1,L$164,1,1,"Confirmed Trend")))</f>
        <v>#N/A</v>
      </c>
      <c r="M199" s="18" t="e" cm="1">
        <f t="array" aca="1" ref="M199" ca="1">IF(INDIRECT(ADDRESS($B199+1,M$164,1,1,"Confirmed Trend"))=0,#N/A,INDIRECT(ADDRESS($B199+1,M$164,1,1,"Confirmed Trend")))</f>
        <v>#N/A</v>
      </c>
      <c r="N199" s="18" t="e" cm="1">
        <f t="array" aca="1" ref="N199" ca="1">IF(INDIRECT(ADDRESS($B199+1,N$164,1,1,"Confirmed Trend"))=0,#N/A,INDIRECT(ADDRESS($B199+1,N$164,1,1,"Confirmed Trend")))</f>
        <v>#N/A</v>
      </c>
      <c r="O199" s="18" t="e" cm="1">
        <f t="array" aca="1" ref="O199" ca="1">IF(INDIRECT(ADDRESS($B199+1,O$164,1,1,"Confirmed Trend"))=0,#N/A,INDIRECT(ADDRESS($B199+1,O$164,1,1,"Confirmed Trend")))</f>
        <v>#N/A</v>
      </c>
      <c r="P199" s="18" t="e" cm="1">
        <f t="array" aca="1" ref="P199" ca="1">IF(INDIRECT(ADDRESS($B199+1,P$164,1,1,"Confirmed Trend"))=0,#N/A,INDIRECT(ADDRESS($B199+1,P$164,1,1,"Confirmed Trend")))</f>
        <v>#N/A</v>
      </c>
      <c r="Q199" s="18" t="e" cm="1">
        <f t="array" aca="1" ref="Q199" ca="1">IF(INDIRECT(ADDRESS($B199+1,Q$164,1,1,"Confirmed Trend"))=0,#N/A,INDIRECT(ADDRESS($B199+1,Q$164,1,1,"Confirmed Trend")))</f>
        <v>#N/A</v>
      </c>
      <c r="R199" s="18" t="e" cm="1">
        <f t="array" aca="1" ref="R199" ca="1">IF(INDIRECT(ADDRESS($B199+1,R$164,1,1,"Confirmed Trend"))=0,#N/A,INDIRECT(ADDRESS($B199+1,R$164,1,1,"Confirmed Trend")))</f>
        <v>#N/A</v>
      </c>
      <c r="S199" s="18" t="e" cm="1">
        <f t="array" aca="1" ref="S199" ca="1">IF(INDIRECT(ADDRESS($B199+1,S$164,1,1,"Confirmed Trend"))=0,#N/A,INDIRECT(ADDRESS($B199+1,S$164,1,1,"Confirmed Trend")))</f>
        <v>#N/A</v>
      </c>
      <c r="T199" s="18" t="e" cm="1">
        <f t="array" aca="1" ref="T199" ca="1">IF(INDIRECT(ADDRESS($B199+1,T$164,1,1,"Confirmed Trend"))=0,#N/A,INDIRECT(ADDRESS($B199+1,T$164,1,1,"Confirmed Trend")))</f>
        <v>#N/A</v>
      </c>
      <c r="U199" s="18" t="e" cm="1">
        <f t="array" aca="1" ref="U199" ca="1">IF(INDIRECT(ADDRESS($B199+1,U$164,1,1,"Confirmed Trend"))=0,#N/A,INDIRECT(ADDRESS($B199+1,U$164,1,1,"Confirmed Trend")))</f>
        <v>#N/A</v>
      </c>
      <c r="V199" s="18" t="e" cm="1">
        <f t="array" aca="1" ref="V199" ca="1">IF(INDIRECT(ADDRESS($B199+1,V$164,1,1,"Confirmed Trend"))=0,#N/A,INDIRECT(ADDRESS($B199+1,V$164,1,1,"Confirmed Trend")))</f>
        <v>#N/A</v>
      </c>
      <c r="W199" s="18" t="e" cm="1">
        <f t="array" aca="1" ref="W199" ca="1">IF(INDIRECT(ADDRESS($B199+1,W$164,1,1,"Confirmed Trend"))=0,#N/A,INDIRECT(ADDRESS($B199+1,W$164,1,1,"Confirmed Trend")))</f>
        <v>#N/A</v>
      </c>
      <c r="X199" s="18" t="e" cm="1">
        <f t="array" aca="1" ref="X199" ca="1">IF(INDIRECT(ADDRESS($B199+1,X$164,1,1,"Confirmed Trend"))=0,#N/A,INDIRECT(ADDRESS($B199+1,X$164,1,1,"Confirmed Trend")))</f>
        <v>#N/A</v>
      </c>
      <c r="Y199" s="18" t="e" cm="1">
        <f t="array" aca="1" ref="Y199" ca="1">IF(INDIRECT(ADDRESS($B199+1,Y$164,1,1,"Confirmed Trend"))=0,#N/A,INDIRECT(ADDRESS($B199+1,Y$164,1,1,"Confirmed Trend")))</f>
        <v>#N/A</v>
      </c>
      <c r="Z199" s="18" t="e" cm="1">
        <f t="array" aca="1" ref="Z199" ca="1">IF(INDIRECT(ADDRESS($B199+1,Z$164,1,1,"Confirmed Trend"))=0,#N/A,INDIRECT(ADDRESS($B199+1,Z$164,1,1,"Confirmed Trend")))</f>
        <v>#N/A</v>
      </c>
      <c r="AA199" s="18" t="e" cm="1">
        <f t="array" aca="1" ref="AA199" ca="1">IF(INDIRECT(ADDRESS($B199+1,AA$164,1,1,"Confirmed Trend"))=0,#N/A,INDIRECT(ADDRESS($B199+1,AA$164,1,1,"Confirmed Trend")))</f>
        <v>#N/A</v>
      </c>
      <c r="AB199" s="18" t="e" cm="1">
        <f t="array" aca="1" ref="AB199" ca="1">IF(INDIRECT(ADDRESS($B199+1,AB$164,1,1,"Confirmed Trend"))=0,#N/A,INDIRECT(ADDRESS($B199+1,AB$164,1,1,"Confirmed Trend")))</f>
        <v>#N/A</v>
      </c>
      <c r="AC199" s="18" t="e" cm="1">
        <f t="array" aca="1" ref="AC199" ca="1">IF(INDIRECT(ADDRESS($B199+1,AC$164,1,1,"Confirmed Trend"))=0,#N/A,INDIRECT(ADDRESS($B199+1,AC$164,1,1,"Confirmed Trend")))</f>
        <v>#N/A</v>
      </c>
      <c r="AD199" s="18" t="e" cm="1">
        <f t="array" aca="1" ref="AD199" ca="1">IF(INDIRECT(ADDRESS($B199+1,AD$164,1,1,"Confirmed Trend"))=0,#N/A,INDIRECT(ADDRESS($B199+1,AD$164,1,1,"Confirmed Trend")))</f>
        <v>#N/A</v>
      </c>
      <c r="AE199" s="18" t="e" cm="1">
        <f t="array" aca="1" ref="AE199" ca="1">IF(INDIRECT(ADDRESS($B199+1,AE$164,1,1,"Confirmed Trend"))=0,#N/A,INDIRECT(ADDRESS($B199+1,AE$164,1,1,"Confirmed Trend")))</f>
        <v>#N/A</v>
      </c>
      <c r="AF199" s="18" t="e" cm="1">
        <f t="array" aca="1" ref="AF199" ca="1">IF(INDIRECT(ADDRESS($B199+1,AF$164,1,1,"Confirmed Trend"))=0,#N/A,INDIRECT(ADDRESS($B199+1,AF$164,1,1,"Confirmed Trend")))</f>
        <v>#N/A</v>
      </c>
      <c r="AG199" s="18" t="e" cm="1">
        <f t="array" aca="1" ref="AG199" ca="1">IF(INDIRECT(ADDRESS($B199+1,AG$164,1,1,"Confirmed Trend"))=0,#N/A,INDIRECT(ADDRESS($B199+1,AG$164,1,1,"Confirmed Trend")))</f>
        <v>#N/A</v>
      </c>
      <c r="AH199" s="18" t="e" cm="1">
        <f t="array" aca="1" ref="AH199" ca="1">IF(INDIRECT(ADDRESS($B199+1,AH$164,1,1,"Confirmed Trend"))=0,#N/A,INDIRECT(ADDRESS($B199+1,AH$164,1,1,"Confirmed Trend")))</f>
        <v>#N/A</v>
      </c>
      <c r="AI199" s="18" t="e" cm="1">
        <f t="array" aca="1" ref="AI199" ca="1">IF(INDIRECT(ADDRESS($B199+1,AI$164,1,1,"Confirmed Trend"))=0,#N/A,INDIRECT(ADDRESS($B199+1,AI$164,1,1,"Confirmed Trend")))</f>
        <v>#N/A</v>
      </c>
      <c r="AJ199" s="18" t="e" cm="1">
        <f t="array" aca="1" ref="AJ199" ca="1">IF(INDIRECT(ADDRESS($B199+1,AJ$164,1,1,"Confirmed Trend"))=0,#N/A,INDIRECT(ADDRESS($B199+1,AJ$164,1,1,"Confirmed Trend")))</f>
        <v>#N/A</v>
      </c>
      <c r="AK199" s="18" t="e" cm="1">
        <f t="array" aca="1" ref="AK199" ca="1">IF(INDIRECT(ADDRESS($B199+1,AK$164,1,1,"Confirmed Trend"))=0,#N/A,INDIRECT(ADDRESS($B199+1,AK$164,1,1,"Confirmed Trend")))</f>
        <v>#N/A</v>
      </c>
      <c r="AL199" s="18" t="e" cm="1">
        <f t="array" aca="1" ref="AL199" ca="1">IF(INDIRECT(ADDRESS($B199+1,AL$164,1,1,"Confirmed Trend"))=0,#N/A,INDIRECT(ADDRESS($B199+1,AL$164,1,1,"Confirmed Trend")))</f>
        <v>#N/A</v>
      </c>
      <c r="AM199" s="18" t="e" cm="1">
        <f t="array" aca="1" ref="AM199" ca="1">IF(INDIRECT(ADDRESS($B199+1,AM$164,1,1,"Confirmed Trend"))=0,#N/A,INDIRECT(ADDRESS($B199+1,AM$164,1,1,"Confirmed Trend")))</f>
        <v>#N/A</v>
      </c>
      <c r="AN199" s="18" t="e" cm="1">
        <f t="array" aca="1" ref="AN199" ca="1">IF(INDIRECT(ADDRESS($B199+1,AN$164,1,1,"Confirmed Trend"))=0,#N/A,INDIRECT(ADDRESS($B199+1,AN$164,1,1,"Confirmed Trend")))</f>
        <v>#N/A</v>
      </c>
      <c r="AO199" s="18" t="e" cm="1">
        <f t="array" aca="1" ref="AO199" ca="1">IF(INDIRECT(ADDRESS($B199+1,AO$164,1,1,"Confirmed Trend"))=0,#N/A,INDIRECT(ADDRESS($B199+1,AO$164,1,1,"Confirmed Trend")))</f>
        <v>#N/A</v>
      </c>
      <c r="AP199" s="18" t="e" cm="1">
        <f t="array" aca="1" ref="AP199" ca="1">IF(INDIRECT(ADDRESS($B199+1,AP$164,1,1,"Confirmed Trend"))=0,#N/A,INDIRECT(ADDRESS($B199+1,AP$164,1,1,"Confirmed Trend")))</f>
        <v>#N/A</v>
      </c>
      <c r="AQ199" s="18" t="e" cm="1">
        <f t="array" aca="1" ref="AQ199" ca="1">IF(INDIRECT(ADDRESS($B199+1,AQ$164,1,1,"Confirmed Trend"))=0,#N/A,INDIRECT(ADDRESS($B199+1,AQ$164,1,1,"Confirmed Trend")))</f>
        <v>#N/A</v>
      </c>
      <c r="AR199" s="18" t="e" cm="1">
        <f t="array" aca="1" ref="AR199" ca="1">IF(INDIRECT(ADDRESS($B199+1,AR$164,1,1,"Confirmed Trend"))=0,#N/A,INDIRECT(ADDRESS($B199+1,AR$164,1,1,"Confirmed Trend")))</f>
        <v>#N/A</v>
      </c>
      <c r="AS199" s="18" t="e" cm="1">
        <f t="array" aca="1" ref="AS199" ca="1">IF(INDIRECT(ADDRESS($B199+1,AS$164,1,1,"Confirmed Trend"))=0,#N/A,INDIRECT(ADDRESS($B199+1,AS$164,1,1,"Confirmed Trend")))</f>
        <v>#N/A</v>
      </c>
      <c r="AT199" s="18" t="e" cm="1">
        <f t="array" aca="1" ref="AT199" ca="1">IF(INDIRECT(ADDRESS($B199+1,AT$164,1,1,"Confirmed Trend"))=0,#N/A,INDIRECT(ADDRESS($B199+1,AT$164,1,1,"Confirmed Trend")))</f>
        <v>#N/A</v>
      </c>
      <c r="AU199" s="18" t="e" cm="1">
        <f t="array" aca="1" ref="AU199" ca="1">IF(INDIRECT(ADDRESS($B199+1,AU$164,1,1,"Confirmed Trend"))=0,#N/A,INDIRECT(ADDRESS($B199+1,AU$164,1,1,"Confirmed Trend")))</f>
        <v>#N/A</v>
      </c>
      <c r="AV199" s="18" t="e" cm="1">
        <f t="array" aca="1" ref="AV199" ca="1">IF(INDIRECT(ADDRESS($B199+1,AV$164,1,1,"Confirmed Trend"))=0,#N/A,INDIRECT(ADDRESS($B199+1,AV$164,1,1,"Confirmed Trend")))</f>
        <v>#N/A</v>
      </c>
      <c r="AW199" s="18" t="e" cm="1">
        <f t="array" aca="1" ref="AW199" ca="1">IF(INDIRECT(ADDRESS($B199+1,AW$164,1,1,"Confirmed Trend"))=0,#N/A,INDIRECT(ADDRESS($B199+1,AW$164,1,1,"Confirmed Trend")))</f>
        <v>#N/A</v>
      </c>
      <c r="AX199" s="18" t="e" cm="1">
        <f t="array" aca="1" ref="AX199" ca="1">IF(INDIRECT(ADDRESS($B199+1,AX$164,1,1,"Confirmed Trend"))=0,#N/A,INDIRECT(ADDRESS($B199+1,AX$164,1,1,"Confirmed Trend")))</f>
        <v>#N/A</v>
      </c>
      <c r="AY199" s="18" t="e" cm="1">
        <f t="array" aca="1" ref="AY199" ca="1">IF(INDIRECT(ADDRESS($B199+1,AY$164,1,1,"Confirmed Trend"))=0,#N/A,INDIRECT(ADDRESS($B199+1,AY$164,1,1,"Confirmed Trend")))</f>
        <v>#N/A</v>
      </c>
      <c r="AZ199" s="18" t="e" cm="1">
        <f t="array" aca="1" ref="AZ199" ca="1">IF(INDIRECT(ADDRESS($B199+1,AZ$164,1,1,"Confirmed Trend"))=0,#N/A,INDIRECT(ADDRESS($B199+1,AZ$164,1,1,"Confirmed Trend")))</f>
        <v>#N/A</v>
      </c>
      <c r="BA199" s="18" t="e" cm="1">
        <f t="array" aca="1" ref="BA199" ca="1">IF(INDIRECT(ADDRESS($B199+1,BA$164,1,1,"Confirmed Trend"))=0,#N/A,INDIRECT(ADDRESS($B199+1,BA$164,1,1,"Confirmed Trend")))</f>
        <v>#N/A</v>
      </c>
      <c r="BB199" s="18" t="e" cm="1">
        <f t="array" aca="1" ref="BB199" ca="1">IF(INDIRECT(ADDRESS($B199+1,BB$164,1,1,"Confirmed Trend"))=0,#N/A,INDIRECT(ADDRESS($B199+1,BB$164,1,1,"Confirmed Trend")))</f>
        <v>#N/A</v>
      </c>
      <c r="BC199" s="18" t="e" cm="1">
        <f t="array" aca="1" ref="BC199" ca="1">IF(INDIRECT(ADDRESS($B199+1,BC$164,1,1,"Confirmed Trend"))=0,#N/A,INDIRECT(ADDRESS($B199+1,BC$164,1,1,"Confirmed Trend")))</f>
        <v>#N/A</v>
      </c>
      <c r="BD199" s="18" t="e" cm="1">
        <f t="array" aca="1" ref="BD199" ca="1">IF(INDIRECT(ADDRESS($B199+1,BD$164,1,1,"Confirmed Trend"))=0,#N/A,INDIRECT(ADDRESS($B199+1,BD$164,1,1,"Confirmed Trend")))</f>
        <v>#N/A</v>
      </c>
      <c r="BE199" s="18" t="e" cm="1">
        <f t="array" aca="1" ref="BE199" ca="1">IF(INDIRECT(ADDRESS($B199+1,BE$164,1,1,"Confirmed Trend"))=0,#N/A,INDIRECT(ADDRESS($B199+1,BE$164,1,1,"Confirmed Trend")))</f>
        <v>#N/A</v>
      </c>
      <c r="BF199" s="18" t="e" cm="1">
        <f t="array" aca="1" ref="BF199" ca="1">IF(INDIRECT(ADDRESS($B199+1,BF$164,1,1,"Confirmed Trend"))=0,#N/A,INDIRECT(ADDRESS($B199+1,BF$164,1,1,"Confirmed Trend")))</f>
        <v>#N/A</v>
      </c>
      <c r="BG199" s="18" t="e" cm="1">
        <f t="array" aca="1" ref="BG199" ca="1">IF(INDIRECT(ADDRESS($B199+1,BG$164,1,1,"Confirmed Trend"))=0,#N/A,INDIRECT(ADDRESS($B199+1,BG$164,1,1,"Confirmed Trend")))</f>
        <v>#N/A</v>
      </c>
      <c r="BH199" s="18" t="e" cm="1">
        <f t="array" aca="1" ref="BH199" ca="1">IF(INDIRECT(ADDRESS($B199+1,BH$164,1,1,"Confirmed Trend"))=0,#N/A,INDIRECT(ADDRESS($B199+1,BH$164,1,1,"Confirmed Trend")))</f>
        <v>#N/A</v>
      </c>
      <c r="BI199" s="18" t="e" cm="1">
        <f t="array" aca="1" ref="BI199" ca="1">IF(INDIRECT(ADDRESS($B199+1,BI$164,1,1,"Confirmed Trend"))=0,#N/A,INDIRECT(ADDRESS($B199+1,BI$164,1,1,"Confirmed Trend")))</f>
        <v>#N/A</v>
      </c>
      <c r="BJ199" s="18" t="e" cm="1">
        <f t="array" aca="1" ref="BJ199" ca="1">IF(INDIRECT(ADDRESS($B199+1,BJ$164,1,1,"Confirmed Trend"))=0,#N/A,INDIRECT(ADDRESS($B199+1,BJ$164,1,1,"Confirmed Trend")))</f>
        <v>#N/A</v>
      </c>
      <c r="BK199" s="18" t="e" cm="1">
        <f t="array" aca="1" ref="BK199" ca="1">IF(INDIRECT(ADDRESS($B199+1,BK$164,1,1,"Confirmed Trend"))=0,#N/A,INDIRECT(ADDRESS($B199+1,BK$164,1,1,"Confirmed Trend")))</f>
        <v>#N/A</v>
      </c>
      <c r="BL199" s="18" t="e" cm="1">
        <f t="array" aca="1" ref="BL199" ca="1">IF(INDIRECT(ADDRESS($B199+1,BL$164,1,1,"Confirmed Trend"))=0,#N/A,INDIRECT(ADDRESS($B199+1,BL$164,1,1,"Confirmed Trend")))</f>
        <v>#N/A</v>
      </c>
      <c r="BM199" s="18" t="e" cm="1">
        <f t="array" aca="1" ref="BM199" ca="1">IF(INDIRECT(ADDRESS($B199+1,BM$164,1,1,"Confirmed Trend"))=0,#N/A,INDIRECT(ADDRESS($B199+1,BM$164,1,1,"Confirmed Trend")))</f>
        <v>#N/A</v>
      </c>
      <c r="BN199" s="18" t="e" cm="1">
        <f t="array" aca="1" ref="BN199" ca="1">IF(INDIRECT(ADDRESS($B199+1,BN$164,1,1,"Confirmed Trend"))=0,#N/A,INDIRECT(ADDRESS($B199+1,BN$164,1,1,"Confirmed Trend")))</f>
        <v>#N/A</v>
      </c>
      <c r="BO199" s="18" t="e" cm="1">
        <f t="array" aca="1" ref="BO199" ca="1">IF(INDIRECT(ADDRESS($B199+1,BO$164,1,1,"Confirmed Trend"))=0,#N/A,INDIRECT(ADDRESS($B199+1,BO$164,1,1,"Confirmed Trend")))</f>
        <v>#N/A</v>
      </c>
      <c r="BP199" s="18" t="e" cm="1">
        <f t="array" aca="1" ref="BP199" ca="1">IF(INDIRECT(ADDRESS($B199+1,BP$164,1,1,"Confirmed Trend"))=0,#N/A,INDIRECT(ADDRESS($B199+1,BP$164,1,1,"Confirmed Trend")))</f>
        <v>#N/A</v>
      </c>
      <c r="BQ199" s="18" t="e" cm="1">
        <f t="array" aca="1" ref="BQ199" ca="1">IF(INDIRECT(ADDRESS($B199+1,BQ$164,1,1,"Confirmed Trend"))=0,#N/A,INDIRECT(ADDRESS($B199+1,BQ$164,1,1,"Confirmed Trend")))</f>
        <v>#N/A</v>
      </c>
      <c r="BR199" s="18" t="e" cm="1">
        <f t="array" aca="1" ref="BR199" ca="1">IF(INDIRECT(ADDRESS($B199+1,BR$164,1,1,"Confirmed Trend"))=0,#N/A,INDIRECT(ADDRESS($B199+1,BR$164,1,1,"Confirmed Trend")))</f>
        <v>#N/A</v>
      </c>
      <c r="BS199" s="18" t="e" cm="1">
        <f t="array" aca="1" ref="BS199" ca="1">IF(INDIRECT(ADDRESS($B199+1,BS$164,1,1,"Confirmed Trend"))=0,#N/A,INDIRECT(ADDRESS($B199+1,BS$164,1,1,"Confirmed Trend")))</f>
        <v>#N/A</v>
      </c>
      <c r="BT199" s="18" t="e" cm="1">
        <f t="array" aca="1" ref="BT199" ca="1">IF(INDIRECT(ADDRESS($B199+1,BT$164,1,1,"Confirmed Trend"))=0,#N/A,INDIRECT(ADDRESS($B199+1,BT$164,1,1,"Confirmed Trend")))</f>
        <v>#N/A</v>
      </c>
      <c r="BU199" s="18" t="e" cm="1">
        <f t="array" aca="1" ref="BU199" ca="1">IF(INDIRECT(ADDRESS($B199+1,BU$164,1,1,"Confirmed Trend"))=0,#N/A,INDIRECT(ADDRESS($B199+1,BU$164,1,1,"Confirmed Trend")))</f>
        <v>#N/A</v>
      </c>
      <c r="BV199" s="18" t="e" cm="1">
        <f t="array" aca="1" ref="BV199" ca="1">IF(INDIRECT(ADDRESS($B199+1,BV$164,1,1,"Confirmed Trend"))=0,#N/A,INDIRECT(ADDRESS($B199+1,BV$164,1,1,"Confirmed Trend")))</f>
        <v>#N/A</v>
      </c>
    </row>
    <row r="200" spans="2:74" x14ac:dyDescent="0.25">
      <c r="B200">
        <f t="shared" si="132"/>
        <v>35</v>
      </c>
      <c r="C200" cm="1">
        <f t="array" aca="1" ref="C200" ca="1">INDIRECT(ADDRESS($B200+1,1,1,1,"Confirmed Trend"))</f>
        <v>0</v>
      </c>
      <c r="E200" s="18" t="e" cm="1">
        <f t="array" aca="1" ref="E200" ca="1">IF(INDIRECT(ADDRESS($B200+1,E$164,1,1,"Confirmed Trend"))=0,#N/A,INDIRECT(ADDRESS($B200+1,E$164,1,1,"Confirmed Trend")))</f>
        <v>#N/A</v>
      </c>
      <c r="F200" s="18" t="e" cm="1">
        <f t="array" aca="1" ref="F200" ca="1">IF(INDIRECT(ADDRESS($B200+1,F$164,1,1,"Confirmed Trend"))=0,#N/A,INDIRECT(ADDRESS($B200+1,F$164,1,1,"Confirmed Trend")))</f>
        <v>#N/A</v>
      </c>
      <c r="G200" s="18" t="e" cm="1">
        <f t="array" aca="1" ref="G200" ca="1">IF(INDIRECT(ADDRESS($B200+1,G$164,1,1,"Confirmed Trend"))=0,#N/A,INDIRECT(ADDRESS($B200+1,G$164,1,1,"Confirmed Trend")))</f>
        <v>#N/A</v>
      </c>
      <c r="H200" s="18" t="e" cm="1">
        <f t="array" aca="1" ref="H200" ca="1">IF(INDIRECT(ADDRESS($B200+1,H$164,1,1,"Confirmed Trend"))=0,#N/A,INDIRECT(ADDRESS($B200+1,H$164,1,1,"Confirmed Trend")))</f>
        <v>#N/A</v>
      </c>
      <c r="I200" s="18" t="e" cm="1">
        <f t="array" aca="1" ref="I200" ca="1">IF(INDIRECT(ADDRESS($B200+1,I$164,1,1,"Confirmed Trend"))=0,#N/A,INDIRECT(ADDRESS($B200+1,I$164,1,1,"Confirmed Trend")))</f>
        <v>#N/A</v>
      </c>
      <c r="J200" s="18" t="e" cm="1">
        <f t="array" aca="1" ref="J200" ca="1">IF(INDIRECT(ADDRESS($B200+1,J$164,1,1,"Confirmed Trend"))=0,#N/A,INDIRECT(ADDRESS($B200+1,J$164,1,1,"Confirmed Trend")))</f>
        <v>#N/A</v>
      </c>
      <c r="K200" s="18" t="e" cm="1">
        <f t="array" aca="1" ref="K200" ca="1">IF(INDIRECT(ADDRESS($B200+1,K$164,1,1,"Confirmed Trend"))=0,#N/A,INDIRECT(ADDRESS($B200+1,K$164,1,1,"Confirmed Trend")))</f>
        <v>#N/A</v>
      </c>
      <c r="L200" s="18" t="e" cm="1">
        <f t="array" aca="1" ref="L200" ca="1">IF(INDIRECT(ADDRESS($B200+1,L$164,1,1,"Confirmed Trend"))=0,#N/A,INDIRECT(ADDRESS($B200+1,L$164,1,1,"Confirmed Trend")))</f>
        <v>#N/A</v>
      </c>
      <c r="M200" s="18" t="e" cm="1">
        <f t="array" aca="1" ref="M200" ca="1">IF(INDIRECT(ADDRESS($B200+1,M$164,1,1,"Confirmed Trend"))=0,#N/A,INDIRECT(ADDRESS($B200+1,M$164,1,1,"Confirmed Trend")))</f>
        <v>#N/A</v>
      </c>
      <c r="N200" s="18" t="e" cm="1">
        <f t="array" aca="1" ref="N200" ca="1">IF(INDIRECT(ADDRESS($B200+1,N$164,1,1,"Confirmed Trend"))=0,#N/A,INDIRECT(ADDRESS($B200+1,N$164,1,1,"Confirmed Trend")))</f>
        <v>#N/A</v>
      </c>
      <c r="O200" s="18" t="e" cm="1">
        <f t="array" aca="1" ref="O200" ca="1">IF(INDIRECT(ADDRESS($B200+1,O$164,1,1,"Confirmed Trend"))=0,#N/A,INDIRECT(ADDRESS($B200+1,O$164,1,1,"Confirmed Trend")))</f>
        <v>#N/A</v>
      </c>
      <c r="P200" s="18" t="e" cm="1">
        <f t="array" aca="1" ref="P200" ca="1">IF(INDIRECT(ADDRESS($B200+1,P$164,1,1,"Confirmed Trend"))=0,#N/A,INDIRECT(ADDRESS($B200+1,P$164,1,1,"Confirmed Trend")))</f>
        <v>#N/A</v>
      </c>
      <c r="Q200" s="18" t="e" cm="1">
        <f t="array" aca="1" ref="Q200" ca="1">IF(INDIRECT(ADDRESS($B200+1,Q$164,1,1,"Confirmed Trend"))=0,#N/A,INDIRECT(ADDRESS($B200+1,Q$164,1,1,"Confirmed Trend")))</f>
        <v>#N/A</v>
      </c>
      <c r="R200" s="18" t="e" cm="1">
        <f t="array" aca="1" ref="R200" ca="1">IF(INDIRECT(ADDRESS($B200+1,R$164,1,1,"Confirmed Trend"))=0,#N/A,INDIRECT(ADDRESS($B200+1,R$164,1,1,"Confirmed Trend")))</f>
        <v>#N/A</v>
      </c>
      <c r="S200" s="18" t="e" cm="1">
        <f t="array" aca="1" ref="S200" ca="1">IF(INDIRECT(ADDRESS($B200+1,S$164,1,1,"Confirmed Trend"))=0,#N/A,INDIRECT(ADDRESS($B200+1,S$164,1,1,"Confirmed Trend")))</f>
        <v>#N/A</v>
      </c>
      <c r="T200" s="18" t="e" cm="1">
        <f t="array" aca="1" ref="T200" ca="1">IF(INDIRECT(ADDRESS($B200+1,T$164,1,1,"Confirmed Trend"))=0,#N/A,INDIRECT(ADDRESS($B200+1,T$164,1,1,"Confirmed Trend")))</f>
        <v>#N/A</v>
      </c>
      <c r="U200" s="18" t="e" cm="1">
        <f t="array" aca="1" ref="U200" ca="1">IF(INDIRECT(ADDRESS($B200+1,U$164,1,1,"Confirmed Trend"))=0,#N/A,INDIRECT(ADDRESS($B200+1,U$164,1,1,"Confirmed Trend")))</f>
        <v>#N/A</v>
      </c>
      <c r="V200" s="18" t="e" cm="1">
        <f t="array" aca="1" ref="V200" ca="1">IF(INDIRECT(ADDRESS($B200+1,V$164,1,1,"Confirmed Trend"))=0,#N/A,INDIRECT(ADDRESS($B200+1,V$164,1,1,"Confirmed Trend")))</f>
        <v>#N/A</v>
      </c>
      <c r="W200" s="18" t="e" cm="1">
        <f t="array" aca="1" ref="W200" ca="1">IF(INDIRECT(ADDRESS($B200+1,W$164,1,1,"Confirmed Trend"))=0,#N/A,INDIRECT(ADDRESS($B200+1,W$164,1,1,"Confirmed Trend")))</f>
        <v>#N/A</v>
      </c>
      <c r="X200" s="18" t="e" cm="1">
        <f t="array" aca="1" ref="X200" ca="1">IF(INDIRECT(ADDRESS($B200+1,X$164,1,1,"Confirmed Trend"))=0,#N/A,INDIRECT(ADDRESS($B200+1,X$164,1,1,"Confirmed Trend")))</f>
        <v>#N/A</v>
      </c>
      <c r="Y200" s="18" t="e" cm="1">
        <f t="array" aca="1" ref="Y200" ca="1">IF(INDIRECT(ADDRESS($B200+1,Y$164,1,1,"Confirmed Trend"))=0,#N/A,INDIRECT(ADDRESS($B200+1,Y$164,1,1,"Confirmed Trend")))</f>
        <v>#N/A</v>
      </c>
      <c r="Z200" s="18" t="e" cm="1">
        <f t="array" aca="1" ref="Z200" ca="1">IF(INDIRECT(ADDRESS($B200+1,Z$164,1,1,"Confirmed Trend"))=0,#N/A,INDIRECT(ADDRESS($B200+1,Z$164,1,1,"Confirmed Trend")))</f>
        <v>#N/A</v>
      </c>
      <c r="AA200" s="18" t="e" cm="1">
        <f t="array" aca="1" ref="AA200" ca="1">IF(INDIRECT(ADDRESS($B200+1,AA$164,1,1,"Confirmed Trend"))=0,#N/A,INDIRECT(ADDRESS($B200+1,AA$164,1,1,"Confirmed Trend")))</f>
        <v>#N/A</v>
      </c>
      <c r="AB200" s="18" t="e" cm="1">
        <f t="array" aca="1" ref="AB200" ca="1">IF(INDIRECT(ADDRESS($B200+1,AB$164,1,1,"Confirmed Trend"))=0,#N/A,INDIRECT(ADDRESS($B200+1,AB$164,1,1,"Confirmed Trend")))</f>
        <v>#N/A</v>
      </c>
      <c r="AC200" s="18" t="e" cm="1">
        <f t="array" aca="1" ref="AC200" ca="1">IF(INDIRECT(ADDRESS($B200+1,AC$164,1,1,"Confirmed Trend"))=0,#N/A,INDIRECT(ADDRESS($B200+1,AC$164,1,1,"Confirmed Trend")))</f>
        <v>#N/A</v>
      </c>
      <c r="AD200" s="18" t="e" cm="1">
        <f t="array" aca="1" ref="AD200" ca="1">IF(INDIRECT(ADDRESS($B200+1,AD$164,1,1,"Confirmed Trend"))=0,#N/A,INDIRECT(ADDRESS($B200+1,AD$164,1,1,"Confirmed Trend")))</f>
        <v>#N/A</v>
      </c>
      <c r="AE200" s="18" t="e" cm="1">
        <f t="array" aca="1" ref="AE200" ca="1">IF(INDIRECT(ADDRESS($B200+1,AE$164,1,1,"Confirmed Trend"))=0,#N/A,INDIRECT(ADDRESS($B200+1,AE$164,1,1,"Confirmed Trend")))</f>
        <v>#N/A</v>
      </c>
      <c r="AF200" s="18" t="e" cm="1">
        <f t="array" aca="1" ref="AF200" ca="1">IF(INDIRECT(ADDRESS($B200+1,AF$164,1,1,"Confirmed Trend"))=0,#N/A,INDIRECT(ADDRESS($B200+1,AF$164,1,1,"Confirmed Trend")))</f>
        <v>#N/A</v>
      </c>
      <c r="AG200" s="18" t="e" cm="1">
        <f t="array" aca="1" ref="AG200" ca="1">IF(INDIRECT(ADDRESS($B200+1,AG$164,1,1,"Confirmed Trend"))=0,#N/A,INDIRECT(ADDRESS($B200+1,AG$164,1,1,"Confirmed Trend")))</f>
        <v>#N/A</v>
      </c>
      <c r="AH200" s="18" t="e" cm="1">
        <f t="array" aca="1" ref="AH200" ca="1">IF(INDIRECT(ADDRESS($B200+1,AH$164,1,1,"Confirmed Trend"))=0,#N/A,INDIRECT(ADDRESS($B200+1,AH$164,1,1,"Confirmed Trend")))</f>
        <v>#N/A</v>
      </c>
      <c r="AI200" s="18" t="e" cm="1">
        <f t="array" aca="1" ref="AI200" ca="1">IF(INDIRECT(ADDRESS($B200+1,AI$164,1,1,"Confirmed Trend"))=0,#N/A,INDIRECT(ADDRESS($B200+1,AI$164,1,1,"Confirmed Trend")))</f>
        <v>#N/A</v>
      </c>
      <c r="AJ200" s="18" t="e" cm="1">
        <f t="array" aca="1" ref="AJ200" ca="1">IF(INDIRECT(ADDRESS($B200+1,AJ$164,1,1,"Confirmed Trend"))=0,#N/A,INDIRECT(ADDRESS($B200+1,AJ$164,1,1,"Confirmed Trend")))</f>
        <v>#N/A</v>
      </c>
      <c r="AK200" s="18" t="e" cm="1">
        <f t="array" aca="1" ref="AK200" ca="1">IF(INDIRECT(ADDRESS($B200+1,AK$164,1,1,"Confirmed Trend"))=0,#N/A,INDIRECT(ADDRESS($B200+1,AK$164,1,1,"Confirmed Trend")))</f>
        <v>#N/A</v>
      </c>
      <c r="AL200" s="18" t="e" cm="1">
        <f t="array" aca="1" ref="AL200" ca="1">IF(INDIRECT(ADDRESS($B200+1,AL$164,1,1,"Confirmed Trend"))=0,#N/A,INDIRECT(ADDRESS($B200+1,AL$164,1,1,"Confirmed Trend")))</f>
        <v>#N/A</v>
      </c>
      <c r="AM200" s="18" t="e" cm="1">
        <f t="array" aca="1" ref="AM200" ca="1">IF(INDIRECT(ADDRESS($B200+1,AM$164,1,1,"Confirmed Trend"))=0,#N/A,INDIRECT(ADDRESS($B200+1,AM$164,1,1,"Confirmed Trend")))</f>
        <v>#N/A</v>
      </c>
      <c r="AN200" s="18" t="e" cm="1">
        <f t="array" aca="1" ref="AN200" ca="1">IF(INDIRECT(ADDRESS($B200+1,AN$164,1,1,"Confirmed Trend"))=0,#N/A,INDIRECT(ADDRESS($B200+1,AN$164,1,1,"Confirmed Trend")))</f>
        <v>#N/A</v>
      </c>
      <c r="AO200" s="18" t="e" cm="1">
        <f t="array" aca="1" ref="AO200" ca="1">IF(INDIRECT(ADDRESS($B200+1,AO$164,1,1,"Confirmed Trend"))=0,#N/A,INDIRECT(ADDRESS($B200+1,AO$164,1,1,"Confirmed Trend")))</f>
        <v>#N/A</v>
      </c>
      <c r="AP200" s="18" t="e" cm="1">
        <f t="array" aca="1" ref="AP200" ca="1">IF(INDIRECT(ADDRESS($B200+1,AP$164,1,1,"Confirmed Trend"))=0,#N/A,INDIRECT(ADDRESS($B200+1,AP$164,1,1,"Confirmed Trend")))</f>
        <v>#N/A</v>
      </c>
      <c r="AQ200" s="18" t="e" cm="1">
        <f t="array" aca="1" ref="AQ200" ca="1">IF(INDIRECT(ADDRESS($B200+1,AQ$164,1,1,"Confirmed Trend"))=0,#N/A,INDIRECT(ADDRESS($B200+1,AQ$164,1,1,"Confirmed Trend")))</f>
        <v>#N/A</v>
      </c>
      <c r="AR200" s="18" t="e" cm="1">
        <f t="array" aca="1" ref="AR200" ca="1">IF(INDIRECT(ADDRESS($B200+1,AR$164,1,1,"Confirmed Trend"))=0,#N/A,INDIRECT(ADDRESS($B200+1,AR$164,1,1,"Confirmed Trend")))</f>
        <v>#N/A</v>
      </c>
      <c r="AS200" s="18" t="e" cm="1">
        <f t="array" aca="1" ref="AS200" ca="1">IF(INDIRECT(ADDRESS($B200+1,AS$164,1,1,"Confirmed Trend"))=0,#N/A,INDIRECT(ADDRESS($B200+1,AS$164,1,1,"Confirmed Trend")))</f>
        <v>#N/A</v>
      </c>
      <c r="AT200" s="18" t="e" cm="1">
        <f t="array" aca="1" ref="AT200" ca="1">IF(INDIRECT(ADDRESS($B200+1,AT$164,1,1,"Confirmed Trend"))=0,#N/A,INDIRECT(ADDRESS($B200+1,AT$164,1,1,"Confirmed Trend")))</f>
        <v>#N/A</v>
      </c>
      <c r="AU200" s="18" t="e" cm="1">
        <f t="array" aca="1" ref="AU200" ca="1">IF(INDIRECT(ADDRESS($B200+1,AU$164,1,1,"Confirmed Trend"))=0,#N/A,INDIRECT(ADDRESS($B200+1,AU$164,1,1,"Confirmed Trend")))</f>
        <v>#N/A</v>
      </c>
      <c r="AV200" s="18" t="e" cm="1">
        <f t="array" aca="1" ref="AV200" ca="1">IF(INDIRECT(ADDRESS($B200+1,AV$164,1,1,"Confirmed Trend"))=0,#N/A,INDIRECT(ADDRESS($B200+1,AV$164,1,1,"Confirmed Trend")))</f>
        <v>#N/A</v>
      </c>
      <c r="AW200" s="18" t="e" cm="1">
        <f t="array" aca="1" ref="AW200" ca="1">IF(INDIRECT(ADDRESS($B200+1,AW$164,1,1,"Confirmed Trend"))=0,#N/A,INDIRECT(ADDRESS($B200+1,AW$164,1,1,"Confirmed Trend")))</f>
        <v>#N/A</v>
      </c>
      <c r="AX200" s="18" t="e" cm="1">
        <f t="array" aca="1" ref="AX200" ca="1">IF(INDIRECT(ADDRESS($B200+1,AX$164,1,1,"Confirmed Trend"))=0,#N/A,INDIRECT(ADDRESS($B200+1,AX$164,1,1,"Confirmed Trend")))</f>
        <v>#N/A</v>
      </c>
      <c r="AY200" s="18" t="e" cm="1">
        <f t="array" aca="1" ref="AY200" ca="1">IF(INDIRECT(ADDRESS($B200+1,AY$164,1,1,"Confirmed Trend"))=0,#N/A,INDIRECT(ADDRESS($B200+1,AY$164,1,1,"Confirmed Trend")))</f>
        <v>#N/A</v>
      </c>
      <c r="AZ200" s="18" t="e" cm="1">
        <f t="array" aca="1" ref="AZ200" ca="1">IF(INDIRECT(ADDRESS($B200+1,AZ$164,1,1,"Confirmed Trend"))=0,#N/A,INDIRECT(ADDRESS($B200+1,AZ$164,1,1,"Confirmed Trend")))</f>
        <v>#N/A</v>
      </c>
      <c r="BA200" s="18" t="e" cm="1">
        <f t="array" aca="1" ref="BA200" ca="1">IF(INDIRECT(ADDRESS($B200+1,BA$164,1,1,"Confirmed Trend"))=0,#N/A,INDIRECT(ADDRESS($B200+1,BA$164,1,1,"Confirmed Trend")))</f>
        <v>#N/A</v>
      </c>
      <c r="BB200" s="18" t="e" cm="1">
        <f t="array" aca="1" ref="BB200" ca="1">IF(INDIRECT(ADDRESS($B200+1,BB$164,1,1,"Confirmed Trend"))=0,#N/A,INDIRECT(ADDRESS($B200+1,BB$164,1,1,"Confirmed Trend")))</f>
        <v>#N/A</v>
      </c>
      <c r="BC200" s="18" t="e" cm="1">
        <f t="array" aca="1" ref="BC200" ca="1">IF(INDIRECT(ADDRESS($B200+1,BC$164,1,1,"Confirmed Trend"))=0,#N/A,INDIRECT(ADDRESS($B200+1,BC$164,1,1,"Confirmed Trend")))</f>
        <v>#N/A</v>
      </c>
      <c r="BD200" s="18" t="e" cm="1">
        <f t="array" aca="1" ref="BD200" ca="1">IF(INDIRECT(ADDRESS($B200+1,BD$164,1,1,"Confirmed Trend"))=0,#N/A,INDIRECT(ADDRESS($B200+1,BD$164,1,1,"Confirmed Trend")))</f>
        <v>#N/A</v>
      </c>
      <c r="BE200" s="18" t="e" cm="1">
        <f t="array" aca="1" ref="BE200" ca="1">IF(INDIRECT(ADDRESS($B200+1,BE$164,1,1,"Confirmed Trend"))=0,#N/A,INDIRECT(ADDRESS($B200+1,BE$164,1,1,"Confirmed Trend")))</f>
        <v>#N/A</v>
      </c>
      <c r="BF200" s="18" t="e" cm="1">
        <f t="array" aca="1" ref="BF200" ca="1">IF(INDIRECT(ADDRESS($B200+1,BF$164,1,1,"Confirmed Trend"))=0,#N/A,INDIRECT(ADDRESS($B200+1,BF$164,1,1,"Confirmed Trend")))</f>
        <v>#N/A</v>
      </c>
      <c r="BG200" s="18" t="e" cm="1">
        <f t="array" aca="1" ref="BG200" ca="1">IF(INDIRECT(ADDRESS($B200+1,BG$164,1,1,"Confirmed Trend"))=0,#N/A,INDIRECT(ADDRESS($B200+1,BG$164,1,1,"Confirmed Trend")))</f>
        <v>#N/A</v>
      </c>
      <c r="BH200" s="18" t="e" cm="1">
        <f t="array" aca="1" ref="BH200" ca="1">IF(INDIRECT(ADDRESS($B200+1,BH$164,1,1,"Confirmed Trend"))=0,#N/A,INDIRECT(ADDRESS($B200+1,BH$164,1,1,"Confirmed Trend")))</f>
        <v>#N/A</v>
      </c>
      <c r="BI200" s="18" t="e" cm="1">
        <f t="array" aca="1" ref="BI200" ca="1">IF(INDIRECT(ADDRESS($B200+1,BI$164,1,1,"Confirmed Trend"))=0,#N/A,INDIRECT(ADDRESS($B200+1,BI$164,1,1,"Confirmed Trend")))</f>
        <v>#N/A</v>
      </c>
      <c r="BJ200" s="18" t="e" cm="1">
        <f t="array" aca="1" ref="BJ200" ca="1">IF(INDIRECT(ADDRESS($B200+1,BJ$164,1,1,"Confirmed Trend"))=0,#N/A,INDIRECT(ADDRESS($B200+1,BJ$164,1,1,"Confirmed Trend")))</f>
        <v>#N/A</v>
      </c>
      <c r="BK200" s="18" t="e" cm="1">
        <f t="array" aca="1" ref="BK200" ca="1">IF(INDIRECT(ADDRESS($B200+1,BK$164,1,1,"Confirmed Trend"))=0,#N/A,INDIRECT(ADDRESS($B200+1,BK$164,1,1,"Confirmed Trend")))</f>
        <v>#N/A</v>
      </c>
      <c r="BL200" s="18" t="e" cm="1">
        <f t="array" aca="1" ref="BL200" ca="1">IF(INDIRECT(ADDRESS($B200+1,BL$164,1,1,"Confirmed Trend"))=0,#N/A,INDIRECT(ADDRESS($B200+1,BL$164,1,1,"Confirmed Trend")))</f>
        <v>#N/A</v>
      </c>
      <c r="BM200" s="18" t="e" cm="1">
        <f t="array" aca="1" ref="BM200" ca="1">IF(INDIRECT(ADDRESS($B200+1,BM$164,1,1,"Confirmed Trend"))=0,#N/A,INDIRECT(ADDRESS($B200+1,BM$164,1,1,"Confirmed Trend")))</f>
        <v>#N/A</v>
      </c>
      <c r="BN200" s="18" t="e" cm="1">
        <f t="array" aca="1" ref="BN200" ca="1">IF(INDIRECT(ADDRESS($B200+1,BN$164,1,1,"Confirmed Trend"))=0,#N/A,INDIRECT(ADDRESS($B200+1,BN$164,1,1,"Confirmed Trend")))</f>
        <v>#N/A</v>
      </c>
      <c r="BO200" s="18" t="e" cm="1">
        <f t="array" aca="1" ref="BO200" ca="1">IF(INDIRECT(ADDRESS($B200+1,BO$164,1,1,"Confirmed Trend"))=0,#N/A,INDIRECT(ADDRESS($B200+1,BO$164,1,1,"Confirmed Trend")))</f>
        <v>#N/A</v>
      </c>
      <c r="BP200" s="18" t="e" cm="1">
        <f t="array" aca="1" ref="BP200" ca="1">IF(INDIRECT(ADDRESS($B200+1,BP$164,1,1,"Confirmed Trend"))=0,#N/A,INDIRECT(ADDRESS($B200+1,BP$164,1,1,"Confirmed Trend")))</f>
        <v>#N/A</v>
      </c>
      <c r="BQ200" s="18" t="e" cm="1">
        <f t="array" aca="1" ref="BQ200" ca="1">IF(INDIRECT(ADDRESS($B200+1,BQ$164,1,1,"Confirmed Trend"))=0,#N/A,INDIRECT(ADDRESS($B200+1,BQ$164,1,1,"Confirmed Trend")))</f>
        <v>#N/A</v>
      </c>
      <c r="BR200" s="18" t="e" cm="1">
        <f t="array" aca="1" ref="BR200" ca="1">IF(INDIRECT(ADDRESS($B200+1,BR$164,1,1,"Confirmed Trend"))=0,#N/A,INDIRECT(ADDRESS($B200+1,BR$164,1,1,"Confirmed Trend")))</f>
        <v>#N/A</v>
      </c>
      <c r="BS200" s="18" t="e" cm="1">
        <f t="array" aca="1" ref="BS200" ca="1">IF(INDIRECT(ADDRESS($B200+1,BS$164,1,1,"Confirmed Trend"))=0,#N/A,INDIRECT(ADDRESS($B200+1,BS$164,1,1,"Confirmed Trend")))</f>
        <v>#N/A</v>
      </c>
      <c r="BT200" s="18" t="e" cm="1">
        <f t="array" aca="1" ref="BT200" ca="1">IF(INDIRECT(ADDRESS($B200+1,BT$164,1,1,"Confirmed Trend"))=0,#N/A,INDIRECT(ADDRESS($B200+1,BT$164,1,1,"Confirmed Trend")))</f>
        <v>#N/A</v>
      </c>
      <c r="BU200" s="18" t="e" cm="1">
        <f t="array" aca="1" ref="BU200" ca="1">IF(INDIRECT(ADDRESS($B200+1,BU$164,1,1,"Confirmed Trend"))=0,#N/A,INDIRECT(ADDRESS($B200+1,BU$164,1,1,"Confirmed Trend")))</f>
        <v>#N/A</v>
      </c>
      <c r="BV200" s="18" t="e" cm="1">
        <f t="array" aca="1" ref="BV200" ca="1">IF(INDIRECT(ADDRESS($B200+1,BV$164,1,1,"Confirmed Trend"))=0,#N/A,INDIRECT(ADDRESS($B200+1,BV$164,1,1,"Confirmed Trend")))</f>
        <v>#N/A</v>
      </c>
    </row>
    <row r="201" spans="2:74" x14ac:dyDescent="0.25">
      <c r="B201">
        <f t="shared" si="132"/>
        <v>36</v>
      </c>
      <c r="C201" cm="1">
        <f t="array" aca="1" ref="C201" ca="1">INDIRECT(ADDRESS($B201+1,1,1,1,"Confirmed Trend"))</f>
        <v>0</v>
      </c>
      <c r="E201" s="18" t="e" cm="1">
        <f t="array" aca="1" ref="E201" ca="1">IF(INDIRECT(ADDRESS($B201+1,E$164,1,1,"Confirmed Trend"))=0,#N/A,INDIRECT(ADDRESS($B201+1,E$164,1,1,"Confirmed Trend")))</f>
        <v>#N/A</v>
      </c>
      <c r="F201" s="18" t="e" cm="1">
        <f t="array" aca="1" ref="F201" ca="1">IF(INDIRECT(ADDRESS($B201+1,F$164,1,1,"Confirmed Trend"))=0,#N/A,INDIRECT(ADDRESS($B201+1,F$164,1,1,"Confirmed Trend")))</f>
        <v>#N/A</v>
      </c>
      <c r="G201" s="18" t="e" cm="1">
        <f t="array" aca="1" ref="G201" ca="1">IF(INDIRECT(ADDRESS($B201+1,G$164,1,1,"Confirmed Trend"))=0,#N/A,INDIRECT(ADDRESS($B201+1,G$164,1,1,"Confirmed Trend")))</f>
        <v>#N/A</v>
      </c>
      <c r="H201" s="18" t="e" cm="1">
        <f t="array" aca="1" ref="H201" ca="1">IF(INDIRECT(ADDRESS($B201+1,H$164,1,1,"Confirmed Trend"))=0,#N/A,INDIRECT(ADDRESS($B201+1,H$164,1,1,"Confirmed Trend")))</f>
        <v>#N/A</v>
      </c>
      <c r="I201" s="18" t="e" cm="1">
        <f t="array" aca="1" ref="I201" ca="1">IF(INDIRECT(ADDRESS($B201+1,I$164,1,1,"Confirmed Trend"))=0,#N/A,INDIRECT(ADDRESS($B201+1,I$164,1,1,"Confirmed Trend")))</f>
        <v>#N/A</v>
      </c>
      <c r="J201" s="18" t="e" cm="1">
        <f t="array" aca="1" ref="J201" ca="1">IF(INDIRECT(ADDRESS($B201+1,J$164,1,1,"Confirmed Trend"))=0,#N/A,INDIRECT(ADDRESS($B201+1,J$164,1,1,"Confirmed Trend")))</f>
        <v>#N/A</v>
      </c>
      <c r="K201" s="18" t="e" cm="1">
        <f t="array" aca="1" ref="K201" ca="1">IF(INDIRECT(ADDRESS($B201+1,K$164,1,1,"Confirmed Trend"))=0,#N/A,INDIRECT(ADDRESS($B201+1,K$164,1,1,"Confirmed Trend")))</f>
        <v>#N/A</v>
      </c>
      <c r="L201" s="18" t="e" cm="1">
        <f t="array" aca="1" ref="L201" ca="1">IF(INDIRECT(ADDRESS($B201+1,L$164,1,1,"Confirmed Trend"))=0,#N/A,INDIRECT(ADDRESS($B201+1,L$164,1,1,"Confirmed Trend")))</f>
        <v>#N/A</v>
      </c>
      <c r="M201" s="18" t="e" cm="1">
        <f t="array" aca="1" ref="M201" ca="1">IF(INDIRECT(ADDRESS($B201+1,M$164,1,1,"Confirmed Trend"))=0,#N/A,INDIRECT(ADDRESS($B201+1,M$164,1,1,"Confirmed Trend")))</f>
        <v>#N/A</v>
      </c>
      <c r="N201" s="18" t="e" cm="1">
        <f t="array" aca="1" ref="N201" ca="1">IF(INDIRECT(ADDRESS($B201+1,N$164,1,1,"Confirmed Trend"))=0,#N/A,INDIRECT(ADDRESS($B201+1,N$164,1,1,"Confirmed Trend")))</f>
        <v>#N/A</v>
      </c>
      <c r="O201" s="18" t="e" cm="1">
        <f t="array" aca="1" ref="O201" ca="1">IF(INDIRECT(ADDRESS($B201+1,O$164,1,1,"Confirmed Trend"))=0,#N/A,INDIRECT(ADDRESS($B201+1,O$164,1,1,"Confirmed Trend")))</f>
        <v>#N/A</v>
      </c>
      <c r="P201" s="18" t="e" cm="1">
        <f t="array" aca="1" ref="P201" ca="1">IF(INDIRECT(ADDRESS($B201+1,P$164,1,1,"Confirmed Trend"))=0,#N/A,INDIRECT(ADDRESS($B201+1,P$164,1,1,"Confirmed Trend")))</f>
        <v>#N/A</v>
      </c>
      <c r="Q201" s="18" t="e" cm="1">
        <f t="array" aca="1" ref="Q201" ca="1">IF(INDIRECT(ADDRESS($B201+1,Q$164,1,1,"Confirmed Trend"))=0,#N/A,INDIRECT(ADDRESS($B201+1,Q$164,1,1,"Confirmed Trend")))</f>
        <v>#N/A</v>
      </c>
      <c r="R201" s="18" t="e" cm="1">
        <f t="array" aca="1" ref="R201" ca="1">IF(INDIRECT(ADDRESS($B201+1,R$164,1,1,"Confirmed Trend"))=0,#N/A,INDIRECT(ADDRESS($B201+1,R$164,1,1,"Confirmed Trend")))</f>
        <v>#N/A</v>
      </c>
      <c r="S201" s="18" t="e" cm="1">
        <f t="array" aca="1" ref="S201" ca="1">IF(INDIRECT(ADDRESS($B201+1,S$164,1,1,"Confirmed Trend"))=0,#N/A,INDIRECT(ADDRESS($B201+1,S$164,1,1,"Confirmed Trend")))</f>
        <v>#N/A</v>
      </c>
      <c r="T201" s="18" t="e" cm="1">
        <f t="array" aca="1" ref="T201" ca="1">IF(INDIRECT(ADDRESS($B201+1,T$164,1,1,"Confirmed Trend"))=0,#N/A,INDIRECT(ADDRESS($B201+1,T$164,1,1,"Confirmed Trend")))</f>
        <v>#N/A</v>
      </c>
      <c r="U201" s="18" t="e" cm="1">
        <f t="array" aca="1" ref="U201" ca="1">IF(INDIRECT(ADDRESS($B201+1,U$164,1,1,"Confirmed Trend"))=0,#N/A,INDIRECT(ADDRESS($B201+1,U$164,1,1,"Confirmed Trend")))</f>
        <v>#N/A</v>
      </c>
      <c r="V201" s="18" t="e" cm="1">
        <f t="array" aca="1" ref="V201" ca="1">IF(INDIRECT(ADDRESS($B201+1,V$164,1,1,"Confirmed Trend"))=0,#N/A,INDIRECT(ADDRESS($B201+1,V$164,1,1,"Confirmed Trend")))</f>
        <v>#N/A</v>
      </c>
      <c r="W201" s="18" t="e" cm="1">
        <f t="array" aca="1" ref="W201" ca="1">IF(INDIRECT(ADDRESS($B201+1,W$164,1,1,"Confirmed Trend"))=0,#N/A,INDIRECT(ADDRESS($B201+1,W$164,1,1,"Confirmed Trend")))</f>
        <v>#N/A</v>
      </c>
      <c r="X201" s="18" t="e" cm="1">
        <f t="array" aca="1" ref="X201" ca="1">IF(INDIRECT(ADDRESS($B201+1,X$164,1,1,"Confirmed Trend"))=0,#N/A,INDIRECT(ADDRESS($B201+1,X$164,1,1,"Confirmed Trend")))</f>
        <v>#N/A</v>
      </c>
      <c r="Y201" s="18" t="e" cm="1">
        <f t="array" aca="1" ref="Y201" ca="1">IF(INDIRECT(ADDRESS($B201+1,Y$164,1,1,"Confirmed Trend"))=0,#N/A,INDIRECT(ADDRESS($B201+1,Y$164,1,1,"Confirmed Trend")))</f>
        <v>#N/A</v>
      </c>
      <c r="Z201" s="18" t="e" cm="1">
        <f t="array" aca="1" ref="Z201" ca="1">IF(INDIRECT(ADDRESS($B201+1,Z$164,1,1,"Confirmed Trend"))=0,#N/A,INDIRECT(ADDRESS($B201+1,Z$164,1,1,"Confirmed Trend")))</f>
        <v>#N/A</v>
      </c>
      <c r="AA201" s="18" t="e" cm="1">
        <f t="array" aca="1" ref="AA201" ca="1">IF(INDIRECT(ADDRESS($B201+1,AA$164,1,1,"Confirmed Trend"))=0,#N/A,INDIRECT(ADDRESS($B201+1,AA$164,1,1,"Confirmed Trend")))</f>
        <v>#N/A</v>
      </c>
      <c r="AB201" s="18" t="e" cm="1">
        <f t="array" aca="1" ref="AB201" ca="1">IF(INDIRECT(ADDRESS($B201+1,AB$164,1,1,"Confirmed Trend"))=0,#N/A,INDIRECT(ADDRESS($B201+1,AB$164,1,1,"Confirmed Trend")))</f>
        <v>#N/A</v>
      </c>
      <c r="AC201" s="18" t="e" cm="1">
        <f t="array" aca="1" ref="AC201" ca="1">IF(INDIRECT(ADDRESS($B201+1,AC$164,1,1,"Confirmed Trend"))=0,#N/A,INDIRECT(ADDRESS($B201+1,AC$164,1,1,"Confirmed Trend")))</f>
        <v>#N/A</v>
      </c>
      <c r="AD201" s="18" t="e" cm="1">
        <f t="array" aca="1" ref="AD201" ca="1">IF(INDIRECT(ADDRESS($B201+1,AD$164,1,1,"Confirmed Trend"))=0,#N/A,INDIRECT(ADDRESS($B201+1,AD$164,1,1,"Confirmed Trend")))</f>
        <v>#N/A</v>
      </c>
      <c r="AE201" s="18" t="e" cm="1">
        <f t="array" aca="1" ref="AE201" ca="1">IF(INDIRECT(ADDRESS($B201+1,AE$164,1,1,"Confirmed Trend"))=0,#N/A,INDIRECT(ADDRESS($B201+1,AE$164,1,1,"Confirmed Trend")))</f>
        <v>#N/A</v>
      </c>
      <c r="AF201" s="18" t="e" cm="1">
        <f t="array" aca="1" ref="AF201" ca="1">IF(INDIRECT(ADDRESS($B201+1,AF$164,1,1,"Confirmed Trend"))=0,#N/A,INDIRECT(ADDRESS($B201+1,AF$164,1,1,"Confirmed Trend")))</f>
        <v>#N/A</v>
      </c>
      <c r="AG201" s="18" t="e" cm="1">
        <f t="array" aca="1" ref="AG201" ca="1">IF(INDIRECT(ADDRESS($B201+1,AG$164,1,1,"Confirmed Trend"))=0,#N/A,INDIRECT(ADDRESS($B201+1,AG$164,1,1,"Confirmed Trend")))</f>
        <v>#N/A</v>
      </c>
      <c r="AH201" s="18" t="e" cm="1">
        <f t="array" aca="1" ref="AH201" ca="1">IF(INDIRECT(ADDRESS($B201+1,AH$164,1,1,"Confirmed Trend"))=0,#N/A,INDIRECT(ADDRESS($B201+1,AH$164,1,1,"Confirmed Trend")))</f>
        <v>#N/A</v>
      </c>
      <c r="AI201" s="18" t="e" cm="1">
        <f t="array" aca="1" ref="AI201" ca="1">IF(INDIRECT(ADDRESS($B201+1,AI$164,1,1,"Confirmed Trend"))=0,#N/A,INDIRECT(ADDRESS($B201+1,AI$164,1,1,"Confirmed Trend")))</f>
        <v>#N/A</v>
      </c>
      <c r="AJ201" s="18" t="e" cm="1">
        <f t="array" aca="1" ref="AJ201" ca="1">IF(INDIRECT(ADDRESS($B201+1,AJ$164,1,1,"Confirmed Trend"))=0,#N/A,INDIRECT(ADDRESS($B201+1,AJ$164,1,1,"Confirmed Trend")))</f>
        <v>#N/A</v>
      </c>
      <c r="AK201" s="18" t="e" cm="1">
        <f t="array" aca="1" ref="AK201" ca="1">IF(INDIRECT(ADDRESS($B201+1,AK$164,1,1,"Confirmed Trend"))=0,#N/A,INDIRECT(ADDRESS($B201+1,AK$164,1,1,"Confirmed Trend")))</f>
        <v>#N/A</v>
      </c>
      <c r="AL201" s="18" t="e" cm="1">
        <f t="array" aca="1" ref="AL201" ca="1">IF(INDIRECT(ADDRESS($B201+1,AL$164,1,1,"Confirmed Trend"))=0,#N/A,INDIRECT(ADDRESS($B201+1,AL$164,1,1,"Confirmed Trend")))</f>
        <v>#N/A</v>
      </c>
      <c r="AM201" s="18" t="e" cm="1">
        <f t="array" aca="1" ref="AM201" ca="1">IF(INDIRECT(ADDRESS($B201+1,AM$164,1,1,"Confirmed Trend"))=0,#N/A,INDIRECT(ADDRESS($B201+1,AM$164,1,1,"Confirmed Trend")))</f>
        <v>#N/A</v>
      </c>
      <c r="AN201" s="18" t="e" cm="1">
        <f t="array" aca="1" ref="AN201" ca="1">IF(INDIRECT(ADDRESS($B201+1,AN$164,1,1,"Confirmed Trend"))=0,#N/A,INDIRECT(ADDRESS($B201+1,AN$164,1,1,"Confirmed Trend")))</f>
        <v>#N/A</v>
      </c>
      <c r="AO201" s="18" t="e" cm="1">
        <f t="array" aca="1" ref="AO201" ca="1">IF(INDIRECT(ADDRESS($B201+1,AO$164,1,1,"Confirmed Trend"))=0,#N/A,INDIRECT(ADDRESS($B201+1,AO$164,1,1,"Confirmed Trend")))</f>
        <v>#N/A</v>
      </c>
      <c r="AP201" s="18" t="e" cm="1">
        <f t="array" aca="1" ref="AP201" ca="1">IF(INDIRECT(ADDRESS($B201+1,AP$164,1,1,"Confirmed Trend"))=0,#N/A,INDIRECT(ADDRESS($B201+1,AP$164,1,1,"Confirmed Trend")))</f>
        <v>#N/A</v>
      </c>
      <c r="AQ201" s="18" t="e" cm="1">
        <f t="array" aca="1" ref="AQ201" ca="1">IF(INDIRECT(ADDRESS($B201+1,AQ$164,1,1,"Confirmed Trend"))=0,#N/A,INDIRECT(ADDRESS($B201+1,AQ$164,1,1,"Confirmed Trend")))</f>
        <v>#N/A</v>
      </c>
      <c r="AR201" s="18" t="e" cm="1">
        <f t="array" aca="1" ref="AR201" ca="1">IF(INDIRECT(ADDRESS($B201+1,AR$164,1,1,"Confirmed Trend"))=0,#N/A,INDIRECT(ADDRESS($B201+1,AR$164,1,1,"Confirmed Trend")))</f>
        <v>#N/A</v>
      </c>
      <c r="AS201" s="18" t="e" cm="1">
        <f t="array" aca="1" ref="AS201" ca="1">IF(INDIRECT(ADDRESS($B201+1,AS$164,1,1,"Confirmed Trend"))=0,#N/A,INDIRECT(ADDRESS($B201+1,AS$164,1,1,"Confirmed Trend")))</f>
        <v>#N/A</v>
      </c>
      <c r="AT201" s="18" t="e" cm="1">
        <f t="array" aca="1" ref="AT201" ca="1">IF(INDIRECT(ADDRESS($B201+1,AT$164,1,1,"Confirmed Trend"))=0,#N/A,INDIRECT(ADDRESS($B201+1,AT$164,1,1,"Confirmed Trend")))</f>
        <v>#N/A</v>
      </c>
      <c r="AU201" s="18" t="e" cm="1">
        <f t="array" aca="1" ref="AU201" ca="1">IF(INDIRECT(ADDRESS($B201+1,AU$164,1,1,"Confirmed Trend"))=0,#N/A,INDIRECT(ADDRESS($B201+1,AU$164,1,1,"Confirmed Trend")))</f>
        <v>#N/A</v>
      </c>
      <c r="AV201" s="18" t="e" cm="1">
        <f t="array" aca="1" ref="AV201" ca="1">IF(INDIRECT(ADDRESS($B201+1,AV$164,1,1,"Confirmed Trend"))=0,#N/A,INDIRECT(ADDRESS($B201+1,AV$164,1,1,"Confirmed Trend")))</f>
        <v>#N/A</v>
      </c>
      <c r="AW201" s="18" t="e" cm="1">
        <f t="array" aca="1" ref="AW201" ca="1">IF(INDIRECT(ADDRESS($B201+1,AW$164,1,1,"Confirmed Trend"))=0,#N/A,INDIRECT(ADDRESS($B201+1,AW$164,1,1,"Confirmed Trend")))</f>
        <v>#N/A</v>
      </c>
      <c r="AX201" s="18" t="e" cm="1">
        <f t="array" aca="1" ref="AX201" ca="1">IF(INDIRECT(ADDRESS($B201+1,AX$164,1,1,"Confirmed Trend"))=0,#N/A,INDIRECT(ADDRESS($B201+1,AX$164,1,1,"Confirmed Trend")))</f>
        <v>#N/A</v>
      </c>
      <c r="AY201" s="18" t="e" cm="1">
        <f t="array" aca="1" ref="AY201" ca="1">IF(INDIRECT(ADDRESS($B201+1,AY$164,1,1,"Confirmed Trend"))=0,#N/A,INDIRECT(ADDRESS($B201+1,AY$164,1,1,"Confirmed Trend")))</f>
        <v>#N/A</v>
      </c>
      <c r="AZ201" s="18" t="e" cm="1">
        <f t="array" aca="1" ref="AZ201" ca="1">IF(INDIRECT(ADDRESS($B201+1,AZ$164,1,1,"Confirmed Trend"))=0,#N/A,INDIRECT(ADDRESS($B201+1,AZ$164,1,1,"Confirmed Trend")))</f>
        <v>#N/A</v>
      </c>
      <c r="BA201" s="18" t="e" cm="1">
        <f t="array" aca="1" ref="BA201" ca="1">IF(INDIRECT(ADDRESS($B201+1,BA$164,1,1,"Confirmed Trend"))=0,#N/A,INDIRECT(ADDRESS($B201+1,BA$164,1,1,"Confirmed Trend")))</f>
        <v>#N/A</v>
      </c>
      <c r="BB201" s="18" t="e" cm="1">
        <f t="array" aca="1" ref="BB201" ca="1">IF(INDIRECT(ADDRESS($B201+1,BB$164,1,1,"Confirmed Trend"))=0,#N/A,INDIRECT(ADDRESS($B201+1,BB$164,1,1,"Confirmed Trend")))</f>
        <v>#N/A</v>
      </c>
      <c r="BC201" s="18" t="e" cm="1">
        <f t="array" aca="1" ref="BC201" ca="1">IF(INDIRECT(ADDRESS($B201+1,BC$164,1,1,"Confirmed Trend"))=0,#N/A,INDIRECT(ADDRESS($B201+1,BC$164,1,1,"Confirmed Trend")))</f>
        <v>#N/A</v>
      </c>
      <c r="BD201" s="18" t="e" cm="1">
        <f t="array" aca="1" ref="BD201" ca="1">IF(INDIRECT(ADDRESS($B201+1,BD$164,1,1,"Confirmed Trend"))=0,#N/A,INDIRECT(ADDRESS($B201+1,BD$164,1,1,"Confirmed Trend")))</f>
        <v>#N/A</v>
      </c>
      <c r="BE201" s="18" t="e" cm="1">
        <f t="array" aca="1" ref="BE201" ca="1">IF(INDIRECT(ADDRESS($B201+1,BE$164,1,1,"Confirmed Trend"))=0,#N/A,INDIRECT(ADDRESS($B201+1,BE$164,1,1,"Confirmed Trend")))</f>
        <v>#N/A</v>
      </c>
      <c r="BF201" s="18" t="e" cm="1">
        <f t="array" aca="1" ref="BF201" ca="1">IF(INDIRECT(ADDRESS($B201+1,BF$164,1,1,"Confirmed Trend"))=0,#N/A,INDIRECT(ADDRESS($B201+1,BF$164,1,1,"Confirmed Trend")))</f>
        <v>#N/A</v>
      </c>
      <c r="BG201" s="18" t="e" cm="1">
        <f t="array" aca="1" ref="BG201" ca="1">IF(INDIRECT(ADDRESS($B201+1,BG$164,1,1,"Confirmed Trend"))=0,#N/A,INDIRECT(ADDRESS($B201+1,BG$164,1,1,"Confirmed Trend")))</f>
        <v>#N/A</v>
      </c>
      <c r="BH201" s="18" t="e" cm="1">
        <f t="array" aca="1" ref="BH201" ca="1">IF(INDIRECT(ADDRESS($B201+1,BH$164,1,1,"Confirmed Trend"))=0,#N/A,INDIRECT(ADDRESS($B201+1,BH$164,1,1,"Confirmed Trend")))</f>
        <v>#N/A</v>
      </c>
      <c r="BI201" s="18" t="e" cm="1">
        <f t="array" aca="1" ref="BI201" ca="1">IF(INDIRECT(ADDRESS($B201+1,BI$164,1,1,"Confirmed Trend"))=0,#N/A,INDIRECT(ADDRESS($B201+1,BI$164,1,1,"Confirmed Trend")))</f>
        <v>#N/A</v>
      </c>
      <c r="BJ201" s="18" t="e" cm="1">
        <f t="array" aca="1" ref="BJ201" ca="1">IF(INDIRECT(ADDRESS($B201+1,BJ$164,1,1,"Confirmed Trend"))=0,#N/A,INDIRECT(ADDRESS($B201+1,BJ$164,1,1,"Confirmed Trend")))</f>
        <v>#N/A</v>
      </c>
      <c r="BK201" s="18" t="e" cm="1">
        <f t="array" aca="1" ref="BK201" ca="1">IF(INDIRECT(ADDRESS($B201+1,BK$164,1,1,"Confirmed Trend"))=0,#N/A,INDIRECT(ADDRESS($B201+1,BK$164,1,1,"Confirmed Trend")))</f>
        <v>#N/A</v>
      </c>
      <c r="BL201" s="18" t="e" cm="1">
        <f t="array" aca="1" ref="BL201" ca="1">IF(INDIRECT(ADDRESS($B201+1,BL$164,1,1,"Confirmed Trend"))=0,#N/A,INDIRECT(ADDRESS($B201+1,BL$164,1,1,"Confirmed Trend")))</f>
        <v>#N/A</v>
      </c>
      <c r="BM201" s="18" t="e" cm="1">
        <f t="array" aca="1" ref="BM201" ca="1">IF(INDIRECT(ADDRESS($B201+1,BM$164,1,1,"Confirmed Trend"))=0,#N/A,INDIRECT(ADDRESS($B201+1,BM$164,1,1,"Confirmed Trend")))</f>
        <v>#N/A</v>
      </c>
      <c r="BN201" s="18" t="e" cm="1">
        <f t="array" aca="1" ref="BN201" ca="1">IF(INDIRECT(ADDRESS($B201+1,BN$164,1,1,"Confirmed Trend"))=0,#N/A,INDIRECT(ADDRESS($B201+1,BN$164,1,1,"Confirmed Trend")))</f>
        <v>#N/A</v>
      </c>
      <c r="BO201" s="18" t="e" cm="1">
        <f t="array" aca="1" ref="BO201" ca="1">IF(INDIRECT(ADDRESS($B201+1,BO$164,1,1,"Confirmed Trend"))=0,#N/A,INDIRECT(ADDRESS($B201+1,BO$164,1,1,"Confirmed Trend")))</f>
        <v>#N/A</v>
      </c>
      <c r="BP201" s="18" t="e" cm="1">
        <f t="array" aca="1" ref="BP201" ca="1">IF(INDIRECT(ADDRESS($B201+1,BP$164,1,1,"Confirmed Trend"))=0,#N/A,INDIRECT(ADDRESS($B201+1,BP$164,1,1,"Confirmed Trend")))</f>
        <v>#N/A</v>
      </c>
      <c r="BQ201" s="18" t="e" cm="1">
        <f t="array" aca="1" ref="BQ201" ca="1">IF(INDIRECT(ADDRESS($B201+1,BQ$164,1,1,"Confirmed Trend"))=0,#N/A,INDIRECT(ADDRESS($B201+1,BQ$164,1,1,"Confirmed Trend")))</f>
        <v>#N/A</v>
      </c>
      <c r="BR201" s="18" t="e" cm="1">
        <f t="array" aca="1" ref="BR201" ca="1">IF(INDIRECT(ADDRESS($B201+1,BR$164,1,1,"Confirmed Trend"))=0,#N/A,INDIRECT(ADDRESS($B201+1,BR$164,1,1,"Confirmed Trend")))</f>
        <v>#N/A</v>
      </c>
      <c r="BS201" s="18" t="e" cm="1">
        <f t="array" aca="1" ref="BS201" ca="1">IF(INDIRECT(ADDRESS($B201+1,BS$164,1,1,"Confirmed Trend"))=0,#N/A,INDIRECT(ADDRESS($B201+1,BS$164,1,1,"Confirmed Trend")))</f>
        <v>#N/A</v>
      </c>
      <c r="BT201" s="18" t="e" cm="1">
        <f t="array" aca="1" ref="BT201" ca="1">IF(INDIRECT(ADDRESS($B201+1,BT$164,1,1,"Confirmed Trend"))=0,#N/A,INDIRECT(ADDRESS($B201+1,BT$164,1,1,"Confirmed Trend")))</f>
        <v>#N/A</v>
      </c>
      <c r="BU201" s="18" t="e" cm="1">
        <f t="array" aca="1" ref="BU201" ca="1">IF(INDIRECT(ADDRESS($B201+1,BU$164,1,1,"Confirmed Trend"))=0,#N/A,INDIRECT(ADDRESS($B201+1,BU$164,1,1,"Confirmed Trend")))</f>
        <v>#N/A</v>
      </c>
      <c r="BV201" s="18" t="e" cm="1">
        <f t="array" aca="1" ref="BV201" ca="1">IF(INDIRECT(ADDRESS($B201+1,BV$164,1,1,"Confirmed Trend"))=0,#N/A,INDIRECT(ADDRESS($B201+1,BV$164,1,1,"Confirmed Trend")))</f>
        <v>#N/A</v>
      </c>
    </row>
    <row r="202" spans="2:74" x14ac:dyDescent="0.25">
      <c r="B202">
        <f t="shared" si="132"/>
        <v>37</v>
      </c>
      <c r="C202" cm="1">
        <f t="array" aca="1" ref="C202" ca="1">INDIRECT(ADDRESS($B202+1,1,1,1,"Confirmed Trend"))</f>
        <v>0</v>
      </c>
      <c r="E202" s="18" t="e" cm="1">
        <f t="array" aca="1" ref="E202" ca="1">IF(INDIRECT(ADDRESS($B202+1,E$164,1,1,"Confirmed Trend"))=0,#N/A,INDIRECT(ADDRESS($B202+1,E$164,1,1,"Confirmed Trend")))</f>
        <v>#N/A</v>
      </c>
      <c r="F202" s="18" t="e" cm="1">
        <f t="array" aca="1" ref="F202" ca="1">IF(INDIRECT(ADDRESS($B202+1,F$164,1,1,"Confirmed Trend"))=0,#N/A,INDIRECT(ADDRESS($B202+1,F$164,1,1,"Confirmed Trend")))</f>
        <v>#N/A</v>
      </c>
      <c r="G202" s="18" t="e" cm="1">
        <f t="array" aca="1" ref="G202" ca="1">IF(INDIRECT(ADDRESS($B202+1,G$164,1,1,"Confirmed Trend"))=0,#N/A,INDIRECT(ADDRESS($B202+1,G$164,1,1,"Confirmed Trend")))</f>
        <v>#N/A</v>
      </c>
      <c r="H202" s="18" t="e" cm="1">
        <f t="array" aca="1" ref="H202" ca="1">IF(INDIRECT(ADDRESS($B202+1,H$164,1,1,"Confirmed Trend"))=0,#N/A,INDIRECT(ADDRESS($B202+1,H$164,1,1,"Confirmed Trend")))</f>
        <v>#N/A</v>
      </c>
      <c r="I202" s="18" t="e" cm="1">
        <f t="array" aca="1" ref="I202" ca="1">IF(INDIRECT(ADDRESS($B202+1,I$164,1,1,"Confirmed Trend"))=0,#N/A,INDIRECT(ADDRESS($B202+1,I$164,1,1,"Confirmed Trend")))</f>
        <v>#N/A</v>
      </c>
      <c r="J202" s="18" t="e" cm="1">
        <f t="array" aca="1" ref="J202" ca="1">IF(INDIRECT(ADDRESS($B202+1,J$164,1,1,"Confirmed Trend"))=0,#N/A,INDIRECT(ADDRESS($B202+1,J$164,1,1,"Confirmed Trend")))</f>
        <v>#N/A</v>
      </c>
      <c r="K202" s="18" t="e" cm="1">
        <f t="array" aca="1" ref="K202" ca="1">IF(INDIRECT(ADDRESS($B202+1,K$164,1,1,"Confirmed Trend"))=0,#N/A,INDIRECT(ADDRESS($B202+1,K$164,1,1,"Confirmed Trend")))</f>
        <v>#N/A</v>
      </c>
      <c r="L202" s="18" t="e" cm="1">
        <f t="array" aca="1" ref="L202" ca="1">IF(INDIRECT(ADDRESS($B202+1,L$164,1,1,"Confirmed Trend"))=0,#N/A,INDIRECT(ADDRESS($B202+1,L$164,1,1,"Confirmed Trend")))</f>
        <v>#N/A</v>
      </c>
      <c r="M202" s="18" t="e" cm="1">
        <f t="array" aca="1" ref="M202" ca="1">IF(INDIRECT(ADDRESS($B202+1,M$164,1,1,"Confirmed Trend"))=0,#N/A,INDIRECT(ADDRESS($B202+1,M$164,1,1,"Confirmed Trend")))</f>
        <v>#N/A</v>
      </c>
      <c r="N202" s="18" t="e" cm="1">
        <f t="array" aca="1" ref="N202" ca="1">IF(INDIRECT(ADDRESS($B202+1,N$164,1,1,"Confirmed Trend"))=0,#N/A,INDIRECT(ADDRESS($B202+1,N$164,1,1,"Confirmed Trend")))</f>
        <v>#N/A</v>
      </c>
      <c r="O202" s="18" t="e" cm="1">
        <f t="array" aca="1" ref="O202" ca="1">IF(INDIRECT(ADDRESS($B202+1,O$164,1,1,"Confirmed Trend"))=0,#N/A,INDIRECT(ADDRESS($B202+1,O$164,1,1,"Confirmed Trend")))</f>
        <v>#N/A</v>
      </c>
      <c r="P202" s="18" t="e" cm="1">
        <f t="array" aca="1" ref="P202" ca="1">IF(INDIRECT(ADDRESS($B202+1,P$164,1,1,"Confirmed Trend"))=0,#N/A,INDIRECT(ADDRESS($B202+1,P$164,1,1,"Confirmed Trend")))</f>
        <v>#N/A</v>
      </c>
      <c r="Q202" s="18" t="e" cm="1">
        <f t="array" aca="1" ref="Q202" ca="1">IF(INDIRECT(ADDRESS($B202+1,Q$164,1,1,"Confirmed Trend"))=0,#N/A,INDIRECT(ADDRESS($B202+1,Q$164,1,1,"Confirmed Trend")))</f>
        <v>#N/A</v>
      </c>
      <c r="R202" s="18" t="e" cm="1">
        <f t="array" aca="1" ref="R202" ca="1">IF(INDIRECT(ADDRESS($B202+1,R$164,1,1,"Confirmed Trend"))=0,#N/A,INDIRECT(ADDRESS($B202+1,R$164,1,1,"Confirmed Trend")))</f>
        <v>#N/A</v>
      </c>
      <c r="S202" s="18" t="e" cm="1">
        <f t="array" aca="1" ref="S202" ca="1">IF(INDIRECT(ADDRESS($B202+1,S$164,1,1,"Confirmed Trend"))=0,#N/A,INDIRECT(ADDRESS($B202+1,S$164,1,1,"Confirmed Trend")))</f>
        <v>#N/A</v>
      </c>
      <c r="T202" s="18" t="e" cm="1">
        <f t="array" aca="1" ref="T202" ca="1">IF(INDIRECT(ADDRESS($B202+1,T$164,1,1,"Confirmed Trend"))=0,#N/A,INDIRECT(ADDRESS($B202+1,T$164,1,1,"Confirmed Trend")))</f>
        <v>#N/A</v>
      </c>
      <c r="U202" s="18" t="e" cm="1">
        <f t="array" aca="1" ref="U202" ca="1">IF(INDIRECT(ADDRESS($B202+1,U$164,1,1,"Confirmed Trend"))=0,#N/A,INDIRECT(ADDRESS($B202+1,U$164,1,1,"Confirmed Trend")))</f>
        <v>#N/A</v>
      </c>
      <c r="V202" s="18" t="e" cm="1">
        <f t="array" aca="1" ref="V202" ca="1">IF(INDIRECT(ADDRESS($B202+1,V$164,1,1,"Confirmed Trend"))=0,#N/A,INDIRECT(ADDRESS($B202+1,V$164,1,1,"Confirmed Trend")))</f>
        <v>#N/A</v>
      </c>
      <c r="W202" s="18" t="e" cm="1">
        <f t="array" aca="1" ref="W202" ca="1">IF(INDIRECT(ADDRESS($B202+1,W$164,1,1,"Confirmed Trend"))=0,#N/A,INDIRECT(ADDRESS($B202+1,W$164,1,1,"Confirmed Trend")))</f>
        <v>#N/A</v>
      </c>
      <c r="X202" s="18" t="e" cm="1">
        <f t="array" aca="1" ref="X202" ca="1">IF(INDIRECT(ADDRESS($B202+1,X$164,1,1,"Confirmed Trend"))=0,#N/A,INDIRECT(ADDRESS($B202+1,X$164,1,1,"Confirmed Trend")))</f>
        <v>#N/A</v>
      </c>
      <c r="Y202" s="18" t="e" cm="1">
        <f t="array" aca="1" ref="Y202" ca="1">IF(INDIRECT(ADDRESS($B202+1,Y$164,1,1,"Confirmed Trend"))=0,#N/A,INDIRECT(ADDRESS($B202+1,Y$164,1,1,"Confirmed Trend")))</f>
        <v>#N/A</v>
      </c>
      <c r="Z202" s="18" t="e" cm="1">
        <f t="array" aca="1" ref="Z202" ca="1">IF(INDIRECT(ADDRESS($B202+1,Z$164,1,1,"Confirmed Trend"))=0,#N/A,INDIRECT(ADDRESS($B202+1,Z$164,1,1,"Confirmed Trend")))</f>
        <v>#N/A</v>
      </c>
      <c r="AA202" s="18" t="e" cm="1">
        <f t="array" aca="1" ref="AA202" ca="1">IF(INDIRECT(ADDRESS($B202+1,AA$164,1,1,"Confirmed Trend"))=0,#N/A,INDIRECT(ADDRESS($B202+1,AA$164,1,1,"Confirmed Trend")))</f>
        <v>#N/A</v>
      </c>
      <c r="AB202" s="18" t="e" cm="1">
        <f t="array" aca="1" ref="AB202" ca="1">IF(INDIRECT(ADDRESS($B202+1,AB$164,1,1,"Confirmed Trend"))=0,#N/A,INDIRECT(ADDRESS($B202+1,AB$164,1,1,"Confirmed Trend")))</f>
        <v>#N/A</v>
      </c>
      <c r="AC202" s="18" t="e" cm="1">
        <f t="array" aca="1" ref="AC202" ca="1">IF(INDIRECT(ADDRESS($B202+1,AC$164,1,1,"Confirmed Trend"))=0,#N/A,INDIRECT(ADDRESS($B202+1,AC$164,1,1,"Confirmed Trend")))</f>
        <v>#N/A</v>
      </c>
      <c r="AD202" s="18" t="e" cm="1">
        <f t="array" aca="1" ref="AD202" ca="1">IF(INDIRECT(ADDRESS($B202+1,AD$164,1,1,"Confirmed Trend"))=0,#N/A,INDIRECT(ADDRESS($B202+1,AD$164,1,1,"Confirmed Trend")))</f>
        <v>#N/A</v>
      </c>
      <c r="AE202" s="18" t="e" cm="1">
        <f t="array" aca="1" ref="AE202" ca="1">IF(INDIRECT(ADDRESS($B202+1,AE$164,1,1,"Confirmed Trend"))=0,#N/A,INDIRECT(ADDRESS($B202+1,AE$164,1,1,"Confirmed Trend")))</f>
        <v>#N/A</v>
      </c>
      <c r="AF202" s="18" t="e" cm="1">
        <f t="array" aca="1" ref="AF202" ca="1">IF(INDIRECT(ADDRESS($B202+1,AF$164,1,1,"Confirmed Trend"))=0,#N/A,INDIRECT(ADDRESS($B202+1,AF$164,1,1,"Confirmed Trend")))</f>
        <v>#N/A</v>
      </c>
      <c r="AG202" s="18" t="e" cm="1">
        <f t="array" aca="1" ref="AG202" ca="1">IF(INDIRECT(ADDRESS($B202+1,AG$164,1,1,"Confirmed Trend"))=0,#N/A,INDIRECT(ADDRESS($B202+1,AG$164,1,1,"Confirmed Trend")))</f>
        <v>#N/A</v>
      </c>
      <c r="AH202" s="18" t="e" cm="1">
        <f t="array" aca="1" ref="AH202" ca="1">IF(INDIRECT(ADDRESS($B202+1,AH$164,1,1,"Confirmed Trend"))=0,#N/A,INDIRECT(ADDRESS($B202+1,AH$164,1,1,"Confirmed Trend")))</f>
        <v>#N/A</v>
      </c>
      <c r="AI202" s="18" t="e" cm="1">
        <f t="array" aca="1" ref="AI202" ca="1">IF(INDIRECT(ADDRESS($B202+1,AI$164,1,1,"Confirmed Trend"))=0,#N/A,INDIRECT(ADDRESS($B202+1,AI$164,1,1,"Confirmed Trend")))</f>
        <v>#N/A</v>
      </c>
      <c r="AJ202" s="18" t="e" cm="1">
        <f t="array" aca="1" ref="AJ202" ca="1">IF(INDIRECT(ADDRESS($B202+1,AJ$164,1,1,"Confirmed Trend"))=0,#N/A,INDIRECT(ADDRESS($B202+1,AJ$164,1,1,"Confirmed Trend")))</f>
        <v>#N/A</v>
      </c>
      <c r="AK202" s="18" t="e" cm="1">
        <f t="array" aca="1" ref="AK202" ca="1">IF(INDIRECT(ADDRESS($B202+1,AK$164,1,1,"Confirmed Trend"))=0,#N/A,INDIRECT(ADDRESS($B202+1,AK$164,1,1,"Confirmed Trend")))</f>
        <v>#N/A</v>
      </c>
      <c r="AL202" s="18" t="e" cm="1">
        <f t="array" aca="1" ref="AL202" ca="1">IF(INDIRECT(ADDRESS($B202+1,AL$164,1,1,"Confirmed Trend"))=0,#N/A,INDIRECT(ADDRESS($B202+1,AL$164,1,1,"Confirmed Trend")))</f>
        <v>#N/A</v>
      </c>
      <c r="AM202" s="18" t="e" cm="1">
        <f t="array" aca="1" ref="AM202" ca="1">IF(INDIRECT(ADDRESS($B202+1,AM$164,1,1,"Confirmed Trend"))=0,#N/A,INDIRECT(ADDRESS($B202+1,AM$164,1,1,"Confirmed Trend")))</f>
        <v>#N/A</v>
      </c>
      <c r="AN202" s="18" t="e" cm="1">
        <f t="array" aca="1" ref="AN202" ca="1">IF(INDIRECT(ADDRESS($B202+1,AN$164,1,1,"Confirmed Trend"))=0,#N/A,INDIRECT(ADDRESS($B202+1,AN$164,1,1,"Confirmed Trend")))</f>
        <v>#N/A</v>
      </c>
      <c r="AO202" s="18" t="e" cm="1">
        <f t="array" aca="1" ref="AO202" ca="1">IF(INDIRECT(ADDRESS($B202+1,AO$164,1,1,"Confirmed Trend"))=0,#N/A,INDIRECT(ADDRESS($B202+1,AO$164,1,1,"Confirmed Trend")))</f>
        <v>#N/A</v>
      </c>
      <c r="AP202" s="18" t="e" cm="1">
        <f t="array" aca="1" ref="AP202" ca="1">IF(INDIRECT(ADDRESS($B202+1,AP$164,1,1,"Confirmed Trend"))=0,#N/A,INDIRECT(ADDRESS($B202+1,AP$164,1,1,"Confirmed Trend")))</f>
        <v>#N/A</v>
      </c>
      <c r="AQ202" s="18" t="e" cm="1">
        <f t="array" aca="1" ref="AQ202" ca="1">IF(INDIRECT(ADDRESS($B202+1,AQ$164,1,1,"Confirmed Trend"))=0,#N/A,INDIRECT(ADDRESS($B202+1,AQ$164,1,1,"Confirmed Trend")))</f>
        <v>#N/A</v>
      </c>
      <c r="AR202" s="18" t="e" cm="1">
        <f t="array" aca="1" ref="AR202" ca="1">IF(INDIRECT(ADDRESS($B202+1,AR$164,1,1,"Confirmed Trend"))=0,#N/A,INDIRECT(ADDRESS($B202+1,AR$164,1,1,"Confirmed Trend")))</f>
        <v>#N/A</v>
      </c>
      <c r="AS202" s="18" t="e" cm="1">
        <f t="array" aca="1" ref="AS202" ca="1">IF(INDIRECT(ADDRESS($B202+1,AS$164,1,1,"Confirmed Trend"))=0,#N/A,INDIRECT(ADDRESS($B202+1,AS$164,1,1,"Confirmed Trend")))</f>
        <v>#N/A</v>
      </c>
      <c r="AT202" s="18" t="e" cm="1">
        <f t="array" aca="1" ref="AT202" ca="1">IF(INDIRECT(ADDRESS($B202+1,AT$164,1,1,"Confirmed Trend"))=0,#N/A,INDIRECT(ADDRESS($B202+1,AT$164,1,1,"Confirmed Trend")))</f>
        <v>#N/A</v>
      </c>
      <c r="AU202" s="18" t="e" cm="1">
        <f t="array" aca="1" ref="AU202" ca="1">IF(INDIRECT(ADDRESS($B202+1,AU$164,1,1,"Confirmed Trend"))=0,#N/A,INDIRECT(ADDRESS($B202+1,AU$164,1,1,"Confirmed Trend")))</f>
        <v>#N/A</v>
      </c>
      <c r="AV202" s="18" t="e" cm="1">
        <f t="array" aca="1" ref="AV202" ca="1">IF(INDIRECT(ADDRESS($B202+1,AV$164,1,1,"Confirmed Trend"))=0,#N/A,INDIRECT(ADDRESS($B202+1,AV$164,1,1,"Confirmed Trend")))</f>
        <v>#N/A</v>
      </c>
      <c r="AW202" s="18" t="e" cm="1">
        <f t="array" aca="1" ref="AW202" ca="1">IF(INDIRECT(ADDRESS($B202+1,AW$164,1,1,"Confirmed Trend"))=0,#N/A,INDIRECT(ADDRESS($B202+1,AW$164,1,1,"Confirmed Trend")))</f>
        <v>#N/A</v>
      </c>
      <c r="AX202" s="18" t="e" cm="1">
        <f t="array" aca="1" ref="AX202" ca="1">IF(INDIRECT(ADDRESS($B202+1,AX$164,1,1,"Confirmed Trend"))=0,#N/A,INDIRECT(ADDRESS($B202+1,AX$164,1,1,"Confirmed Trend")))</f>
        <v>#N/A</v>
      </c>
      <c r="AY202" s="18" t="e" cm="1">
        <f t="array" aca="1" ref="AY202" ca="1">IF(INDIRECT(ADDRESS($B202+1,AY$164,1,1,"Confirmed Trend"))=0,#N/A,INDIRECT(ADDRESS($B202+1,AY$164,1,1,"Confirmed Trend")))</f>
        <v>#N/A</v>
      </c>
      <c r="AZ202" s="18" t="e" cm="1">
        <f t="array" aca="1" ref="AZ202" ca="1">IF(INDIRECT(ADDRESS($B202+1,AZ$164,1,1,"Confirmed Trend"))=0,#N/A,INDIRECT(ADDRESS($B202+1,AZ$164,1,1,"Confirmed Trend")))</f>
        <v>#N/A</v>
      </c>
      <c r="BA202" s="18" t="e" cm="1">
        <f t="array" aca="1" ref="BA202" ca="1">IF(INDIRECT(ADDRESS($B202+1,BA$164,1,1,"Confirmed Trend"))=0,#N/A,INDIRECT(ADDRESS($B202+1,BA$164,1,1,"Confirmed Trend")))</f>
        <v>#N/A</v>
      </c>
      <c r="BB202" s="18" t="e" cm="1">
        <f t="array" aca="1" ref="BB202" ca="1">IF(INDIRECT(ADDRESS($B202+1,BB$164,1,1,"Confirmed Trend"))=0,#N/A,INDIRECT(ADDRESS($B202+1,BB$164,1,1,"Confirmed Trend")))</f>
        <v>#N/A</v>
      </c>
      <c r="BC202" s="18" t="e" cm="1">
        <f t="array" aca="1" ref="BC202" ca="1">IF(INDIRECT(ADDRESS($B202+1,BC$164,1,1,"Confirmed Trend"))=0,#N/A,INDIRECT(ADDRESS($B202+1,BC$164,1,1,"Confirmed Trend")))</f>
        <v>#N/A</v>
      </c>
      <c r="BD202" s="18" t="e" cm="1">
        <f t="array" aca="1" ref="BD202" ca="1">IF(INDIRECT(ADDRESS($B202+1,BD$164,1,1,"Confirmed Trend"))=0,#N/A,INDIRECT(ADDRESS($B202+1,BD$164,1,1,"Confirmed Trend")))</f>
        <v>#N/A</v>
      </c>
      <c r="BE202" s="18" t="e" cm="1">
        <f t="array" aca="1" ref="BE202" ca="1">IF(INDIRECT(ADDRESS($B202+1,BE$164,1,1,"Confirmed Trend"))=0,#N/A,INDIRECT(ADDRESS($B202+1,BE$164,1,1,"Confirmed Trend")))</f>
        <v>#N/A</v>
      </c>
      <c r="BF202" s="18" t="e" cm="1">
        <f t="array" aca="1" ref="BF202" ca="1">IF(INDIRECT(ADDRESS($B202+1,BF$164,1,1,"Confirmed Trend"))=0,#N/A,INDIRECT(ADDRESS($B202+1,BF$164,1,1,"Confirmed Trend")))</f>
        <v>#N/A</v>
      </c>
      <c r="BG202" s="18" t="e" cm="1">
        <f t="array" aca="1" ref="BG202" ca="1">IF(INDIRECT(ADDRESS($B202+1,BG$164,1,1,"Confirmed Trend"))=0,#N/A,INDIRECT(ADDRESS($B202+1,BG$164,1,1,"Confirmed Trend")))</f>
        <v>#N/A</v>
      </c>
      <c r="BH202" s="18" t="e" cm="1">
        <f t="array" aca="1" ref="BH202" ca="1">IF(INDIRECT(ADDRESS($B202+1,BH$164,1,1,"Confirmed Trend"))=0,#N/A,INDIRECT(ADDRESS($B202+1,BH$164,1,1,"Confirmed Trend")))</f>
        <v>#N/A</v>
      </c>
      <c r="BI202" s="18" t="e" cm="1">
        <f t="array" aca="1" ref="BI202" ca="1">IF(INDIRECT(ADDRESS($B202+1,BI$164,1,1,"Confirmed Trend"))=0,#N/A,INDIRECT(ADDRESS($B202+1,BI$164,1,1,"Confirmed Trend")))</f>
        <v>#N/A</v>
      </c>
      <c r="BJ202" s="18" t="e" cm="1">
        <f t="array" aca="1" ref="BJ202" ca="1">IF(INDIRECT(ADDRESS($B202+1,BJ$164,1,1,"Confirmed Trend"))=0,#N/A,INDIRECT(ADDRESS($B202+1,BJ$164,1,1,"Confirmed Trend")))</f>
        <v>#N/A</v>
      </c>
      <c r="BK202" s="18" t="e" cm="1">
        <f t="array" aca="1" ref="BK202" ca="1">IF(INDIRECT(ADDRESS($B202+1,BK$164,1,1,"Confirmed Trend"))=0,#N/A,INDIRECT(ADDRESS($B202+1,BK$164,1,1,"Confirmed Trend")))</f>
        <v>#N/A</v>
      </c>
      <c r="BL202" s="18" t="e" cm="1">
        <f t="array" aca="1" ref="BL202" ca="1">IF(INDIRECT(ADDRESS($B202+1,BL$164,1,1,"Confirmed Trend"))=0,#N/A,INDIRECT(ADDRESS($B202+1,BL$164,1,1,"Confirmed Trend")))</f>
        <v>#N/A</v>
      </c>
      <c r="BM202" s="18" t="e" cm="1">
        <f t="array" aca="1" ref="BM202" ca="1">IF(INDIRECT(ADDRESS($B202+1,BM$164,1,1,"Confirmed Trend"))=0,#N/A,INDIRECT(ADDRESS($B202+1,BM$164,1,1,"Confirmed Trend")))</f>
        <v>#N/A</v>
      </c>
      <c r="BN202" s="18" t="e" cm="1">
        <f t="array" aca="1" ref="BN202" ca="1">IF(INDIRECT(ADDRESS($B202+1,BN$164,1,1,"Confirmed Trend"))=0,#N/A,INDIRECT(ADDRESS($B202+1,BN$164,1,1,"Confirmed Trend")))</f>
        <v>#N/A</v>
      </c>
      <c r="BO202" s="18" t="e" cm="1">
        <f t="array" aca="1" ref="BO202" ca="1">IF(INDIRECT(ADDRESS($B202+1,BO$164,1,1,"Confirmed Trend"))=0,#N/A,INDIRECT(ADDRESS($B202+1,BO$164,1,1,"Confirmed Trend")))</f>
        <v>#N/A</v>
      </c>
      <c r="BP202" s="18" t="e" cm="1">
        <f t="array" aca="1" ref="BP202" ca="1">IF(INDIRECT(ADDRESS($B202+1,BP$164,1,1,"Confirmed Trend"))=0,#N/A,INDIRECT(ADDRESS($B202+1,BP$164,1,1,"Confirmed Trend")))</f>
        <v>#N/A</v>
      </c>
      <c r="BQ202" s="18" t="e" cm="1">
        <f t="array" aca="1" ref="BQ202" ca="1">IF(INDIRECT(ADDRESS($B202+1,BQ$164,1,1,"Confirmed Trend"))=0,#N/A,INDIRECT(ADDRESS($B202+1,BQ$164,1,1,"Confirmed Trend")))</f>
        <v>#N/A</v>
      </c>
      <c r="BR202" s="18" t="e" cm="1">
        <f t="array" aca="1" ref="BR202" ca="1">IF(INDIRECT(ADDRESS($B202+1,BR$164,1,1,"Confirmed Trend"))=0,#N/A,INDIRECT(ADDRESS($B202+1,BR$164,1,1,"Confirmed Trend")))</f>
        <v>#N/A</v>
      </c>
      <c r="BS202" s="18" t="e" cm="1">
        <f t="array" aca="1" ref="BS202" ca="1">IF(INDIRECT(ADDRESS($B202+1,BS$164,1,1,"Confirmed Trend"))=0,#N/A,INDIRECT(ADDRESS($B202+1,BS$164,1,1,"Confirmed Trend")))</f>
        <v>#N/A</v>
      </c>
      <c r="BT202" s="18" t="e" cm="1">
        <f t="array" aca="1" ref="BT202" ca="1">IF(INDIRECT(ADDRESS($B202+1,BT$164,1,1,"Confirmed Trend"))=0,#N/A,INDIRECT(ADDRESS($B202+1,BT$164,1,1,"Confirmed Trend")))</f>
        <v>#N/A</v>
      </c>
      <c r="BU202" s="18" t="e" cm="1">
        <f t="array" aca="1" ref="BU202" ca="1">IF(INDIRECT(ADDRESS($B202+1,BU$164,1,1,"Confirmed Trend"))=0,#N/A,INDIRECT(ADDRESS($B202+1,BU$164,1,1,"Confirmed Trend")))</f>
        <v>#N/A</v>
      </c>
      <c r="BV202" s="18" t="e" cm="1">
        <f t="array" aca="1" ref="BV202" ca="1">IF(INDIRECT(ADDRESS($B202+1,BV$164,1,1,"Confirmed Trend"))=0,#N/A,INDIRECT(ADDRESS($B202+1,BV$164,1,1,"Confirmed Trend")))</f>
        <v>#N/A</v>
      </c>
    </row>
    <row r="203" spans="2:74" x14ac:dyDescent="0.25">
      <c r="B203">
        <f t="shared" si="132"/>
        <v>38</v>
      </c>
      <c r="C203" cm="1">
        <f t="array" aca="1" ref="C203" ca="1">INDIRECT(ADDRESS($B203+1,1,1,1,"Confirmed Trend"))</f>
        <v>0</v>
      </c>
      <c r="E203" s="18" t="e" cm="1">
        <f t="array" aca="1" ref="E203" ca="1">IF(INDIRECT(ADDRESS($B203+1,E$164,1,1,"Confirmed Trend"))=0,#N/A,INDIRECT(ADDRESS($B203+1,E$164,1,1,"Confirmed Trend")))</f>
        <v>#N/A</v>
      </c>
      <c r="F203" s="18" t="e" cm="1">
        <f t="array" aca="1" ref="F203" ca="1">IF(INDIRECT(ADDRESS($B203+1,F$164,1,1,"Confirmed Trend"))=0,#N/A,INDIRECT(ADDRESS($B203+1,F$164,1,1,"Confirmed Trend")))</f>
        <v>#N/A</v>
      </c>
      <c r="G203" s="18" t="e" cm="1">
        <f t="array" aca="1" ref="G203" ca="1">IF(INDIRECT(ADDRESS($B203+1,G$164,1,1,"Confirmed Trend"))=0,#N/A,INDIRECT(ADDRESS($B203+1,G$164,1,1,"Confirmed Trend")))</f>
        <v>#N/A</v>
      </c>
      <c r="H203" s="18" t="e" cm="1">
        <f t="array" aca="1" ref="H203" ca="1">IF(INDIRECT(ADDRESS($B203+1,H$164,1,1,"Confirmed Trend"))=0,#N/A,INDIRECT(ADDRESS($B203+1,H$164,1,1,"Confirmed Trend")))</f>
        <v>#N/A</v>
      </c>
      <c r="I203" s="18" t="e" cm="1">
        <f t="array" aca="1" ref="I203" ca="1">IF(INDIRECT(ADDRESS($B203+1,I$164,1,1,"Confirmed Trend"))=0,#N/A,INDIRECT(ADDRESS($B203+1,I$164,1,1,"Confirmed Trend")))</f>
        <v>#N/A</v>
      </c>
      <c r="J203" s="18" t="e" cm="1">
        <f t="array" aca="1" ref="J203" ca="1">IF(INDIRECT(ADDRESS($B203+1,J$164,1,1,"Confirmed Trend"))=0,#N/A,INDIRECT(ADDRESS($B203+1,J$164,1,1,"Confirmed Trend")))</f>
        <v>#N/A</v>
      </c>
      <c r="K203" s="18" t="e" cm="1">
        <f t="array" aca="1" ref="K203" ca="1">IF(INDIRECT(ADDRESS($B203+1,K$164,1,1,"Confirmed Trend"))=0,#N/A,INDIRECT(ADDRESS($B203+1,K$164,1,1,"Confirmed Trend")))</f>
        <v>#N/A</v>
      </c>
      <c r="L203" s="18" t="e" cm="1">
        <f t="array" aca="1" ref="L203" ca="1">IF(INDIRECT(ADDRESS($B203+1,L$164,1,1,"Confirmed Trend"))=0,#N/A,INDIRECT(ADDRESS($B203+1,L$164,1,1,"Confirmed Trend")))</f>
        <v>#N/A</v>
      </c>
      <c r="M203" s="18" t="e" cm="1">
        <f t="array" aca="1" ref="M203" ca="1">IF(INDIRECT(ADDRESS($B203+1,M$164,1,1,"Confirmed Trend"))=0,#N/A,INDIRECT(ADDRESS($B203+1,M$164,1,1,"Confirmed Trend")))</f>
        <v>#N/A</v>
      </c>
      <c r="N203" s="18" t="e" cm="1">
        <f t="array" aca="1" ref="N203" ca="1">IF(INDIRECT(ADDRESS($B203+1,N$164,1,1,"Confirmed Trend"))=0,#N/A,INDIRECT(ADDRESS($B203+1,N$164,1,1,"Confirmed Trend")))</f>
        <v>#N/A</v>
      </c>
      <c r="O203" s="18" t="e" cm="1">
        <f t="array" aca="1" ref="O203" ca="1">IF(INDIRECT(ADDRESS($B203+1,O$164,1,1,"Confirmed Trend"))=0,#N/A,INDIRECT(ADDRESS($B203+1,O$164,1,1,"Confirmed Trend")))</f>
        <v>#N/A</v>
      </c>
      <c r="P203" s="18" t="e" cm="1">
        <f t="array" aca="1" ref="P203" ca="1">IF(INDIRECT(ADDRESS($B203+1,P$164,1,1,"Confirmed Trend"))=0,#N/A,INDIRECT(ADDRESS($B203+1,P$164,1,1,"Confirmed Trend")))</f>
        <v>#N/A</v>
      </c>
      <c r="Q203" s="18" t="e" cm="1">
        <f t="array" aca="1" ref="Q203" ca="1">IF(INDIRECT(ADDRESS($B203+1,Q$164,1,1,"Confirmed Trend"))=0,#N/A,INDIRECT(ADDRESS($B203+1,Q$164,1,1,"Confirmed Trend")))</f>
        <v>#N/A</v>
      </c>
      <c r="R203" s="18" t="e" cm="1">
        <f t="array" aca="1" ref="R203" ca="1">IF(INDIRECT(ADDRESS($B203+1,R$164,1,1,"Confirmed Trend"))=0,#N/A,INDIRECT(ADDRESS($B203+1,R$164,1,1,"Confirmed Trend")))</f>
        <v>#N/A</v>
      </c>
      <c r="S203" s="18" t="e" cm="1">
        <f t="array" aca="1" ref="S203" ca="1">IF(INDIRECT(ADDRESS($B203+1,S$164,1,1,"Confirmed Trend"))=0,#N/A,INDIRECT(ADDRESS($B203+1,S$164,1,1,"Confirmed Trend")))</f>
        <v>#N/A</v>
      </c>
      <c r="T203" s="18" t="e" cm="1">
        <f t="array" aca="1" ref="T203" ca="1">IF(INDIRECT(ADDRESS($B203+1,T$164,1,1,"Confirmed Trend"))=0,#N/A,INDIRECT(ADDRESS($B203+1,T$164,1,1,"Confirmed Trend")))</f>
        <v>#N/A</v>
      </c>
      <c r="U203" s="18" t="e" cm="1">
        <f t="array" aca="1" ref="U203" ca="1">IF(INDIRECT(ADDRESS($B203+1,U$164,1,1,"Confirmed Trend"))=0,#N/A,INDIRECT(ADDRESS($B203+1,U$164,1,1,"Confirmed Trend")))</f>
        <v>#N/A</v>
      </c>
      <c r="V203" s="18" t="e" cm="1">
        <f t="array" aca="1" ref="V203" ca="1">IF(INDIRECT(ADDRESS($B203+1,V$164,1,1,"Confirmed Trend"))=0,#N/A,INDIRECT(ADDRESS($B203+1,V$164,1,1,"Confirmed Trend")))</f>
        <v>#N/A</v>
      </c>
      <c r="W203" s="18" t="e" cm="1">
        <f t="array" aca="1" ref="W203" ca="1">IF(INDIRECT(ADDRESS($B203+1,W$164,1,1,"Confirmed Trend"))=0,#N/A,INDIRECT(ADDRESS($B203+1,W$164,1,1,"Confirmed Trend")))</f>
        <v>#N/A</v>
      </c>
      <c r="X203" s="18" t="e" cm="1">
        <f t="array" aca="1" ref="X203" ca="1">IF(INDIRECT(ADDRESS($B203+1,X$164,1,1,"Confirmed Trend"))=0,#N/A,INDIRECT(ADDRESS($B203+1,X$164,1,1,"Confirmed Trend")))</f>
        <v>#N/A</v>
      </c>
      <c r="Y203" s="18" t="e" cm="1">
        <f t="array" aca="1" ref="Y203" ca="1">IF(INDIRECT(ADDRESS($B203+1,Y$164,1,1,"Confirmed Trend"))=0,#N/A,INDIRECT(ADDRESS($B203+1,Y$164,1,1,"Confirmed Trend")))</f>
        <v>#N/A</v>
      </c>
      <c r="Z203" s="18" t="e" cm="1">
        <f t="array" aca="1" ref="Z203" ca="1">IF(INDIRECT(ADDRESS($B203+1,Z$164,1,1,"Confirmed Trend"))=0,#N/A,INDIRECT(ADDRESS($B203+1,Z$164,1,1,"Confirmed Trend")))</f>
        <v>#N/A</v>
      </c>
      <c r="AA203" s="18" t="e" cm="1">
        <f t="array" aca="1" ref="AA203" ca="1">IF(INDIRECT(ADDRESS($B203+1,AA$164,1,1,"Confirmed Trend"))=0,#N/A,INDIRECT(ADDRESS($B203+1,AA$164,1,1,"Confirmed Trend")))</f>
        <v>#N/A</v>
      </c>
      <c r="AB203" s="18" t="e" cm="1">
        <f t="array" aca="1" ref="AB203" ca="1">IF(INDIRECT(ADDRESS($B203+1,AB$164,1,1,"Confirmed Trend"))=0,#N/A,INDIRECT(ADDRESS($B203+1,AB$164,1,1,"Confirmed Trend")))</f>
        <v>#N/A</v>
      </c>
      <c r="AC203" s="18" t="e" cm="1">
        <f t="array" aca="1" ref="AC203" ca="1">IF(INDIRECT(ADDRESS($B203+1,AC$164,1,1,"Confirmed Trend"))=0,#N/A,INDIRECT(ADDRESS($B203+1,AC$164,1,1,"Confirmed Trend")))</f>
        <v>#N/A</v>
      </c>
      <c r="AD203" s="18" t="e" cm="1">
        <f t="array" aca="1" ref="AD203" ca="1">IF(INDIRECT(ADDRESS($B203+1,AD$164,1,1,"Confirmed Trend"))=0,#N/A,INDIRECT(ADDRESS($B203+1,AD$164,1,1,"Confirmed Trend")))</f>
        <v>#N/A</v>
      </c>
      <c r="AE203" s="18" t="e" cm="1">
        <f t="array" aca="1" ref="AE203" ca="1">IF(INDIRECT(ADDRESS($B203+1,AE$164,1,1,"Confirmed Trend"))=0,#N/A,INDIRECT(ADDRESS($B203+1,AE$164,1,1,"Confirmed Trend")))</f>
        <v>#N/A</v>
      </c>
      <c r="AF203" s="18" t="e" cm="1">
        <f t="array" aca="1" ref="AF203" ca="1">IF(INDIRECT(ADDRESS($B203+1,AF$164,1,1,"Confirmed Trend"))=0,#N/A,INDIRECT(ADDRESS($B203+1,AF$164,1,1,"Confirmed Trend")))</f>
        <v>#N/A</v>
      </c>
      <c r="AG203" s="18" t="e" cm="1">
        <f t="array" aca="1" ref="AG203" ca="1">IF(INDIRECT(ADDRESS($B203+1,AG$164,1,1,"Confirmed Trend"))=0,#N/A,INDIRECT(ADDRESS($B203+1,AG$164,1,1,"Confirmed Trend")))</f>
        <v>#N/A</v>
      </c>
      <c r="AH203" s="18" t="e" cm="1">
        <f t="array" aca="1" ref="AH203" ca="1">IF(INDIRECT(ADDRESS($B203+1,AH$164,1,1,"Confirmed Trend"))=0,#N/A,INDIRECT(ADDRESS($B203+1,AH$164,1,1,"Confirmed Trend")))</f>
        <v>#N/A</v>
      </c>
      <c r="AI203" s="18" t="e" cm="1">
        <f t="array" aca="1" ref="AI203" ca="1">IF(INDIRECT(ADDRESS($B203+1,AI$164,1,1,"Confirmed Trend"))=0,#N/A,INDIRECT(ADDRESS($B203+1,AI$164,1,1,"Confirmed Trend")))</f>
        <v>#N/A</v>
      </c>
      <c r="AJ203" s="18" t="e" cm="1">
        <f t="array" aca="1" ref="AJ203" ca="1">IF(INDIRECT(ADDRESS($B203+1,AJ$164,1,1,"Confirmed Trend"))=0,#N/A,INDIRECT(ADDRESS($B203+1,AJ$164,1,1,"Confirmed Trend")))</f>
        <v>#N/A</v>
      </c>
      <c r="AK203" s="18" t="e" cm="1">
        <f t="array" aca="1" ref="AK203" ca="1">IF(INDIRECT(ADDRESS($B203+1,AK$164,1,1,"Confirmed Trend"))=0,#N/A,INDIRECT(ADDRESS($B203+1,AK$164,1,1,"Confirmed Trend")))</f>
        <v>#N/A</v>
      </c>
      <c r="AL203" s="18" t="e" cm="1">
        <f t="array" aca="1" ref="AL203" ca="1">IF(INDIRECT(ADDRESS($B203+1,AL$164,1,1,"Confirmed Trend"))=0,#N/A,INDIRECT(ADDRESS($B203+1,AL$164,1,1,"Confirmed Trend")))</f>
        <v>#N/A</v>
      </c>
      <c r="AM203" s="18" t="e" cm="1">
        <f t="array" aca="1" ref="AM203" ca="1">IF(INDIRECT(ADDRESS($B203+1,AM$164,1,1,"Confirmed Trend"))=0,#N/A,INDIRECT(ADDRESS($B203+1,AM$164,1,1,"Confirmed Trend")))</f>
        <v>#N/A</v>
      </c>
      <c r="AN203" s="18" t="e" cm="1">
        <f t="array" aca="1" ref="AN203" ca="1">IF(INDIRECT(ADDRESS($B203+1,AN$164,1,1,"Confirmed Trend"))=0,#N/A,INDIRECT(ADDRESS($B203+1,AN$164,1,1,"Confirmed Trend")))</f>
        <v>#N/A</v>
      </c>
      <c r="AO203" s="18" t="e" cm="1">
        <f t="array" aca="1" ref="AO203" ca="1">IF(INDIRECT(ADDRESS($B203+1,AO$164,1,1,"Confirmed Trend"))=0,#N/A,INDIRECT(ADDRESS($B203+1,AO$164,1,1,"Confirmed Trend")))</f>
        <v>#N/A</v>
      </c>
      <c r="AP203" s="18" t="e" cm="1">
        <f t="array" aca="1" ref="AP203" ca="1">IF(INDIRECT(ADDRESS($B203+1,AP$164,1,1,"Confirmed Trend"))=0,#N/A,INDIRECT(ADDRESS($B203+1,AP$164,1,1,"Confirmed Trend")))</f>
        <v>#N/A</v>
      </c>
      <c r="AQ203" s="18" t="e" cm="1">
        <f t="array" aca="1" ref="AQ203" ca="1">IF(INDIRECT(ADDRESS($B203+1,AQ$164,1,1,"Confirmed Trend"))=0,#N/A,INDIRECT(ADDRESS($B203+1,AQ$164,1,1,"Confirmed Trend")))</f>
        <v>#N/A</v>
      </c>
      <c r="AR203" s="18" t="e" cm="1">
        <f t="array" aca="1" ref="AR203" ca="1">IF(INDIRECT(ADDRESS($B203+1,AR$164,1,1,"Confirmed Trend"))=0,#N/A,INDIRECT(ADDRESS($B203+1,AR$164,1,1,"Confirmed Trend")))</f>
        <v>#N/A</v>
      </c>
      <c r="AS203" s="18" t="e" cm="1">
        <f t="array" aca="1" ref="AS203" ca="1">IF(INDIRECT(ADDRESS($B203+1,AS$164,1,1,"Confirmed Trend"))=0,#N/A,INDIRECT(ADDRESS($B203+1,AS$164,1,1,"Confirmed Trend")))</f>
        <v>#N/A</v>
      </c>
      <c r="AT203" s="18" t="e" cm="1">
        <f t="array" aca="1" ref="AT203" ca="1">IF(INDIRECT(ADDRESS($B203+1,AT$164,1,1,"Confirmed Trend"))=0,#N/A,INDIRECT(ADDRESS($B203+1,AT$164,1,1,"Confirmed Trend")))</f>
        <v>#N/A</v>
      </c>
      <c r="AU203" s="18" t="e" cm="1">
        <f t="array" aca="1" ref="AU203" ca="1">IF(INDIRECT(ADDRESS($B203+1,AU$164,1,1,"Confirmed Trend"))=0,#N/A,INDIRECT(ADDRESS($B203+1,AU$164,1,1,"Confirmed Trend")))</f>
        <v>#N/A</v>
      </c>
      <c r="AV203" s="18" t="e" cm="1">
        <f t="array" aca="1" ref="AV203" ca="1">IF(INDIRECT(ADDRESS($B203+1,AV$164,1,1,"Confirmed Trend"))=0,#N/A,INDIRECT(ADDRESS($B203+1,AV$164,1,1,"Confirmed Trend")))</f>
        <v>#N/A</v>
      </c>
      <c r="AW203" s="18" t="e" cm="1">
        <f t="array" aca="1" ref="AW203" ca="1">IF(INDIRECT(ADDRESS($B203+1,AW$164,1,1,"Confirmed Trend"))=0,#N/A,INDIRECT(ADDRESS($B203+1,AW$164,1,1,"Confirmed Trend")))</f>
        <v>#N/A</v>
      </c>
      <c r="AX203" s="18" t="e" cm="1">
        <f t="array" aca="1" ref="AX203" ca="1">IF(INDIRECT(ADDRESS($B203+1,AX$164,1,1,"Confirmed Trend"))=0,#N/A,INDIRECT(ADDRESS($B203+1,AX$164,1,1,"Confirmed Trend")))</f>
        <v>#N/A</v>
      </c>
      <c r="AY203" s="18" t="e" cm="1">
        <f t="array" aca="1" ref="AY203" ca="1">IF(INDIRECT(ADDRESS($B203+1,AY$164,1,1,"Confirmed Trend"))=0,#N/A,INDIRECT(ADDRESS($B203+1,AY$164,1,1,"Confirmed Trend")))</f>
        <v>#N/A</v>
      </c>
      <c r="AZ203" s="18" t="e" cm="1">
        <f t="array" aca="1" ref="AZ203" ca="1">IF(INDIRECT(ADDRESS($B203+1,AZ$164,1,1,"Confirmed Trend"))=0,#N/A,INDIRECT(ADDRESS($B203+1,AZ$164,1,1,"Confirmed Trend")))</f>
        <v>#N/A</v>
      </c>
      <c r="BA203" s="18" t="e" cm="1">
        <f t="array" aca="1" ref="BA203" ca="1">IF(INDIRECT(ADDRESS($B203+1,BA$164,1,1,"Confirmed Trend"))=0,#N/A,INDIRECT(ADDRESS($B203+1,BA$164,1,1,"Confirmed Trend")))</f>
        <v>#N/A</v>
      </c>
      <c r="BB203" s="18" t="e" cm="1">
        <f t="array" aca="1" ref="BB203" ca="1">IF(INDIRECT(ADDRESS($B203+1,BB$164,1,1,"Confirmed Trend"))=0,#N/A,INDIRECT(ADDRESS($B203+1,BB$164,1,1,"Confirmed Trend")))</f>
        <v>#N/A</v>
      </c>
      <c r="BC203" s="18" t="e" cm="1">
        <f t="array" aca="1" ref="BC203" ca="1">IF(INDIRECT(ADDRESS($B203+1,BC$164,1,1,"Confirmed Trend"))=0,#N/A,INDIRECT(ADDRESS($B203+1,BC$164,1,1,"Confirmed Trend")))</f>
        <v>#N/A</v>
      </c>
      <c r="BD203" s="18" t="e" cm="1">
        <f t="array" aca="1" ref="BD203" ca="1">IF(INDIRECT(ADDRESS($B203+1,BD$164,1,1,"Confirmed Trend"))=0,#N/A,INDIRECT(ADDRESS($B203+1,BD$164,1,1,"Confirmed Trend")))</f>
        <v>#N/A</v>
      </c>
      <c r="BE203" s="18" t="e" cm="1">
        <f t="array" aca="1" ref="BE203" ca="1">IF(INDIRECT(ADDRESS($B203+1,BE$164,1,1,"Confirmed Trend"))=0,#N/A,INDIRECT(ADDRESS($B203+1,BE$164,1,1,"Confirmed Trend")))</f>
        <v>#N/A</v>
      </c>
      <c r="BF203" s="18" t="e" cm="1">
        <f t="array" aca="1" ref="BF203" ca="1">IF(INDIRECT(ADDRESS($B203+1,BF$164,1,1,"Confirmed Trend"))=0,#N/A,INDIRECT(ADDRESS($B203+1,BF$164,1,1,"Confirmed Trend")))</f>
        <v>#N/A</v>
      </c>
      <c r="BG203" s="18" t="e" cm="1">
        <f t="array" aca="1" ref="BG203" ca="1">IF(INDIRECT(ADDRESS($B203+1,BG$164,1,1,"Confirmed Trend"))=0,#N/A,INDIRECT(ADDRESS($B203+1,BG$164,1,1,"Confirmed Trend")))</f>
        <v>#N/A</v>
      </c>
      <c r="BH203" s="18" t="e" cm="1">
        <f t="array" aca="1" ref="BH203" ca="1">IF(INDIRECT(ADDRESS($B203+1,BH$164,1,1,"Confirmed Trend"))=0,#N/A,INDIRECT(ADDRESS($B203+1,BH$164,1,1,"Confirmed Trend")))</f>
        <v>#N/A</v>
      </c>
      <c r="BI203" s="18" t="e" cm="1">
        <f t="array" aca="1" ref="BI203" ca="1">IF(INDIRECT(ADDRESS($B203+1,BI$164,1,1,"Confirmed Trend"))=0,#N/A,INDIRECT(ADDRESS($B203+1,BI$164,1,1,"Confirmed Trend")))</f>
        <v>#N/A</v>
      </c>
      <c r="BJ203" s="18" t="e" cm="1">
        <f t="array" aca="1" ref="BJ203" ca="1">IF(INDIRECT(ADDRESS($B203+1,BJ$164,1,1,"Confirmed Trend"))=0,#N/A,INDIRECT(ADDRESS($B203+1,BJ$164,1,1,"Confirmed Trend")))</f>
        <v>#N/A</v>
      </c>
      <c r="BK203" s="18" t="e" cm="1">
        <f t="array" aca="1" ref="BK203" ca="1">IF(INDIRECT(ADDRESS($B203+1,BK$164,1,1,"Confirmed Trend"))=0,#N/A,INDIRECT(ADDRESS($B203+1,BK$164,1,1,"Confirmed Trend")))</f>
        <v>#N/A</v>
      </c>
      <c r="BL203" s="18" t="e" cm="1">
        <f t="array" aca="1" ref="BL203" ca="1">IF(INDIRECT(ADDRESS($B203+1,BL$164,1,1,"Confirmed Trend"))=0,#N/A,INDIRECT(ADDRESS($B203+1,BL$164,1,1,"Confirmed Trend")))</f>
        <v>#N/A</v>
      </c>
      <c r="BM203" s="18" t="e" cm="1">
        <f t="array" aca="1" ref="BM203" ca="1">IF(INDIRECT(ADDRESS($B203+1,BM$164,1,1,"Confirmed Trend"))=0,#N/A,INDIRECT(ADDRESS($B203+1,BM$164,1,1,"Confirmed Trend")))</f>
        <v>#N/A</v>
      </c>
      <c r="BN203" s="18" t="e" cm="1">
        <f t="array" aca="1" ref="BN203" ca="1">IF(INDIRECT(ADDRESS($B203+1,BN$164,1,1,"Confirmed Trend"))=0,#N/A,INDIRECT(ADDRESS($B203+1,BN$164,1,1,"Confirmed Trend")))</f>
        <v>#N/A</v>
      </c>
      <c r="BO203" s="18" t="e" cm="1">
        <f t="array" aca="1" ref="BO203" ca="1">IF(INDIRECT(ADDRESS($B203+1,BO$164,1,1,"Confirmed Trend"))=0,#N/A,INDIRECT(ADDRESS($B203+1,BO$164,1,1,"Confirmed Trend")))</f>
        <v>#N/A</v>
      </c>
      <c r="BP203" s="18" t="e" cm="1">
        <f t="array" aca="1" ref="BP203" ca="1">IF(INDIRECT(ADDRESS($B203+1,BP$164,1,1,"Confirmed Trend"))=0,#N/A,INDIRECT(ADDRESS($B203+1,BP$164,1,1,"Confirmed Trend")))</f>
        <v>#N/A</v>
      </c>
      <c r="BQ203" s="18" t="e" cm="1">
        <f t="array" aca="1" ref="BQ203" ca="1">IF(INDIRECT(ADDRESS($B203+1,BQ$164,1,1,"Confirmed Trend"))=0,#N/A,INDIRECT(ADDRESS($B203+1,BQ$164,1,1,"Confirmed Trend")))</f>
        <v>#N/A</v>
      </c>
      <c r="BR203" s="18" t="e" cm="1">
        <f t="array" aca="1" ref="BR203" ca="1">IF(INDIRECT(ADDRESS($B203+1,BR$164,1,1,"Confirmed Trend"))=0,#N/A,INDIRECT(ADDRESS($B203+1,BR$164,1,1,"Confirmed Trend")))</f>
        <v>#N/A</v>
      </c>
      <c r="BS203" s="18" t="e" cm="1">
        <f t="array" aca="1" ref="BS203" ca="1">IF(INDIRECT(ADDRESS($B203+1,BS$164,1,1,"Confirmed Trend"))=0,#N/A,INDIRECT(ADDRESS($B203+1,BS$164,1,1,"Confirmed Trend")))</f>
        <v>#N/A</v>
      </c>
      <c r="BT203" s="18" t="e" cm="1">
        <f t="array" aca="1" ref="BT203" ca="1">IF(INDIRECT(ADDRESS($B203+1,BT$164,1,1,"Confirmed Trend"))=0,#N/A,INDIRECT(ADDRESS($B203+1,BT$164,1,1,"Confirmed Trend")))</f>
        <v>#N/A</v>
      </c>
      <c r="BU203" s="18" t="e" cm="1">
        <f t="array" aca="1" ref="BU203" ca="1">IF(INDIRECT(ADDRESS($B203+1,BU$164,1,1,"Confirmed Trend"))=0,#N/A,INDIRECT(ADDRESS($B203+1,BU$164,1,1,"Confirmed Trend")))</f>
        <v>#N/A</v>
      </c>
      <c r="BV203" s="18" t="e" cm="1">
        <f t="array" aca="1" ref="BV203" ca="1">IF(INDIRECT(ADDRESS($B203+1,BV$164,1,1,"Confirmed Trend"))=0,#N/A,INDIRECT(ADDRESS($B203+1,BV$164,1,1,"Confirmed Trend")))</f>
        <v>#N/A</v>
      </c>
    </row>
    <row r="204" spans="2:74" x14ac:dyDescent="0.25">
      <c r="B204">
        <f t="shared" si="132"/>
        <v>39</v>
      </c>
      <c r="C204" cm="1">
        <f t="array" aca="1" ref="C204" ca="1">INDIRECT(ADDRESS($B204+1,1,1,1,"Confirmed Trend"))</f>
        <v>0</v>
      </c>
      <c r="E204" s="18" t="e" cm="1">
        <f t="array" aca="1" ref="E204" ca="1">IF(INDIRECT(ADDRESS($B204+1,E$164,1,1,"Confirmed Trend"))=0,#N/A,INDIRECT(ADDRESS($B204+1,E$164,1,1,"Confirmed Trend")))</f>
        <v>#N/A</v>
      </c>
      <c r="F204" s="18" t="e" cm="1">
        <f t="array" aca="1" ref="F204" ca="1">IF(INDIRECT(ADDRESS($B204+1,F$164,1,1,"Confirmed Trend"))=0,#N/A,INDIRECT(ADDRESS($B204+1,F$164,1,1,"Confirmed Trend")))</f>
        <v>#N/A</v>
      </c>
      <c r="G204" s="18" t="e" cm="1">
        <f t="array" aca="1" ref="G204" ca="1">IF(INDIRECT(ADDRESS($B204+1,G$164,1,1,"Confirmed Trend"))=0,#N/A,INDIRECT(ADDRESS($B204+1,G$164,1,1,"Confirmed Trend")))</f>
        <v>#N/A</v>
      </c>
      <c r="H204" s="18" t="e" cm="1">
        <f t="array" aca="1" ref="H204" ca="1">IF(INDIRECT(ADDRESS($B204+1,H$164,1,1,"Confirmed Trend"))=0,#N/A,INDIRECT(ADDRESS($B204+1,H$164,1,1,"Confirmed Trend")))</f>
        <v>#N/A</v>
      </c>
      <c r="I204" s="18" t="e" cm="1">
        <f t="array" aca="1" ref="I204" ca="1">IF(INDIRECT(ADDRESS($B204+1,I$164,1,1,"Confirmed Trend"))=0,#N/A,INDIRECT(ADDRESS($B204+1,I$164,1,1,"Confirmed Trend")))</f>
        <v>#N/A</v>
      </c>
      <c r="J204" s="18" t="e" cm="1">
        <f t="array" aca="1" ref="J204" ca="1">IF(INDIRECT(ADDRESS($B204+1,J$164,1,1,"Confirmed Trend"))=0,#N/A,INDIRECT(ADDRESS($B204+1,J$164,1,1,"Confirmed Trend")))</f>
        <v>#N/A</v>
      </c>
      <c r="K204" s="18" t="e" cm="1">
        <f t="array" aca="1" ref="K204" ca="1">IF(INDIRECT(ADDRESS($B204+1,K$164,1,1,"Confirmed Trend"))=0,#N/A,INDIRECT(ADDRESS($B204+1,K$164,1,1,"Confirmed Trend")))</f>
        <v>#N/A</v>
      </c>
      <c r="L204" s="18" t="e" cm="1">
        <f t="array" aca="1" ref="L204" ca="1">IF(INDIRECT(ADDRESS($B204+1,L$164,1,1,"Confirmed Trend"))=0,#N/A,INDIRECT(ADDRESS($B204+1,L$164,1,1,"Confirmed Trend")))</f>
        <v>#N/A</v>
      </c>
      <c r="M204" s="18" t="e" cm="1">
        <f t="array" aca="1" ref="M204" ca="1">IF(INDIRECT(ADDRESS($B204+1,M$164,1,1,"Confirmed Trend"))=0,#N/A,INDIRECT(ADDRESS($B204+1,M$164,1,1,"Confirmed Trend")))</f>
        <v>#N/A</v>
      </c>
      <c r="N204" s="18" t="e" cm="1">
        <f t="array" aca="1" ref="N204" ca="1">IF(INDIRECT(ADDRESS($B204+1,N$164,1,1,"Confirmed Trend"))=0,#N/A,INDIRECT(ADDRESS($B204+1,N$164,1,1,"Confirmed Trend")))</f>
        <v>#N/A</v>
      </c>
      <c r="O204" s="18" t="e" cm="1">
        <f t="array" aca="1" ref="O204" ca="1">IF(INDIRECT(ADDRESS($B204+1,O$164,1,1,"Confirmed Trend"))=0,#N/A,INDIRECT(ADDRESS($B204+1,O$164,1,1,"Confirmed Trend")))</f>
        <v>#N/A</v>
      </c>
      <c r="P204" s="18" t="e" cm="1">
        <f t="array" aca="1" ref="P204" ca="1">IF(INDIRECT(ADDRESS($B204+1,P$164,1,1,"Confirmed Trend"))=0,#N/A,INDIRECT(ADDRESS($B204+1,P$164,1,1,"Confirmed Trend")))</f>
        <v>#N/A</v>
      </c>
      <c r="Q204" s="18" t="e" cm="1">
        <f t="array" aca="1" ref="Q204" ca="1">IF(INDIRECT(ADDRESS($B204+1,Q$164,1,1,"Confirmed Trend"))=0,#N/A,INDIRECT(ADDRESS($B204+1,Q$164,1,1,"Confirmed Trend")))</f>
        <v>#N/A</v>
      </c>
      <c r="R204" s="18" t="e" cm="1">
        <f t="array" aca="1" ref="R204" ca="1">IF(INDIRECT(ADDRESS($B204+1,R$164,1,1,"Confirmed Trend"))=0,#N/A,INDIRECT(ADDRESS($B204+1,R$164,1,1,"Confirmed Trend")))</f>
        <v>#N/A</v>
      </c>
      <c r="S204" s="18" t="e" cm="1">
        <f t="array" aca="1" ref="S204" ca="1">IF(INDIRECT(ADDRESS($B204+1,S$164,1,1,"Confirmed Trend"))=0,#N/A,INDIRECT(ADDRESS($B204+1,S$164,1,1,"Confirmed Trend")))</f>
        <v>#N/A</v>
      </c>
      <c r="T204" s="18" t="e" cm="1">
        <f t="array" aca="1" ref="T204" ca="1">IF(INDIRECT(ADDRESS($B204+1,T$164,1,1,"Confirmed Trend"))=0,#N/A,INDIRECT(ADDRESS($B204+1,T$164,1,1,"Confirmed Trend")))</f>
        <v>#N/A</v>
      </c>
      <c r="U204" s="18" t="e" cm="1">
        <f t="array" aca="1" ref="U204" ca="1">IF(INDIRECT(ADDRESS($B204+1,U$164,1,1,"Confirmed Trend"))=0,#N/A,INDIRECT(ADDRESS($B204+1,U$164,1,1,"Confirmed Trend")))</f>
        <v>#N/A</v>
      </c>
      <c r="V204" s="18" t="e" cm="1">
        <f t="array" aca="1" ref="V204" ca="1">IF(INDIRECT(ADDRESS($B204+1,V$164,1,1,"Confirmed Trend"))=0,#N/A,INDIRECT(ADDRESS($B204+1,V$164,1,1,"Confirmed Trend")))</f>
        <v>#N/A</v>
      </c>
      <c r="W204" s="18" t="e" cm="1">
        <f t="array" aca="1" ref="W204" ca="1">IF(INDIRECT(ADDRESS($B204+1,W$164,1,1,"Confirmed Trend"))=0,#N/A,INDIRECT(ADDRESS($B204+1,W$164,1,1,"Confirmed Trend")))</f>
        <v>#N/A</v>
      </c>
      <c r="X204" s="18" t="e" cm="1">
        <f t="array" aca="1" ref="X204" ca="1">IF(INDIRECT(ADDRESS($B204+1,X$164,1,1,"Confirmed Trend"))=0,#N/A,INDIRECT(ADDRESS($B204+1,X$164,1,1,"Confirmed Trend")))</f>
        <v>#N/A</v>
      </c>
      <c r="Y204" s="18" t="e" cm="1">
        <f t="array" aca="1" ref="Y204" ca="1">IF(INDIRECT(ADDRESS($B204+1,Y$164,1,1,"Confirmed Trend"))=0,#N/A,INDIRECT(ADDRESS($B204+1,Y$164,1,1,"Confirmed Trend")))</f>
        <v>#N/A</v>
      </c>
      <c r="Z204" s="18" t="e" cm="1">
        <f t="array" aca="1" ref="Z204" ca="1">IF(INDIRECT(ADDRESS($B204+1,Z$164,1,1,"Confirmed Trend"))=0,#N/A,INDIRECT(ADDRESS($B204+1,Z$164,1,1,"Confirmed Trend")))</f>
        <v>#N/A</v>
      </c>
      <c r="AA204" s="18" t="e" cm="1">
        <f t="array" aca="1" ref="AA204" ca="1">IF(INDIRECT(ADDRESS($B204+1,AA$164,1,1,"Confirmed Trend"))=0,#N/A,INDIRECT(ADDRESS($B204+1,AA$164,1,1,"Confirmed Trend")))</f>
        <v>#N/A</v>
      </c>
      <c r="AB204" s="18" t="e" cm="1">
        <f t="array" aca="1" ref="AB204" ca="1">IF(INDIRECT(ADDRESS($B204+1,AB$164,1,1,"Confirmed Trend"))=0,#N/A,INDIRECT(ADDRESS($B204+1,AB$164,1,1,"Confirmed Trend")))</f>
        <v>#N/A</v>
      </c>
      <c r="AC204" s="18" t="e" cm="1">
        <f t="array" aca="1" ref="AC204" ca="1">IF(INDIRECT(ADDRESS($B204+1,AC$164,1,1,"Confirmed Trend"))=0,#N/A,INDIRECT(ADDRESS($B204+1,AC$164,1,1,"Confirmed Trend")))</f>
        <v>#N/A</v>
      </c>
      <c r="AD204" s="18" t="e" cm="1">
        <f t="array" aca="1" ref="AD204" ca="1">IF(INDIRECT(ADDRESS($B204+1,AD$164,1,1,"Confirmed Trend"))=0,#N/A,INDIRECT(ADDRESS($B204+1,AD$164,1,1,"Confirmed Trend")))</f>
        <v>#N/A</v>
      </c>
      <c r="AE204" s="18" t="e" cm="1">
        <f t="array" aca="1" ref="AE204" ca="1">IF(INDIRECT(ADDRESS($B204+1,AE$164,1,1,"Confirmed Trend"))=0,#N/A,INDIRECT(ADDRESS($B204+1,AE$164,1,1,"Confirmed Trend")))</f>
        <v>#N/A</v>
      </c>
      <c r="AF204" s="18" t="e" cm="1">
        <f t="array" aca="1" ref="AF204" ca="1">IF(INDIRECT(ADDRESS($B204+1,AF$164,1,1,"Confirmed Trend"))=0,#N/A,INDIRECT(ADDRESS($B204+1,AF$164,1,1,"Confirmed Trend")))</f>
        <v>#N/A</v>
      </c>
      <c r="AG204" s="18" t="e" cm="1">
        <f t="array" aca="1" ref="AG204" ca="1">IF(INDIRECT(ADDRESS($B204+1,AG$164,1,1,"Confirmed Trend"))=0,#N/A,INDIRECT(ADDRESS($B204+1,AG$164,1,1,"Confirmed Trend")))</f>
        <v>#N/A</v>
      </c>
      <c r="AH204" s="18" t="e" cm="1">
        <f t="array" aca="1" ref="AH204" ca="1">IF(INDIRECT(ADDRESS($B204+1,AH$164,1,1,"Confirmed Trend"))=0,#N/A,INDIRECT(ADDRESS($B204+1,AH$164,1,1,"Confirmed Trend")))</f>
        <v>#N/A</v>
      </c>
      <c r="AI204" s="18" t="e" cm="1">
        <f t="array" aca="1" ref="AI204" ca="1">IF(INDIRECT(ADDRESS($B204+1,AI$164,1,1,"Confirmed Trend"))=0,#N/A,INDIRECT(ADDRESS($B204+1,AI$164,1,1,"Confirmed Trend")))</f>
        <v>#N/A</v>
      </c>
      <c r="AJ204" s="18" t="e" cm="1">
        <f t="array" aca="1" ref="AJ204" ca="1">IF(INDIRECT(ADDRESS($B204+1,AJ$164,1,1,"Confirmed Trend"))=0,#N/A,INDIRECT(ADDRESS($B204+1,AJ$164,1,1,"Confirmed Trend")))</f>
        <v>#N/A</v>
      </c>
      <c r="AK204" s="18" t="e" cm="1">
        <f t="array" aca="1" ref="AK204" ca="1">IF(INDIRECT(ADDRESS($B204+1,AK$164,1,1,"Confirmed Trend"))=0,#N/A,INDIRECT(ADDRESS($B204+1,AK$164,1,1,"Confirmed Trend")))</f>
        <v>#N/A</v>
      </c>
      <c r="AL204" s="18" t="e" cm="1">
        <f t="array" aca="1" ref="AL204" ca="1">IF(INDIRECT(ADDRESS($B204+1,AL$164,1,1,"Confirmed Trend"))=0,#N/A,INDIRECT(ADDRESS($B204+1,AL$164,1,1,"Confirmed Trend")))</f>
        <v>#N/A</v>
      </c>
      <c r="AM204" s="18" t="e" cm="1">
        <f t="array" aca="1" ref="AM204" ca="1">IF(INDIRECT(ADDRESS($B204+1,AM$164,1,1,"Confirmed Trend"))=0,#N/A,INDIRECT(ADDRESS($B204+1,AM$164,1,1,"Confirmed Trend")))</f>
        <v>#N/A</v>
      </c>
      <c r="AN204" s="18" t="e" cm="1">
        <f t="array" aca="1" ref="AN204" ca="1">IF(INDIRECT(ADDRESS($B204+1,AN$164,1,1,"Confirmed Trend"))=0,#N/A,INDIRECT(ADDRESS($B204+1,AN$164,1,1,"Confirmed Trend")))</f>
        <v>#N/A</v>
      </c>
      <c r="AO204" s="18" t="e" cm="1">
        <f t="array" aca="1" ref="AO204" ca="1">IF(INDIRECT(ADDRESS($B204+1,AO$164,1,1,"Confirmed Trend"))=0,#N/A,INDIRECT(ADDRESS($B204+1,AO$164,1,1,"Confirmed Trend")))</f>
        <v>#N/A</v>
      </c>
      <c r="AP204" s="18" t="e" cm="1">
        <f t="array" aca="1" ref="AP204" ca="1">IF(INDIRECT(ADDRESS($B204+1,AP$164,1,1,"Confirmed Trend"))=0,#N/A,INDIRECT(ADDRESS($B204+1,AP$164,1,1,"Confirmed Trend")))</f>
        <v>#N/A</v>
      </c>
      <c r="AQ204" s="18" t="e" cm="1">
        <f t="array" aca="1" ref="AQ204" ca="1">IF(INDIRECT(ADDRESS($B204+1,AQ$164,1,1,"Confirmed Trend"))=0,#N/A,INDIRECT(ADDRESS($B204+1,AQ$164,1,1,"Confirmed Trend")))</f>
        <v>#N/A</v>
      </c>
      <c r="AR204" s="18" t="e" cm="1">
        <f t="array" aca="1" ref="AR204" ca="1">IF(INDIRECT(ADDRESS($B204+1,AR$164,1,1,"Confirmed Trend"))=0,#N/A,INDIRECT(ADDRESS($B204+1,AR$164,1,1,"Confirmed Trend")))</f>
        <v>#N/A</v>
      </c>
      <c r="AS204" s="18" t="e" cm="1">
        <f t="array" aca="1" ref="AS204" ca="1">IF(INDIRECT(ADDRESS($B204+1,AS$164,1,1,"Confirmed Trend"))=0,#N/A,INDIRECT(ADDRESS($B204+1,AS$164,1,1,"Confirmed Trend")))</f>
        <v>#N/A</v>
      </c>
      <c r="AT204" s="18" t="e" cm="1">
        <f t="array" aca="1" ref="AT204" ca="1">IF(INDIRECT(ADDRESS($B204+1,AT$164,1,1,"Confirmed Trend"))=0,#N/A,INDIRECT(ADDRESS($B204+1,AT$164,1,1,"Confirmed Trend")))</f>
        <v>#N/A</v>
      </c>
      <c r="AU204" s="18" t="e" cm="1">
        <f t="array" aca="1" ref="AU204" ca="1">IF(INDIRECT(ADDRESS($B204+1,AU$164,1,1,"Confirmed Trend"))=0,#N/A,INDIRECT(ADDRESS($B204+1,AU$164,1,1,"Confirmed Trend")))</f>
        <v>#N/A</v>
      </c>
      <c r="AV204" s="18" t="e" cm="1">
        <f t="array" aca="1" ref="AV204" ca="1">IF(INDIRECT(ADDRESS($B204+1,AV$164,1,1,"Confirmed Trend"))=0,#N/A,INDIRECT(ADDRESS($B204+1,AV$164,1,1,"Confirmed Trend")))</f>
        <v>#N/A</v>
      </c>
      <c r="AW204" s="18" t="e" cm="1">
        <f t="array" aca="1" ref="AW204" ca="1">IF(INDIRECT(ADDRESS($B204+1,AW$164,1,1,"Confirmed Trend"))=0,#N/A,INDIRECT(ADDRESS($B204+1,AW$164,1,1,"Confirmed Trend")))</f>
        <v>#N/A</v>
      </c>
      <c r="AX204" s="18" t="e" cm="1">
        <f t="array" aca="1" ref="AX204" ca="1">IF(INDIRECT(ADDRESS($B204+1,AX$164,1,1,"Confirmed Trend"))=0,#N/A,INDIRECT(ADDRESS($B204+1,AX$164,1,1,"Confirmed Trend")))</f>
        <v>#N/A</v>
      </c>
      <c r="AY204" s="18" t="e" cm="1">
        <f t="array" aca="1" ref="AY204" ca="1">IF(INDIRECT(ADDRESS($B204+1,AY$164,1,1,"Confirmed Trend"))=0,#N/A,INDIRECT(ADDRESS($B204+1,AY$164,1,1,"Confirmed Trend")))</f>
        <v>#N/A</v>
      </c>
      <c r="AZ204" s="18" t="e" cm="1">
        <f t="array" aca="1" ref="AZ204" ca="1">IF(INDIRECT(ADDRESS($B204+1,AZ$164,1,1,"Confirmed Trend"))=0,#N/A,INDIRECT(ADDRESS($B204+1,AZ$164,1,1,"Confirmed Trend")))</f>
        <v>#N/A</v>
      </c>
      <c r="BA204" s="18" t="e" cm="1">
        <f t="array" aca="1" ref="BA204" ca="1">IF(INDIRECT(ADDRESS($B204+1,BA$164,1,1,"Confirmed Trend"))=0,#N/A,INDIRECT(ADDRESS($B204+1,BA$164,1,1,"Confirmed Trend")))</f>
        <v>#N/A</v>
      </c>
      <c r="BB204" s="18" t="e" cm="1">
        <f t="array" aca="1" ref="BB204" ca="1">IF(INDIRECT(ADDRESS($B204+1,BB$164,1,1,"Confirmed Trend"))=0,#N/A,INDIRECT(ADDRESS($B204+1,BB$164,1,1,"Confirmed Trend")))</f>
        <v>#N/A</v>
      </c>
      <c r="BC204" s="18" t="e" cm="1">
        <f t="array" aca="1" ref="BC204" ca="1">IF(INDIRECT(ADDRESS($B204+1,BC$164,1,1,"Confirmed Trend"))=0,#N/A,INDIRECT(ADDRESS($B204+1,BC$164,1,1,"Confirmed Trend")))</f>
        <v>#N/A</v>
      </c>
      <c r="BD204" s="18" t="e" cm="1">
        <f t="array" aca="1" ref="BD204" ca="1">IF(INDIRECT(ADDRESS($B204+1,BD$164,1,1,"Confirmed Trend"))=0,#N/A,INDIRECT(ADDRESS($B204+1,BD$164,1,1,"Confirmed Trend")))</f>
        <v>#N/A</v>
      </c>
      <c r="BE204" s="18" t="e" cm="1">
        <f t="array" aca="1" ref="BE204" ca="1">IF(INDIRECT(ADDRESS($B204+1,BE$164,1,1,"Confirmed Trend"))=0,#N/A,INDIRECT(ADDRESS($B204+1,BE$164,1,1,"Confirmed Trend")))</f>
        <v>#N/A</v>
      </c>
      <c r="BF204" s="18" t="e" cm="1">
        <f t="array" aca="1" ref="BF204" ca="1">IF(INDIRECT(ADDRESS($B204+1,BF$164,1,1,"Confirmed Trend"))=0,#N/A,INDIRECT(ADDRESS($B204+1,BF$164,1,1,"Confirmed Trend")))</f>
        <v>#N/A</v>
      </c>
      <c r="BG204" s="18" t="e" cm="1">
        <f t="array" aca="1" ref="BG204" ca="1">IF(INDIRECT(ADDRESS($B204+1,BG$164,1,1,"Confirmed Trend"))=0,#N/A,INDIRECT(ADDRESS($B204+1,BG$164,1,1,"Confirmed Trend")))</f>
        <v>#N/A</v>
      </c>
      <c r="BH204" s="18" t="e" cm="1">
        <f t="array" aca="1" ref="BH204" ca="1">IF(INDIRECT(ADDRESS($B204+1,BH$164,1,1,"Confirmed Trend"))=0,#N/A,INDIRECT(ADDRESS($B204+1,BH$164,1,1,"Confirmed Trend")))</f>
        <v>#N/A</v>
      </c>
      <c r="BI204" s="18" t="e" cm="1">
        <f t="array" aca="1" ref="BI204" ca="1">IF(INDIRECT(ADDRESS($B204+1,BI$164,1,1,"Confirmed Trend"))=0,#N/A,INDIRECT(ADDRESS($B204+1,BI$164,1,1,"Confirmed Trend")))</f>
        <v>#N/A</v>
      </c>
      <c r="BJ204" s="18" t="e" cm="1">
        <f t="array" aca="1" ref="BJ204" ca="1">IF(INDIRECT(ADDRESS($B204+1,BJ$164,1,1,"Confirmed Trend"))=0,#N/A,INDIRECT(ADDRESS($B204+1,BJ$164,1,1,"Confirmed Trend")))</f>
        <v>#N/A</v>
      </c>
      <c r="BK204" s="18" t="e" cm="1">
        <f t="array" aca="1" ref="BK204" ca="1">IF(INDIRECT(ADDRESS($B204+1,BK$164,1,1,"Confirmed Trend"))=0,#N/A,INDIRECT(ADDRESS($B204+1,BK$164,1,1,"Confirmed Trend")))</f>
        <v>#N/A</v>
      </c>
      <c r="BL204" s="18" t="e" cm="1">
        <f t="array" aca="1" ref="BL204" ca="1">IF(INDIRECT(ADDRESS($B204+1,BL$164,1,1,"Confirmed Trend"))=0,#N/A,INDIRECT(ADDRESS($B204+1,BL$164,1,1,"Confirmed Trend")))</f>
        <v>#N/A</v>
      </c>
      <c r="BM204" s="18" t="e" cm="1">
        <f t="array" aca="1" ref="BM204" ca="1">IF(INDIRECT(ADDRESS($B204+1,BM$164,1,1,"Confirmed Trend"))=0,#N/A,INDIRECT(ADDRESS($B204+1,BM$164,1,1,"Confirmed Trend")))</f>
        <v>#N/A</v>
      </c>
      <c r="BN204" s="18" t="e" cm="1">
        <f t="array" aca="1" ref="BN204" ca="1">IF(INDIRECT(ADDRESS($B204+1,BN$164,1,1,"Confirmed Trend"))=0,#N/A,INDIRECT(ADDRESS($B204+1,BN$164,1,1,"Confirmed Trend")))</f>
        <v>#N/A</v>
      </c>
      <c r="BO204" s="18" t="e" cm="1">
        <f t="array" aca="1" ref="BO204" ca="1">IF(INDIRECT(ADDRESS($B204+1,BO$164,1,1,"Confirmed Trend"))=0,#N/A,INDIRECT(ADDRESS($B204+1,BO$164,1,1,"Confirmed Trend")))</f>
        <v>#N/A</v>
      </c>
      <c r="BP204" s="18" t="e" cm="1">
        <f t="array" aca="1" ref="BP204" ca="1">IF(INDIRECT(ADDRESS($B204+1,BP$164,1,1,"Confirmed Trend"))=0,#N/A,INDIRECT(ADDRESS($B204+1,BP$164,1,1,"Confirmed Trend")))</f>
        <v>#N/A</v>
      </c>
      <c r="BQ204" s="18" t="e" cm="1">
        <f t="array" aca="1" ref="BQ204" ca="1">IF(INDIRECT(ADDRESS($B204+1,BQ$164,1,1,"Confirmed Trend"))=0,#N/A,INDIRECT(ADDRESS($B204+1,BQ$164,1,1,"Confirmed Trend")))</f>
        <v>#N/A</v>
      </c>
      <c r="BR204" s="18" t="e" cm="1">
        <f t="array" aca="1" ref="BR204" ca="1">IF(INDIRECT(ADDRESS($B204+1,BR$164,1,1,"Confirmed Trend"))=0,#N/A,INDIRECT(ADDRESS($B204+1,BR$164,1,1,"Confirmed Trend")))</f>
        <v>#N/A</v>
      </c>
      <c r="BS204" s="18" t="e" cm="1">
        <f t="array" aca="1" ref="BS204" ca="1">IF(INDIRECT(ADDRESS($B204+1,BS$164,1,1,"Confirmed Trend"))=0,#N/A,INDIRECT(ADDRESS($B204+1,BS$164,1,1,"Confirmed Trend")))</f>
        <v>#N/A</v>
      </c>
      <c r="BT204" s="18" t="e" cm="1">
        <f t="array" aca="1" ref="BT204" ca="1">IF(INDIRECT(ADDRESS($B204+1,BT$164,1,1,"Confirmed Trend"))=0,#N/A,INDIRECT(ADDRESS($B204+1,BT$164,1,1,"Confirmed Trend")))</f>
        <v>#N/A</v>
      </c>
      <c r="BU204" s="18" t="e" cm="1">
        <f t="array" aca="1" ref="BU204" ca="1">IF(INDIRECT(ADDRESS($B204+1,BU$164,1,1,"Confirmed Trend"))=0,#N/A,INDIRECT(ADDRESS($B204+1,BU$164,1,1,"Confirmed Trend")))</f>
        <v>#N/A</v>
      </c>
      <c r="BV204" s="18" t="e" cm="1">
        <f t="array" aca="1" ref="BV204" ca="1">IF(INDIRECT(ADDRESS($B204+1,BV$164,1,1,"Confirmed Trend"))=0,#N/A,INDIRECT(ADDRESS($B204+1,BV$164,1,1,"Confirmed Trend")))</f>
        <v>#N/A</v>
      </c>
    </row>
    <row r="205" spans="2:74" x14ac:dyDescent="0.25">
      <c r="B205">
        <f t="shared" si="132"/>
        <v>40</v>
      </c>
      <c r="C205" cm="1">
        <f t="array" aca="1" ref="C205" ca="1">INDIRECT(ADDRESS($B205+1,1,1,1,"Confirmed Trend"))</f>
        <v>0</v>
      </c>
      <c r="E205" s="18" t="e" cm="1">
        <f t="array" aca="1" ref="E205" ca="1">IF(INDIRECT(ADDRESS($B205+1,E$164,1,1,"Confirmed Trend"))=0,#N/A,INDIRECT(ADDRESS($B205+1,E$164,1,1,"Confirmed Trend")))</f>
        <v>#N/A</v>
      </c>
      <c r="F205" s="18" t="e" cm="1">
        <f t="array" aca="1" ref="F205" ca="1">IF(INDIRECT(ADDRESS($B205+1,F$164,1,1,"Confirmed Trend"))=0,#N/A,INDIRECT(ADDRESS($B205+1,F$164,1,1,"Confirmed Trend")))</f>
        <v>#N/A</v>
      </c>
      <c r="G205" s="18" t="e" cm="1">
        <f t="array" aca="1" ref="G205" ca="1">IF(INDIRECT(ADDRESS($B205+1,G$164,1,1,"Confirmed Trend"))=0,#N/A,INDIRECT(ADDRESS($B205+1,G$164,1,1,"Confirmed Trend")))</f>
        <v>#N/A</v>
      </c>
      <c r="H205" s="18" t="e" cm="1">
        <f t="array" aca="1" ref="H205" ca="1">IF(INDIRECT(ADDRESS($B205+1,H$164,1,1,"Confirmed Trend"))=0,#N/A,INDIRECT(ADDRESS($B205+1,H$164,1,1,"Confirmed Trend")))</f>
        <v>#N/A</v>
      </c>
      <c r="I205" s="18" t="e" cm="1">
        <f t="array" aca="1" ref="I205" ca="1">IF(INDIRECT(ADDRESS($B205+1,I$164,1,1,"Confirmed Trend"))=0,#N/A,INDIRECT(ADDRESS($B205+1,I$164,1,1,"Confirmed Trend")))</f>
        <v>#N/A</v>
      </c>
      <c r="J205" s="18" t="e" cm="1">
        <f t="array" aca="1" ref="J205" ca="1">IF(INDIRECT(ADDRESS($B205+1,J$164,1,1,"Confirmed Trend"))=0,#N/A,INDIRECT(ADDRESS($B205+1,J$164,1,1,"Confirmed Trend")))</f>
        <v>#N/A</v>
      </c>
      <c r="K205" s="18" t="e" cm="1">
        <f t="array" aca="1" ref="K205" ca="1">IF(INDIRECT(ADDRESS($B205+1,K$164,1,1,"Confirmed Trend"))=0,#N/A,INDIRECT(ADDRESS($B205+1,K$164,1,1,"Confirmed Trend")))</f>
        <v>#N/A</v>
      </c>
      <c r="L205" s="18" t="e" cm="1">
        <f t="array" aca="1" ref="L205" ca="1">IF(INDIRECT(ADDRESS($B205+1,L$164,1,1,"Confirmed Trend"))=0,#N/A,INDIRECT(ADDRESS($B205+1,L$164,1,1,"Confirmed Trend")))</f>
        <v>#N/A</v>
      </c>
      <c r="M205" s="18" t="e" cm="1">
        <f t="array" aca="1" ref="M205" ca="1">IF(INDIRECT(ADDRESS($B205+1,M$164,1,1,"Confirmed Trend"))=0,#N/A,INDIRECT(ADDRESS($B205+1,M$164,1,1,"Confirmed Trend")))</f>
        <v>#N/A</v>
      </c>
      <c r="N205" s="18" t="e" cm="1">
        <f t="array" aca="1" ref="N205" ca="1">IF(INDIRECT(ADDRESS($B205+1,N$164,1,1,"Confirmed Trend"))=0,#N/A,INDIRECT(ADDRESS($B205+1,N$164,1,1,"Confirmed Trend")))</f>
        <v>#N/A</v>
      </c>
      <c r="O205" s="18" t="e" cm="1">
        <f t="array" aca="1" ref="O205" ca="1">IF(INDIRECT(ADDRESS($B205+1,O$164,1,1,"Confirmed Trend"))=0,#N/A,INDIRECT(ADDRESS($B205+1,O$164,1,1,"Confirmed Trend")))</f>
        <v>#N/A</v>
      </c>
      <c r="P205" s="18" t="e" cm="1">
        <f t="array" aca="1" ref="P205" ca="1">IF(INDIRECT(ADDRESS($B205+1,P$164,1,1,"Confirmed Trend"))=0,#N/A,INDIRECT(ADDRESS($B205+1,P$164,1,1,"Confirmed Trend")))</f>
        <v>#N/A</v>
      </c>
      <c r="Q205" s="18" t="e" cm="1">
        <f t="array" aca="1" ref="Q205" ca="1">IF(INDIRECT(ADDRESS($B205+1,Q$164,1,1,"Confirmed Trend"))=0,#N/A,INDIRECT(ADDRESS($B205+1,Q$164,1,1,"Confirmed Trend")))</f>
        <v>#N/A</v>
      </c>
      <c r="R205" s="18" t="e" cm="1">
        <f t="array" aca="1" ref="R205" ca="1">IF(INDIRECT(ADDRESS($B205+1,R$164,1,1,"Confirmed Trend"))=0,#N/A,INDIRECT(ADDRESS($B205+1,R$164,1,1,"Confirmed Trend")))</f>
        <v>#N/A</v>
      </c>
      <c r="S205" s="18" t="e" cm="1">
        <f t="array" aca="1" ref="S205" ca="1">IF(INDIRECT(ADDRESS($B205+1,S$164,1,1,"Confirmed Trend"))=0,#N/A,INDIRECT(ADDRESS($B205+1,S$164,1,1,"Confirmed Trend")))</f>
        <v>#N/A</v>
      </c>
      <c r="T205" s="18" t="e" cm="1">
        <f t="array" aca="1" ref="T205" ca="1">IF(INDIRECT(ADDRESS($B205+1,T$164,1,1,"Confirmed Trend"))=0,#N/A,INDIRECT(ADDRESS($B205+1,T$164,1,1,"Confirmed Trend")))</f>
        <v>#N/A</v>
      </c>
      <c r="U205" s="18" t="e" cm="1">
        <f t="array" aca="1" ref="U205" ca="1">IF(INDIRECT(ADDRESS($B205+1,U$164,1,1,"Confirmed Trend"))=0,#N/A,INDIRECT(ADDRESS($B205+1,U$164,1,1,"Confirmed Trend")))</f>
        <v>#N/A</v>
      </c>
      <c r="V205" s="18" t="e" cm="1">
        <f t="array" aca="1" ref="V205" ca="1">IF(INDIRECT(ADDRESS($B205+1,V$164,1,1,"Confirmed Trend"))=0,#N/A,INDIRECT(ADDRESS($B205+1,V$164,1,1,"Confirmed Trend")))</f>
        <v>#N/A</v>
      </c>
      <c r="W205" s="18" t="e" cm="1">
        <f t="array" aca="1" ref="W205" ca="1">IF(INDIRECT(ADDRESS($B205+1,W$164,1,1,"Confirmed Trend"))=0,#N/A,INDIRECT(ADDRESS($B205+1,W$164,1,1,"Confirmed Trend")))</f>
        <v>#N/A</v>
      </c>
      <c r="X205" s="18" t="e" cm="1">
        <f t="array" aca="1" ref="X205" ca="1">IF(INDIRECT(ADDRESS($B205+1,X$164,1,1,"Confirmed Trend"))=0,#N/A,INDIRECT(ADDRESS($B205+1,X$164,1,1,"Confirmed Trend")))</f>
        <v>#N/A</v>
      </c>
      <c r="Y205" s="18" t="e" cm="1">
        <f t="array" aca="1" ref="Y205" ca="1">IF(INDIRECT(ADDRESS($B205+1,Y$164,1,1,"Confirmed Trend"))=0,#N/A,INDIRECT(ADDRESS($B205+1,Y$164,1,1,"Confirmed Trend")))</f>
        <v>#N/A</v>
      </c>
      <c r="Z205" s="18" t="e" cm="1">
        <f t="array" aca="1" ref="Z205" ca="1">IF(INDIRECT(ADDRESS($B205+1,Z$164,1,1,"Confirmed Trend"))=0,#N/A,INDIRECT(ADDRESS($B205+1,Z$164,1,1,"Confirmed Trend")))</f>
        <v>#N/A</v>
      </c>
      <c r="AA205" s="18" t="e" cm="1">
        <f t="array" aca="1" ref="AA205" ca="1">IF(INDIRECT(ADDRESS($B205+1,AA$164,1,1,"Confirmed Trend"))=0,#N/A,INDIRECT(ADDRESS($B205+1,AA$164,1,1,"Confirmed Trend")))</f>
        <v>#N/A</v>
      </c>
      <c r="AB205" s="18" t="e" cm="1">
        <f t="array" aca="1" ref="AB205" ca="1">IF(INDIRECT(ADDRESS($B205+1,AB$164,1,1,"Confirmed Trend"))=0,#N/A,INDIRECT(ADDRESS($B205+1,AB$164,1,1,"Confirmed Trend")))</f>
        <v>#N/A</v>
      </c>
      <c r="AC205" s="18" t="e" cm="1">
        <f t="array" aca="1" ref="AC205" ca="1">IF(INDIRECT(ADDRESS($B205+1,AC$164,1,1,"Confirmed Trend"))=0,#N/A,INDIRECT(ADDRESS($B205+1,AC$164,1,1,"Confirmed Trend")))</f>
        <v>#N/A</v>
      </c>
      <c r="AD205" s="18" t="e" cm="1">
        <f t="array" aca="1" ref="AD205" ca="1">IF(INDIRECT(ADDRESS($B205+1,AD$164,1,1,"Confirmed Trend"))=0,#N/A,INDIRECT(ADDRESS($B205+1,AD$164,1,1,"Confirmed Trend")))</f>
        <v>#N/A</v>
      </c>
      <c r="AE205" s="18" t="e" cm="1">
        <f t="array" aca="1" ref="AE205" ca="1">IF(INDIRECT(ADDRESS($B205+1,AE$164,1,1,"Confirmed Trend"))=0,#N/A,INDIRECT(ADDRESS($B205+1,AE$164,1,1,"Confirmed Trend")))</f>
        <v>#N/A</v>
      </c>
      <c r="AF205" s="18" t="e" cm="1">
        <f t="array" aca="1" ref="AF205" ca="1">IF(INDIRECT(ADDRESS($B205+1,AF$164,1,1,"Confirmed Trend"))=0,#N/A,INDIRECT(ADDRESS($B205+1,AF$164,1,1,"Confirmed Trend")))</f>
        <v>#N/A</v>
      </c>
      <c r="AG205" s="18" t="e" cm="1">
        <f t="array" aca="1" ref="AG205" ca="1">IF(INDIRECT(ADDRESS($B205+1,AG$164,1,1,"Confirmed Trend"))=0,#N/A,INDIRECT(ADDRESS($B205+1,AG$164,1,1,"Confirmed Trend")))</f>
        <v>#N/A</v>
      </c>
      <c r="AH205" s="18" t="e" cm="1">
        <f t="array" aca="1" ref="AH205" ca="1">IF(INDIRECT(ADDRESS($B205+1,AH$164,1,1,"Confirmed Trend"))=0,#N/A,INDIRECT(ADDRESS($B205+1,AH$164,1,1,"Confirmed Trend")))</f>
        <v>#N/A</v>
      </c>
      <c r="AI205" s="18" t="e" cm="1">
        <f t="array" aca="1" ref="AI205" ca="1">IF(INDIRECT(ADDRESS($B205+1,AI$164,1,1,"Confirmed Trend"))=0,#N/A,INDIRECT(ADDRESS($B205+1,AI$164,1,1,"Confirmed Trend")))</f>
        <v>#N/A</v>
      </c>
      <c r="AJ205" s="18" t="e" cm="1">
        <f t="array" aca="1" ref="AJ205" ca="1">IF(INDIRECT(ADDRESS($B205+1,AJ$164,1,1,"Confirmed Trend"))=0,#N/A,INDIRECT(ADDRESS($B205+1,AJ$164,1,1,"Confirmed Trend")))</f>
        <v>#N/A</v>
      </c>
      <c r="AK205" s="18" t="e" cm="1">
        <f t="array" aca="1" ref="AK205" ca="1">IF(INDIRECT(ADDRESS($B205+1,AK$164,1,1,"Confirmed Trend"))=0,#N/A,INDIRECT(ADDRESS($B205+1,AK$164,1,1,"Confirmed Trend")))</f>
        <v>#N/A</v>
      </c>
      <c r="AL205" s="18" t="e" cm="1">
        <f t="array" aca="1" ref="AL205" ca="1">IF(INDIRECT(ADDRESS($B205+1,AL$164,1,1,"Confirmed Trend"))=0,#N/A,INDIRECT(ADDRESS($B205+1,AL$164,1,1,"Confirmed Trend")))</f>
        <v>#N/A</v>
      </c>
      <c r="AM205" s="18" t="e" cm="1">
        <f t="array" aca="1" ref="AM205" ca="1">IF(INDIRECT(ADDRESS($B205+1,AM$164,1,1,"Confirmed Trend"))=0,#N/A,INDIRECT(ADDRESS($B205+1,AM$164,1,1,"Confirmed Trend")))</f>
        <v>#N/A</v>
      </c>
      <c r="AN205" s="18" t="e" cm="1">
        <f t="array" aca="1" ref="AN205" ca="1">IF(INDIRECT(ADDRESS($B205+1,AN$164,1,1,"Confirmed Trend"))=0,#N/A,INDIRECT(ADDRESS($B205+1,AN$164,1,1,"Confirmed Trend")))</f>
        <v>#N/A</v>
      </c>
      <c r="AO205" s="18" t="e" cm="1">
        <f t="array" aca="1" ref="AO205" ca="1">IF(INDIRECT(ADDRESS($B205+1,AO$164,1,1,"Confirmed Trend"))=0,#N/A,INDIRECT(ADDRESS($B205+1,AO$164,1,1,"Confirmed Trend")))</f>
        <v>#N/A</v>
      </c>
      <c r="AP205" s="18" t="e" cm="1">
        <f t="array" aca="1" ref="AP205" ca="1">IF(INDIRECT(ADDRESS($B205+1,AP$164,1,1,"Confirmed Trend"))=0,#N/A,INDIRECT(ADDRESS($B205+1,AP$164,1,1,"Confirmed Trend")))</f>
        <v>#N/A</v>
      </c>
      <c r="AQ205" s="18" t="e" cm="1">
        <f t="array" aca="1" ref="AQ205" ca="1">IF(INDIRECT(ADDRESS($B205+1,AQ$164,1,1,"Confirmed Trend"))=0,#N/A,INDIRECT(ADDRESS($B205+1,AQ$164,1,1,"Confirmed Trend")))</f>
        <v>#N/A</v>
      </c>
      <c r="AR205" s="18" t="e" cm="1">
        <f t="array" aca="1" ref="AR205" ca="1">IF(INDIRECT(ADDRESS($B205+1,AR$164,1,1,"Confirmed Trend"))=0,#N/A,INDIRECT(ADDRESS($B205+1,AR$164,1,1,"Confirmed Trend")))</f>
        <v>#N/A</v>
      </c>
      <c r="AS205" s="18" t="e" cm="1">
        <f t="array" aca="1" ref="AS205" ca="1">IF(INDIRECT(ADDRESS($B205+1,AS$164,1,1,"Confirmed Trend"))=0,#N/A,INDIRECT(ADDRESS($B205+1,AS$164,1,1,"Confirmed Trend")))</f>
        <v>#N/A</v>
      </c>
      <c r="AT205" s="18" t="e" cm="1">
        <f t="array" aca="1" ref="AT205" ca="1">IF(INDIRECT(ADDRESS($B205+1,AT$164,1,1,"Confirmed Trend"))=0,#N/A,INDIRECT(ADDRESS($B205+1,AT$164,1,1,"Confirmed Trend")))</f>
        <v>#N/A</v>
      </c>
      <c r="AU205" s="18" t="e" cm="1">
        <f t="array" aca="1" ref="AU205" ca="1">IF(INDIRECT(ADDRESS($B205+1,AU$164,1,1,"Confirmed Trend"))=0,#N/A,INDIRECT(ADDRESS($B205+1,AU$164,1,1,"Confirmed Trend")))</f>
        <v>#N/A</v>
      </c>
      <c r="AV205" s="18" t="e" cm="1">
        <f t="array" aca="1" ref="AV205" ca="1">IF(INDIRECT(ADDRESS($B205+1,AV$164,1,1,"Confirmed Trend"))=0,#N/A,INDIRECT(ADDRESS($B205+1,AV$164,1,1,"Confirmed Trend")))</f>
        <v>#N/A</v>
      </c>
      <c r="AW205" s="18" t="e" cm="1">
        <f t="array" aca="1" ref="AW205" ca="1">IF(INDIRECT(ADDRESS($B205+1,AW$164,1,1,"Confirmed Trend"))=0,#N/A,INDIRECT(ADDRESS($B205+1,AW$164,1,1,"Confirmed Trend")))</f>
        <v>#N/A</v>
      </c>
      <c r="AX205" s="18" t="e" cm="1">
        <f t="array" aca="1" ref="AX205" ca="1">IF(INDIRECT(ADDRESS($B205+1,AX$164,1,1,"Confirmed Trend"))=0,#N/A,INDIRECT(ADDRESS($B205+1,AX$164,1,1,"Confirmed Trend")))</f>
        <v>#N/A</v>
      </c>
      <c r="AY205" s="18" t="e" cm="1">
        <f t="array" aca="1" ref="AY205" ca="1">IF(INDIRECT(ADDRESS($B205+1,AY$164,1,1,"Confirmed Trend"))=0,#N/A,INDIRECT(ADDRESS($B205+1,AY$164,1,1,"Confirmed Trend")))</f>
        <v>#N/A</v>
      </c>
      <c r="AZ205" s="18" t="e" cm="1">
        <f t="array" aca="1" ref="AZ205" ca="1">IF(INDIRECT(ADDRESS($B205+1,AZ$164,1,1,"Confirmed Trend"))=0,#N/A,INDIRECT(ADDRESS($B205+1,AZ$164,1,1,"Confirmed Trend")))</f>
        <v>#N/A</v>
      </c>
      <c r="BA205" s="18" t="e" cm="1">
        <f t="array" aca="1" ref="BA205" ca="1">IF(INDIRECT(ADDRESS($B205+1,BA$164,1,1,"Confirmed Trend"))=0,#N/A,INDIRECT(ADDRESS($B205+1,BA$164,1,1,"Confirmed Trend")))</f>
        <v>#N/A</v>
      </c>
      <c r="BB205" s="18" t="e" cm="1">
        <f t="array" aca="1" ref="BB205" ca="1">IF(INDIRECT(ADDRESS($B205+1,BB$164,1,1,"Confirmed Trend"))=0,#N/A,INDIRECT(ADDRESS($B205+1,BB$164,1,1,"Confirmed Trend")))</f>
        <v>#N/A</v>
      </c>
      <c r="BC205" s="18" t="e" cm="1">
        <f t="array" aca="1" ref="BC205" ca="1">IF(INDIRECT(ADDRESS($B205+1,BC$164,1,1,"Confirmed Trend"))=0,#N/A,INDIRECT(ADDRESS($B205+1,BC$164,1,1,"Confirmed Trend")))</f>
        <v>#N/A</v>
      </c>
      <c r="BD205" s="18" t="e" cm="1">
        <f t="array" aca="1" ref="BD205" ca="1">IF(INDIRECT(ADDRESS($B205+1,BD$164,1,1,"Confirmed Trend"))=0,#N/A,INDIRECT(ADDRESS($B205+1,BD$164,1,1,"Confirmed Trend")))</f>
        <v>#N/A</v>
      </c>
      <c r="BE205" s="18" t="e" cm="1">
        <f t="array" aca="1" ref="BE205" ca="1">IF(INDIRECT(ADDRESS($B205+1,BE$164,1,1,"Confirmed Trend"))=0,#N/A,INDIRECT(ADDRESS($B205+1,BE$164,1,1,"Confirmed Trend")))</f>
        <v>#N/A</v>
      </c>
      <c r="BF205" s="18" t="e" cm="1">
        <f t="array" aca="1" ref="BF205" ca="1">IF(INDIRECT(ADDRESS($B205+1,BF$164,1,1,"Confirmed Trend"))=0,#N/A,INDIRECT(ADDRESS($B205+1,BF$164,1,1,"Confirmed Trend")))</f>
        <v>#N/A</v>
      </c>
      <c r="BG205" s="18" t="e" cm="1">
        <f t="array" aca="1" ref="BG205" ca="1">IF(INDIRECT(ADDRESS($B205+1,BG$164,1,1,"Confirmed Trend"))=0,#N/A,INDIRECT(ADDRESS($B205+1,BG$164,1,1,"Confirmed Trend")))</f>
        <v>#N/A</v>
      </c>
      <c r="BH205" s="18" t="e" cm="1">
        <f t="array" aca="1" ref="BH205" ca="1">IF(INDIRECT(ADDRESS($B205+1,BH$164,1,1,"Confirmed Trend"))=0,#N/A,INDIRECT(ADDRESS($B205+1,BH$164,1,1,"Confirmed Trend")))</f>
        <v>#N/A</v>
      </c>
      <c r="BI205" s="18" t="e" cm="1">
        <f t="array" aca="1" ref="BI205" ca="1">IF(INDIRECT(ADDRESS($B205+1,BI$164,1,1,"Confirmed Trend"))=0,#N/A,INDIRECT(ADDRESS($B205+1,BI$164,1,1,"Confirmed Trend")))</f>
        <v>#N/A</v>
      </c>
      <c r="BJ205" s="18" t="e" cm="1">
        <f t="array" aca="1" ref="BJ205" ca="1">IF(INDIRECT(ADDRESS($B205+1,BJ$164,1,1,"Confirmed Trend"))=0,#N/A,INDIRECT(ADDRESS($B205+1,BJ$164,1,1,"Confirmed Trend")))</f>
        <v>#N/A</v>
      </c>
      <c r="BK205" s="18" t="e" cm="1">
        <f t="array" aca="1" ref="BK205" ca="1">IF(INDIRECT(ADDRESS($B205+1,BK$164,1,1,"Confirmed Trend"))=0,#N/A,INDIRECT(ADDRESS($B205+1,BK$164,1,1,"Confirmed Trend")))</f>
        <v>#N/A</v>
      </c>
      <c r="BL205" s="18" t="e" cm="1">
        <f t="array" aca="1" ref="BL205" ca="1">IF(INDIRECT(ADDRESS($B205+1,BL$164,1,1,"Confirmed Trend"))=0,#N/A,INDIRECT(ADDRESS($B205+1,BL$164,1,1,"Confirmed Trend")))</f>
        <v>#N/A</v>
      </c>
      <c r="BM205" s="18" t="e" cm="1">
        <f t="array" aca="1" ref="BM205" ca="1">IF(INDIRECT(ADDRESS($B205+1,BM$164,1,1,"Confirmed Trend"))=0,#N/A,INDIRECT(ADDRESS($B205+1,BM$164,1,1,"Confirmed Trend")))</f>
        <v>#N/A</v>
      </c>
      <c r="BN205" s="18" t="e" cm="1">
        <f t="array" aca="1" ref="BN205" ca="1">IF(INDIRECT(ADDRESS($B205+1,BN$164,1,1,"Confirmed Trend"))=0,#N/A,INDIRECT(ADDRESS($B205+1,BN$164,1,1,"Confirmed Trend")))</f>
        <v>#N/A</v>
      </c>
      <c r="BO205" s="18" t="e" cm="1">
        <f t="array" aca="1" ref="BO205" ca="1">IF(INDIRECT(ADDRESS($B205+1,BO$164,1,1,"Confirmed Trend"))=0,#N/A,INDIRECT(ADDRESS($B205+1,BO$164,1,1,"Confirmed Trend")))</f>
        <v>#N/A</v>
      </c>
      <c r="BP205" s="18" t="e" cm="1">
        <f t="array" aca="1" ref="BP205" ca="1">IF(INDIRECT(ADDRESS($B205+1,BP$164,1,1,"Confirmed Trend"))=0,#N/A,INDIRECT(ADDRESS($B205+1,BP$164,1,1,"Confirmed Trend")))</f>
        <v>#N/A</v>
      </c>
      <c r="BQ205" s="18" t="e" cm="1">
        <f t="array" aca="1" ref="BQ205" ca="1">IF(INDIRECT(ADDRESS($B205+1,BQ$164,1,1,"Confirmed Trend"))=0,#N/A,INDIRECT(ADDRESS($B205+1,BQ$164,1,1,"Confirmed Trend")))</f>
        <v>#N/A</v>
      </c>
      <c r="BR205" s="18" t="e" cm="1">
        <f t="array" aca="1" ref="BR205" ca="1">IF(INDIRECT(ADDRESS($B205+1,BR$164,1,1,"Confirmed Trend"))=0,#N/A,INDIRECT(ADDRESS($B205+1,BR$164,1,1,"Confirmed Trend")))</f>
        <v>#N/A</v>
      </c>
      <c r="BS205" s="18" t="e" cm="1">
        <f t="array" aca="1" ref="BS205" ca="1">IF(INDIRECT(ADDRESS($B205+1,BS$164,1,1,"Confirmed Trend"))=0,#N/A,INDIRECT(ADDRESS($B205+1,BS$164,1,1,"Confirmed Trend")))</f>
        <v>#N/A</v>
      </c>
      <c r="BT205" s="18" t="e" cm="1">
        <f t="array" aca="1" ref="BT205" ca="1">IF(INDIRECT(ADDRESS($B205+1,BT$164,1,1,"Confirmed Trend"))=0,#N/A,INDIRECT(ADDRESS($B205+1,BT$164,1,1,"Confirmed Trend")))</f>
        <v>#N/A</v>
      </c>
      <c r="BU205" s="18" t="e" cm="1">
        <f t="array" aca="1" ref="BU205" ca="1">IF(INDIRECT(ADDRESS($B205+1,BU$164,1,1,"Confirmed Trend"))=0,#N/A,INDIRECT(ADDRESS($B205+1,BU$164,1,1,"Confirmed Trend")))</f>
        <v>#N/A</v>
      </c>
      <c r="BV205" s="18" t="e" cm="1">
        <f t="array" aca="1" ref="BV205" ca="1">IF(INDIRECT(ADDRESS($B205+1,BV$164,1,1,"Confirmed Trend"))=0,#N/A,INDIRECT(ADDRESS($B205+1,BV$164,1,1,"Confirmed Trend")))</f>
        <v>#N/A</v>
      </c>
    </row>
    <row r="206" spans="2:74" x14ac:dyDescent="0.25">
      <c r="B206">
        <f t="shared" si="132"/>
        <v>41</v>
      </c>
      <c r="C206" cm="1">
        <f t="array" aca="1" ref="C206" ca="1">INDIRECT(ADDRESS($B206+1,1,1,1,"Confirmed Trend"))</f>
        <v>0</v>
      </c>
      <c r="E206" s="18" t="e" cm="1">
        <f t="array" aca="1" ref="E206" ca="1">IF(INDIRECT(ADDRESS($B206+1,E$164,1,1,"Confirmed Trend"))=0,#N/A,INDIRECT(ADDRESS($B206+1,E$164,1,1,"Confirmed Trend")))</f>
        <v>#N/A</v>
      </c>
      <c r="F206" s="18" t="e" cm="1">
        <f t="array" aca="1" ref="F206" ca="1">IF(INDIRECT(ADDRESS($B206+1,F$164,1,1,"Confirmed Trend"))=0,#N/A,INDIRECT(ADDRESS($B206+1,F$164,1,1,"Confirmed Trend")))</f>
        <v>#N/A</v>
      </c>
      <c r="G206" s="18" t="e" cm="1">
        <f t="array" aca="1" ref="G206" ca="1">IF(INDIRECT(ADDRESS($B206+1,G$164,1,1,"Confirmed Trend"))=0,#N/A,INDIRECT(ADDRESS($B206+1,G$164,1,1,"Confirmed Trend")))</f>
        <v>#N/A</v>
      </c>
      <c r="H206" s="18" t="e" cm="1">
        <f t="array" aca="1" ref="H206" ca="1">IF(INDIRECT(ADDRESS($B206+1,H$164,1,1,"Confirmed Trend"))=0,#N/A,INDIRECT(ADDRESS($B206+1,H$164,1,1,"Confirmed Trend")))</f>
        <v>#N/A</v>
      </c>
      <c r="I206" s="18" t="e" cm="1">
        <f t="array" aca="1" ref="I206" ca="1">IF(INDIRECT(ADDRESS($B206+1,I$164,1,1,"Confirmed Trend"))=0,#N/A,INDIRECT(ADDRESS($B206+1,I$164,1,1,"Confirmed Trend")))</f>
        <v>#N/A</v>
      </c>
      <c r="J206" s="18" t="e" cm="1">
        <f t="array" aca="1" ref="J206" ca="1">IF(INDIRECT(ADDRESS($B206+1,J$164,1,1,"Confirmed Trend"))=0,#N/A,INDIRECT(ADDRESS($B206+1,J$164,1,1,"Confirmed Trend")))</f>
        <v>#N/A</v>
      </c>
      <c r="K206" s="18" t="e" cm="1">
        <f t="array" aca="1" ref="K206" ca="1">IF(INDIRECT(ADDRESS($B206+1,K$164,1,1,"Confirmed Trend"))=0,#N/A,INDIRECT(ADDRESS($B206+1,K$164,1,1,"Confirmed Trend")))</f>
        <v>#N/A</v>
      </c>
      <c r="L206" s="18" t="e" cm="1">
        <f t="array" aca="1" ref="L206" ca="1">IF(INDIRECT(ADDRESS($B206+1,L$164,1,1,"Confirmed Trend"))=0,#N/A,INDIRECT(ADDRESS($B206+1,L$164,1,1,"Confirmed Trend")))</f>
        <v>#N/A</v>
      </c>
      <c r="M206" s="18" t="e" cm="1">
        <f t="array" aca="1" ref="M206" ca="1">IF(INDIRECT(ADDRESS($B206+1,M$164,1,1,"Confirmed Trend"))=0,#N/A,INDIRECT(ADDRESS($B206+1,M$164,1,1,"Confirmed Trend")))</f>
        <v>#N/A</v>
      </c>
      <c r="N206" s="18" t="e" cm="1">
        <f t="array" aca="1" ref="N206" ca="1">IF(INDIRECT(ADDRESS($B206+1,N$164,1,1,"Confirmed Trend"))=0,#N/A,INDIRECT(ADDRESS($B206+1,N$164,1,1,"Confirmed Trend")))</f>
        <v>#N/A</v>
      </c>
      <c r="O206" s="18" t="e" cm="1">
        <f t="array" aca="1" ref="O206" ca="1">IF(INDIRECT(ADDRESS($B206+1,O$164,1,1,"Confirmed Trend"))=0,#N/A,INDIRECT(ADDRESS($B206+1,O$164,1,1,"Confirmed Trend")))</f>
        <v>#N/A</v>
      </c>
      <c r="P206" s="18" t="e" cm="1">
        <f t="array" aca="1" ref="P206" ca="1">IF(INDIRECT(ADDRESS($B206+1,P$164,1,1,"Confirmed Trend"))=0,#N/A,INDIRECT(ADDRESS($B206+1,P$164,1,1,"Confirmed Trend")))</f>
        <v>#N/A</v>
      </c>
      <c r="Q206" s="18" t="e" cm="1">
        <f t="array" aca="1" ref="Q206" ca="1">IF(INDIRECT(ADDRESS($B206+1,Q$164,1,1,"Confirmed Trend"))=0,#N/A,INDIRECT(ADDRESS($B206+1,Q$164,1,1,"Confirmed Trend")))</f>
        <v>#N/A</v>
      </c>
      <c r="R206" s="18" t="e" cm="1">
        <f t="array" aca="1" ref="R206" ca="1">IF(INDIRECT(ADDRESS($B206+1,R$164,1,1,"Confirmed Trend"))=0,#N/A,INDIRECT(ADDRESS($B206+1,R$164,1,1,"Confirmed Trend")))</f>
        <v>#N/A</v>
      </c>
      <c r="S206" s="18" t="e" cm="1">
        <f t="array" aca="1" ref="S206" ca="1">IF(INDIRECT(ADDRESS($B206+1,S$164,1,1,"Confirmed Trend"))=0,#N/A,INDIRECT(ADDRESS($B206+1,S$164,1,1,"Confirmed Trend")))</f>
        <v>#N/A</v>
      </c>
      <c r="T206" s="18" t="e" cm="1">
        <f t="array" aca="1" ref="T206" ca="1">IF(INDIRECT(ADDRESS($B206+1,T$164,1,1,"Confirmed Trend"))=0,#N/A,INDIRECT(ADDRESS($B206+1,T$164,1,1,"Confirmed Trend")))</f>
        <v>#N/A</v>
      </c>
      <c r="U206" s="18" t="e" cm="1">
        <f t="array" aca="1" ref="U206" ca="1">IF(INDIRECT(ADDRESS($B206+1,U$164,1,1,"Confirmed Trend"))=0,#N/A,INDIRECT(ADDRESS($B206+1,U$164,1,1,"Confirmed Trend")))</f>
        <v>#N/A</v>
      </c>
      <c r="V206" s="18" t="e" cm="1">
        <f t="array" aca="1" ref="V206" ca="1">IF(INDIRECT(ADDRESS($B206+1,V$164,1,1,"Confirmed Trend"))=0,#N/A,INDIRECT(ADDRESS($B206+1,V$164,1,1,"Confirmed Trend")))</f>
        <v>#N/A</v>
      </c>
      <c r="W206" s="18" t="e" cm="1">
        <f t="array" aca="1" ref="W206" ca="1">IF(INDIRECT(ADDRESS($B206+1,W$164,1,1,"Confirmed Trend"))=0,#N/A,INDIRECT(ADDRESS($B206+1,W$164,1,1,"Confirmed Trend")))</f>
        <v>#N/A</v>
      </c>
      <c r="X206" s="18" t="e" cm="1">
        <f t="array" aca="1" ref="X206" ca="1">IF(INDIRECT(ADDRESS($B206+1,X$164,1,1,"Confirmed Trend"))=0,#N/A,INDIRECT(ADDRESS($B206+1,X$164,1,1,"Confirmed Trend")))</f>
        <v>#N/A</v>
      </c>
      <c r="Y206" s="18" t="e" cm="1">
        <f t="array" aca="1" ref="Y206" ca="1">IF(INDIRECT(ADDRESS($B206+1,Y$164,1,1,"Confirmed Trend"))=0,#N/A,INDIRECT(ADDRESS($B206+1,Y$164,1,1,"Confirmed Trend")))</f>
        <v>#N/A</v>
      </c>
      <c r="Z206" s="18" t="e" cm="1">
        <f t="array" aca="1" ref="Z206" ca="1">IF(INDIRECT(ADDRESS($B206+1,Z$164,1,1,"Confirmed Trend"))=0,#N/A,INDIRECT(ADDRESS($B206+1,Z$164,1,1,"Confirmed Trend")))</f>
        <v>#N/A</v>
      </c>
      <c r="AA206" s="18" t="e" cm="1">
        <f t="array" aca="1" ref="AA206" ca="1">IF(INDIRECT(ADDRESS($B206+1,AA$164,1,1,"Confirmed Trend"))=0,#N/A,INDIRECT(ADDRESS($B206+1,AA$164,1,1,"Confirmed Trend")))</f>
        <v>#N/A</v>
      </c>
      <c r="AB206" s="18" t="e" cm="1">
        <f t="array" aca="1" ref="AB206" ca="1">IF(INDIRECT(ADDRESS($B206+1,AB$164,1,1,"Confirmed Trend"))=0,#N/A,INDIRECT(ADDRESS($B206+1,AB$164,1,1,"Confirmed Trend")))</f>
        <v>#N/A</v>
      </c>
      <c r="AC206" s="18" t="e" cm="1">
        <f t="array" aca="1" ref="AC206" ca="1">IF(INDIRECT(ADDRESS($B206+1,AC$164,1,1,"Confirmed Trend"))=0,#N/A,INDIRECT(ADDRESS($B206+1,AC$164,1,1,"Confirmed Trend")))</f>
        <v>#N/A</v>
      </c>
      <c r="AD206" s="18" t="e" cm="1">
        <f t="array" aca="1" ref="AD206" ca="1">IF(INDIRECT(ADDRESS($B206+1,AD$164,1,1,"Confirmed Trend"))=0,#N/A,INDIRECT(ADDRESS($B206+1,AD$164,1,1,"Confirmed Trend")))</f>
        <v>#N/A</v>
      </c>
      <c r="AE206" s="18" t="e" cm="1">
        <f t="array" aca="1" ref="AE206" ca="1">IF(INDIRECT(ADDRESS($B206+1,AE$164,1,1,"Confirmed Trend"))=0,#N/A,INDIRECT(ADDRESS($B206+1,AE$164,1,1,"Confirmed Trend")))</f>
        <v>#N/A</v>
      </c>
      <c r="AF206" s="18" t="e" cm="1">
        <f t="array" aca="1" ref="AF206" ca="1">IF(INDIRECT(ADDRESS($B206+1,AF$164,1,1,"Confirmed Trend"))=0,#N/A,INDIRECT(ADDRESS($B206+1,AF$164,1,1,"Confirmed Trend")))</f>
        <v>#N/A</v>
      </c>
      <c r="AG206" s="18" t="e" cm="1">
        <f t="array" aca="1" ref="AG206" ca="1">IF(INDIRECT(ADDRESS($B206+1,AG$164,1,1,"Confirmed Trend"))=0,#N/A,INDIRECT(ADDRESS($B206+1,AG$164,1,1,"Confirmed Trend")))</f>
        <v>#N/A</v>
      </c>
      <c r="AH206" s="18" t="e" cm="1">
        <f t="array" aca="1" ref="AH206" ca="1">IF(INDIRECT(ADDRESS($B206+1,AH$164,1,1,"Confirmed Trend"))=0,#N/A,INDIRECT(ADDRESS($B206+1,AH$164,1,1,"Confirmed Trend")))</f>
        <v>#N/A</v>
      </c>
      <c r="AI206" s="18" t="e" cm="1">
        <f t="array" aca="1" ref="AI206" ca="1">IF(INDIRECT(ADDRESS($B206+1,AI$164,1,1,"Confirmed Trend"))=0,#N/A,INDIRECT(ADDRESS($B206+1,AI$164,1,1,"Confirmed Trend")))</f>
        <v>#N/A</v>
      </c>
      <c r="AJ206" s="18" t="e" cm="1">
        <f t="array" aca="1" ref="AJ206" ca="1">IF(INDIRECT(ADDRESS($B206+1,AJ$164,1,1,"Confirmed Trend"))=0,#N/A,INDIRECT(ADDRESS($B206+1,AJ$164,1,1,"Confirmed Trend")))</f>
        <v>#N/A</v>
      </c>
      <c r="AK206" s="18" t="e" cm="1">
        <f t="array" aca="1" ref="AK206" ca="1">IF(INDIRECT(ADDRESS($B206+1,AK$164,1,1,"Confirmed Trend"))=0,#N/A,INDIRECT(ADDRESS($B206+1,AK$164,1,1,"Confirmed Trend")))</f>
        <v>#N/A</v>
      </c>
      <c r="AL206" s="18" t="e" cm="1">
        <f t="array" aca="1" ref="AL206" ca="1">IF(INDIRECT(ADDRESS($B206+1,AL$164,1,1,"Confirmed Trend"))=0,#N/A,INDIRECT(ADDRESS($B206+1,AL$164,1,1,"Confirmed Trend")))</f>
        <v>#N/A</v>
      </c>
      <c r="AM206" s="18" t="e" cm="1">
        <f t="array" aca="1" ref="AM206" ca="1">IF(INDIRECT(ADDRESS($B206+1,AM$164,1,1,"Confirmed Trend"))=0,#N/A,INDIRECT(ADDRESS($B206+1,AM$164,1,1,"Confirmed Trend")))</f>
        <v>#N/A</v>
      </c>
      <c r="AN206" s="18" t="e" cm="1">
        <f t="array" aca="1" ref="AN206" ca="1">IF(INDIRECT(ADDRESS($B206+1,AN$164,1,1,"Confirmed Trend"))=0,#N/A,INDIRECT(ADDRESS($B206+1,AN$164,1,1,"Confirmed Trend")))</f>
        <v>#N/A</v>
      </c>
      <c r="AO206" s="18" t="e" cm="1">
        <f t="array" aca="1" ref="AO206" ca="1">IF(INDIRECT(ADDRESS($B206+1,AO$164,1,1,"Confirmed Trend"))=0,#N/A,INDIRECT(ADDRESS($B206+1,AO$164,1,1,"Confirmed Trend")))</f>
        <v>#N/A</v>
      </c>
      <c r="AP206" s="18" t="e" cm="1">
        <f t="array" aca="1" ref="AP206" ca="1">IF(INDIRECT(ADDRESS($B206+1,AP$164,1,1,"Confirmed Trend"))=0,#N/A,INDIRECT(ADDRESS($B206+1,AP$164,1,1,"Confirmed Trend")))</f>
        <v>#N/A</v>
      </c>
      <c r="AQ206" s="18" t="e" cm="1">
        <f t="array" aca="1" ref="AQ206" ca="1">IF(INDIRECT(ADDRESS($B206+1,AQ$164,1,1,"Confirmed Trend"))=0,#N/A,INDIRECT(ADDRESS($B206+1,AQ$164,1,1,"Confirmed Trend")))</f>
        <v>#N/A</v>
      </c>
      <c r="AR206" s="18" t="e" cm="1">
        <f t="array" aca="1" ref="AR206" ca="1">IF(INDIRECT(ADDRESS($B206+1,AR$164,1,1,"Confirmed Trend"))=0,#N/A,INDIRECT(ADDRESS($B206+1,AR$164,1,1,"Confirmed Trend")))</f>
        <v>#N/A</v>
      </c>
      <c r="AS206" s="18" t="e" cm="1">
        <f t="array" aca="1" ref="AS206" ca="1">IF(INDIRECT(ADDRESS($B206+1,AS$164,1,1,"Confirmed Trend"))=0,#N/A,INDIRECT(ADDRESS($B206+1,AS$164,1,1,"Confirmed Trend")))</f>
        <v>#N/A</v>
      </c>
      <c r="AT206" s="18" t="e" cm="1">
        <f t="array" aca="1" ref="AT206" ca="1">IF(INDIRECT(ADDRESS($B206+1,AT$164,1,1,"Confirmed Trend"))=0,#N/A,INDIRECT(ADDRESS($B206+1,AT$164,1,1,"Confirmed Trend")))</f>
        <v>#N/A</v>
      </c>
      <c r="AU206" s="18" t="e" cm="1">
        <f t="array" aca="1" ref="AU206" ca="1">IF(INDIRECT(ADDRESS($B206+1,AU$164,1,1,"Confirmed Trend"))=0,#N/A,INDIRECT(ADDRESS($B206+1,AU$164,1,1,"Confirmed Trend")))</f>
        <v>#N/A</v>
      </c>
      <c r="AV206" s="18" t="e" cm="1">
        <f t="array" aca="1" ref="AV206" ca="1">IF(INDIRECT(ADDRESS($B206+1,AV$164,1,1,"Confirmed Trend"))=0,#N/A,INDIRECT(ADDRESS($B206+1,AV$164,1,1,"Confirmed Trend")))</f>
        <v>#N/A</v>
      </c>
      <c r="AW206" s="18" t="e" cm="1">
        <f t="array" aca="1" ref="AW206" ca="1">IF(INDIRECT(ADDRESS($B206+1,AW$164,1,1,"Confirmed Trend"))=0,#N/A,INDIRECT(ADDRESS($B206+1,AW$164,1,1,"Confirmed Trend")))</f>
        <v>#N/A</v>
      </c>
      <c r="AX206" s="18" t="e" cm="1">
        <f t="array" aca="1" ref="AX206" ca="1">IF(INDIRECT(ADDRESS($B206+1,AX$164,1,1,"Confirmed Trend"))=0,#N/A,INDIRECT(ADDRESS($B206+1,AX$164,1,1,"Confirmed Trend")))</f>
        <v>#N/A</v>
      </c>
      <c r="AY206" s="18" t="e" cm="1">
        <f t="array" aca="1" ref="AY206" ca="1">IF(INDIRECT(ADDRESS($B206+1,AY$164,1,1,"Confirmed Trend"))=0,#N/A,INDIRECT(ADDRESS($B206+1,AY$164,1,1,"Confirmed Trend")))</f>
        <v>#N/A</v>
      </c>
      <c r="AZ206" s="18" t="e" cm="1">
        <f t="array" aca="1" ref="AZ206" ca="1">IF(INDIRECT(ADDRESS($B206+1,AZ$164,1,1,"Confirmed Trend"))=0,#N/A,INDIRECT(ADDRESS($B206+1,AZ$164,1,1,"Confirmed Trend")))</f>
        <v>#N/A</v>
      </c>
      <c r="BA206" s="18" t="e" cm="1">
        <f t="array" aca="1" ref="BA206" ca="1">IF(INDIRECT(ADDRESS($B206+1,BA$164,1,1,"Confirmed Trend"))=0,#N/A,INDIRECT(ADDRESS($B206+1,BA$164,1,1,"Confirmed Trend")))</f>
        <v>#N/A</v>
      </c>
      <c r="BB206" s="18" t="e" cm="1">
        <f t="array" aca="1" ref="BB206" ca="1">IF(INDIRECT(ADDRESS($B206+1,BB$164,1,1,"Confirmed Trend"))=0,#N/A,INDIRECT(ADDRESS($B206+1,BB$164,1,1,"Confirmed Trend")))</f>
        <v>#N/A</v>
      </c>
      <c r="BC206" s="18" t="e" cm="1">
        <f t="array" aca="1" ref="BC206" ca="1">IF(INDIRECT(ADDRESS($B206+1,BC$164,1,1,"Confirmed Trend"))=0,#N/A,INDIRECT(ADDRESS($B206+1,BC$164,1,1,"Confirmed Trend")))</f>
        <v>#N/A</v>
      </c>
      <c r="BD206" s="18" t="e" cm="1">
        <f t="array" aca="1" ref="BD206" ca="1">IF(INDIRECT(ADDRESS($B206+1,BD$164,1,1,"Confirmed Trend"))=0,#N/A,INDIRECT(ADDRESS($B206+1,BD$164,1,1,"Confirmed Trend")))</f>
        <v>#N/A</v>
      </c>
      <c r="BE206" s="18" t="e" cm="1">
        <f t="array" aca="1" ref="BE206" ca="1">IF(INDIRECT(ADDRESS($B206+1,BE$164,1,1,"Confirmed Trend"))=0,#N/A,INDIRECT(ADDRESS($B206+1,BE$164,1,1,"Confirmed Trend")))</f>
        <v>#N/A</v>
      </c>
      <c r="BF206" s="18" t="e" cm="1">
        <f t="array" aca="1" ref="BF206" ca="1">IF(INDIRECT(ADDRESS($B206+1,BF$164,1,1,"Confirmed Trend"))=0,#N/A,INDIRECT(ADDRESS($B206+1,BF$164,1,1,"Confirmed Trend")))</f>
        <v>#N/A</v>
      </c>
      <c r="BG206" s="18" t="e" cm="1">
        <f t="array" aca="1" ref="BG206" ca="1">IF(INDIRECT(ADDRESS($B206+1,BG$164,1,1,"Confirmed Trend"))=0,#N/A,INDIRECT(ADDRESS($B206+1,BG$164,1,1,"Confirmed Trend")))</f>
        <v>#N/A</v>
      </c>
      <c r="BH206" s="18" t="e" cm="1">
        <f t="array" aca="1" ref="BH206" ca="1">IF(INDIRECT(ADDRESS($B206+1,BH$164,1,1,"Confirmed Trend"))=0,#N/A,INDIRECT(ADDRESS($B206+1,BH$164,1,1,"Confirmed Trend")))</f>
        <v>#N/A</v>
      </c>
      <c r="BI206" s="18" t="e" cm="1">
        <f t="array" aca="1" ref="BI206" ca="1">IF(INDIRECT(ADDRESS($B206+1,BI$164,1,1,"Confirmed Trend"))=0,#N/A,INDIRECT(ADDRESS($B206+1,BI$164,1,1,"Confirmed Trend")))</f>
        <v>#N/A</v>
      </c>
      <c r="BJ206" s="18" t="e" cm="1">
        <f t="array" aca="1" ref="BJ206" ca="1">IF(INDIRECT(ADDRESS($B206+1,BJ$164,1,1,"Confirmed Trend"))=0,#N/A,INDIRECT(ADDRESS($B206+1,BJ$164,1,1,"Confirmed Trend")))</f>
        <v>#N/A</v>
      </c>
      <c r="BK206" s="18" t="e" cm="1">
        <f t="array" aca="1" ref="BK206" ca="1">IF(INDIRECT(ADDRESS($B206+1,BK$164,1,1,"Confirmed Trend"))=0,#N/A,INDIRECT(ADDRESS($B206+1,BK$164,1,1,"Confirmed Trend")))</f>
        <v>#N/A</v>
      </c>
      <c r="BL206" s="18" t="e" cm="1">
        <f t="array" aca="1" ref="BL206" ca="1">IF(INDIRECT(ADDRESS($B206+1,BL$164,1,1,"Confirmed Trend"))=0,#N/A,INDIRECT(ADDRESS($B206+1,BL$164,1,1,"Confirmed Trend")))</f>
        <v>#N/A</v>
      </c>
      <c r="BM206" s="18" t="e" cm="1">
        <f t="array" aca="1" ref="BM206" ca="1">IF(INDIRECT(ADDRESS($B206+1,BM$164,1,1,"Confirmed Trend"))=0,#N/A,INDIRECT(ADDRESS($B206+1,BM$164,1,1,"Confirmed Trend")))</f>
        <v>#N/A</v>
      </c>
      <c r="BN206" s="18" t="e" cm="1">
        <f t="array" aca="1" ref="BN206" ca="1">IF(INDIRECT(ADDRESS($B206+1,BN$164,1,1,"Confirmed Trend"))=0,#N/A,INDIRECT(ADDRESS($B206+1,BN$164,1,1,"Confirmed Trend")))</f>
        <v>#N/A</v>
      </c>
      <c r="BO206" s="18" t="e" cm="1">
        <f t="array" aca="1" ref="BO206" ca="1">IF(INDIRECT(ADDRESS($B206+1,BO$164,1,1,"Confirmed Trend"))=0,#N/A,INDIRECT(ADDRESS($B206+1,BO$164,1,1,"Confirmed Trend")))</f>
        <v>#N/A</v>
      </c>
      <c r="BP206" s="18" t="e" cm="1">
        <f t="array" aca="1" ref="BP206" ca="1">IF(INDIRECT(ADDRESS($B206+1,BP$164,1,1,"Confirmed Trend"))=0,#N/A,INDIRECT(ADDRESS($B206+1,BP$164,1,1,"Confirmed Trend")))</f>
        <v>#N/A</v>
      </c>
      <c r="BQ206" s="18" t="e" cm="1">
        <f t="array" aca="1" ref="BQ206" ca="1">IF(INDIRECT(ADDRESS($B206+1,BQ$164,1,1,"Confirmed Trend"))=0,#N/A,INDIRECT(ADDRESS($B206+1,BQ$164,1,1,"Confirmed Trend")))</f>
        <v>#N/A</v>
      </c>
      <c r="BR206" s="18" t="e" cm="1">
        <f t="array" aca="1" ref="BR206" ca="1">IF(INDIRECT(ADDRESS($B206+1,BR$164,1,1,"Confirmed Trend"))=0,#N/A,INDIRECT(ADDRESS($B206+1,BR$164,1,1,"Confirmed Trend")))</f>
        <v>#N/A</v>
      </c>
      <c r="BS206" s="18" t="e" cm="1">
        <f t="array" aca="1" ref="BS206" ca="1">IF(INDIRECT(ADDRESS($B206+1,BS$164,1,1,"Confirmed Trend"))=0,#N/A,INDIRECT(ADDRESS($B206+1,BS$164,1,1,"Confirmed Trend")))</f>
        <v>#N/A</v>
      </c>
      <c r="BT206" s="18" t="e" cm="1">
        <f t="array" aca="1" ref="BT206" ca="1">IF(INDIRECT(ADDRESS($B206+1,BT$164,1,1,"Confirmed Trend"))=0,#N/A,INDIRECT(ADDRESS($B206+1,BT$164,1,1,"Confirmed Trend")))</f>
        <v>#N/A</v>
      </c>
      <c r="BU206" s="18" t="e" cm="1">
        <f t="array" aca="1" ref="BU206" ca="1">IF(INDIRECT(ADDRESS($B206+1,BU$164,1,1,"Confirmed Trend"))=0,#N/A,INDIRECT(ADDRESS($B206+1,BU$164,1,1,"Confirmed Trend")))</f>
        <v>#N/A</v>
      </c>
      <c r="BV206" s="18" t="e" cm="1">
        <f t="array" aca="1" ref="BV206" ca="1">IF(INDIRECT(ADDRESS($B206+1,BV$164,1,1,"Confirmed Trend"))=0,#N/A,INDIRECT(ADDRESS($B206+1,BV$164,1,1,"Confirmed Trend")))</f>
        <v>#N/A</v>
      </c>
    </row>
    <row r="207" spans="2:74" x14ac:dyDescent="0.25">
      <c r="B207">
        <f t="shared" si="132"/>
        <v>42</v>
      </c>
      <c r="C207" cm="1">
        <f t="array" aca="1" ref="C207" ca="1">INDIRECT(ADDRESS($B207+1,1,1,1,"Confirmed Trend"))</f>
        <v>0</v>
      </c>
      <c r="E207" s="18" t="e" cm="1">
        <f t="array" aca="1" ref="E207" ca="1">IF(INDIRECT(ADDRESS($B207+1,E$164,1,1,"Confirmed Trend"))=0,#N/A,INDIRECT(ADDRESS($B207+1,E$164,1,1,"Confirmed Trend")))</f>
        <v>#N/A</v>
      </c>
      <c r="F207" s="18" t="e" cm="1">
        <f t="array" aca="1" ref="F207" ca="1">IF(INDIRECT(ADDRESS($B207+1,F$164,1,1,"Confirmed Trend"))=0,#N/A,INDIRECT(ADDRESS($B207+1,F$164,1,1,"Confirmed Trend")))</f>
        <v>#N/A</v>
      </c>
      <c r="G207" s="18" t="e" cm="1">
        <f t="array" aca="1" ref="G207" ca="1">IF(INDIRECT(ADDRESS($B207+1,G$164,1,1,"Confirmed Trend"))=0,#N/A,INDIRECT(ADDRESS($B207+1,G$164,1,1,"Confirmed Trend")))</f>
        <v>#N/A</v>
      </c>
      <c r="H207" s="18" t="e" cm="1">
        <f t="array" aca="1" ref="H207" ca="1">IF(INDIRECT(ADDRESS($B207+1,H$164,1,1,"Confirmed Trend"))=0,#N/A,INDIRECT(ADDRESS($B207+1,H$164,1,1,"Confirmed Trend")))</f>
        <v>#N/A</v>
      </c>
      <c r="I207" s="18" t="e" cm="1">
        <f t="array" aca="1" ref="I207" ca="1">IF(INDIRECT(ADDRESS($B207+1,I$164,1,1,"Confirmed Trend"))=0,#N/A,INDIRECT(ADDRESS($B207+1,I$164,1,1,"Confirmed Trend")))</f>
        <v>#N/A</v>
      </c>
      <c r="J207" s="18" t="e" cm="1">
        <f t="array" aca="1" ref="J207" ca="1">IF(INDIRECT(ADDRESS($B207+1,J$164,1,1,"Confirmed Trend"))=0,#N/A,INDIRECT(ADDRESS($B207+1,J$164,1,1,"Confirmed Trend")))</f>
        <v>#N/A</v>
      </c>
      <c r="K207" s="18" t="e" cm="1">
        <f t="array" aca="1" ref="K207" ca="1">IF(INDIRECT(ADDRESS($B207+1,K$164,1,1,"Confirmed Trend"))=0,#N/A,INDIRECT(ADDRESS($B207+1,K$164,1,1,"Confirmed Trend")))</f>
        <v>#N/A</v>
      </c>
      <c r="L207" s="18" t="e" cm="1">
        <f t="array" aca="1" ref="L207" ca="1">IF(INDIRECT(ADDRESS($B207+1,L$164,1,1,"Confirmed Trend"))=0,#N/A,INDIRECT(ADDRESS($B207+1,L$164,1,1,"Confirmed Trend")))</f>
        <v>#N/A</v>
      </c>
      <c r="M207" s="18" t="e" cm="1">
        <f t="array" aca="1" ref="M207" ca="1">IF(INDIRECT(ADDRESS($B207+1,M$164,1,1,"Confirmed Trend"))=0,#N/A,INDIRECT(ADDRESS($B207+1,M$164,1,1,"Confirmed Trend")))</f>
        <v>#N/A</v>
      </c>
      <c r="N207" s="18" t="e" cm="1">
        <f t="array" aca="1" ref="N207" ca="1">IF(INDIRECT(ADDRESS($B207+1,N$164,1,1,"Confirmed Trend"))=0,#N/A,INDIRECT(ADDRESS($B207+1,N$164,1,1,"Confirmed Trend")))</f>
        <v>#N/A</v>
      </c>
      <c r="O207" s="18" t="e" cm="1">
        <f t="array" aca="1" ref="O207" ca="1">IF(INDIRECT(ADDRESS($B207+1,O$164,1,1,"Confirmed Trend"))=0,#N/A,INDIRECT(ADDRESS($B207+1,O$164,1,1,"Confirmed Trend")))</f>
        <v>#N/A</v>
      </c>
      <c r="P207" s="18" t="e" cm="1">
        <f t="array" aca="1" ref="P207" ca="1">IF(INDIRECT(ADDRESS($B207+1,P$164,1,1,"Confirmed Trend"))=0,#N/A,INDIRECT(ADDRESS($B207+1,P$164,1,1,"Confirmed Trend")))</f>
        <v>#N/A</v>
      </c>
      <c r="Q207" s="18" t="e" cm="1">
        <f t="array" aca="1" ref="Q207" ca="1">IF(INDIRECT(ADDRESS($B207+1,Q$164,1,1,"Confirmed Trend"))=0,#N/A,INDIRECT(ADDRESS($B207+1,Q$164,1,1,"Confirmed Trend")))</f>
        <v>#N/A</v>
      </c>
      <c r="R207" s="18" t="e" cm="1">
        <f t="array" aca="1" ref="R207" ca="1">IF(INDIRECT(ADDRESS($B207+1,R$164,1,1,"Confirmed Trend"))=0,#N/A,INDIRECT(ADDRESS($B207+1,R$164,1,1,"Confirmed Trend")))</f>
        <v>#N/A</v>
      </c>
      <c r="S207" s="18" t="e" cm="1">
        <f t="array" aca="1" ref="S207" ca="1">IF(INDIRECT(ADDRESS($B207+1,S$164,1,1,"Confirmed Trend"))=0,#N/A,INDIRECT(ADDRESS($B207+1,S$164,1,1,"Confirmed Trend")))</f>
        <v>#N/A</v>
      </c>
      <c r="T207" s="18" t="e" cm="1">
        <f t="array" aca="1" ref="T207" ca="1">IF(INDIRECT(ADDRESS($B207+1,T$164,1,1,"Confirmed Trend"))=0,#N/A,INDIRECT(ADDRESS($B207+1,T$164,1,1,"Confirmed Trend")))</f>
        <v>#N/A</v>
      </c>
      <c r="U207" s="18" t="e" cm="1">
        <f t="array" aca="1" ref="U207" ca="1">IF(INDIRECT(ADDRESS($B207+1,U$164,1,1,"Confirmed Trend"))=0,#N/A,INDIRECT(ADDRESS($B207+1,U$164,1,1,"Confirmed Trend")))</f>
        <v>#N/A</v>
      </c>
      <c r="V207" s="18" t="e" cm="1">
        <f t="array" aca="1" ref="V207" ca="1">IF(INDIRECT(ADDRESS($B207+1,V$164,1,1,"Confirmed Trend"))=0,#N/A,INDIRECT(ADDRESS($B207+1,V$164,1,1,"Confirmed Trend")))</f>
        <v>#N/A</v>
      </c>
      <c r="W207" s="18" t="e" cm="1">
        <f t="array" aca="1" ref="W207" ca="1">IF(INDIRECT(ADDRESS($B207+1,W$164,1,1,"Confirmed Trend"))=0,#N/A,INDIRECT(ADDRESS($B207+1,W$164,1,1,"Confirmed Trend")))</f>
        <v>#N/A</v>
      </c>
      <c r="X207" s="18" t="e" cm="1">
        <f t="array" aca="1" ref="X207" ca="1">IF(INDIRECT(ADDRESS($B207+1,X$164,1,1,"Confirmed Trend"))=0,#N/A,INDIRECT(ADDRESS($B207+1,X$164,1,1,"Confirmed Trend")))</f>
        <v>#N/A</v>
      </c>
      <c r="Y207" s="18" t="e" cm="1">
        <f t="array" aca="1" ref="Y207" ca="1">IF(INDIRECT(ADDRESS($B207+1,Y$164,1,1,"Confirmed Trend"))=0,#N/A,INDIRECT(ADDRESS($B207+1,Y$164,1,1,"Confirmed Trend")))</f>
        <v>#N/A</v>
      </c>
      <c r="Z207" s="18" t="e" cm="1">
        <f t="array" aca="1" ref="Z207" ca="1">IF(INDIRECT(ADDRESS($B207+1,Z$164,1,1,"Confirmed Trend"))=0,#N/A,INDIRECT(ADDRESS($B207+1,Z$164,1,1,"Confirmed Trend")))</f>
        <v>#N/A</v>
      </c>
      <c r="AA207" s="18" t="e" cm="1">
        <f t="array" aca="1" ref="AA207" ca="1">IF(INDIRECT(ADDRESS($B207+1,AA$164,1,1,"Confirmed Trend"))=0,#N/A,INDIRECT(ADDRESS($B207+1,AA$164,1,1,"Confirmed Trend")))</f>
        <v>#N/A</v>
      </c>
      <c r="AB207" s="18" t="e" cm="1">
        <f t="array" aca="1" ref="AB207" ca="1">IF(INDIRECT(ADDRESS($B207+1,AB$164,1,1,"Confirmed Trend"))=0,#N/A,INDIRECT(ADDRESS($B207+1,AB$164,1,1,"Confirmed Trend")))</f>
        <v>#N/A</v>
      </c>
      <c r="AC207" s="18" t="e" cm="1">
        <f t="array" aca="1" ref="AC207" ca="1">IF(INDIRECT(ADDRESS($B207+1,AC$164,1,1,"Confirmed Trend"))=0,#N/A,INDIRECT(ADDRESS($B207+1,AC$164,1,1,"Confirmed Trend")))</f>
        <v>#N/A</v>
      </c>
      <c r="AD207" s="18" t="e" cm="1">
        <f t="array" aca="1" ref="AD207" ca="1">IF(INDIRECT(ADDRESS($B207+1,AD$164,1,1,"Confirmed Trend"))=0,#N/A,INDIRECT(ADDRESS($B207+1,AD$164,1,1,"Confirmed Trend")))</f>
        <v>#N/A</v>
      </c>
      <c r="AE207" s="18" t="e" cm="1">
        <f t="array" aca="1" ref="AE207" ca="1">IF(INDIRECT(ADDRESS($B207+1,AE$164,1,1,"Confirmed Trend"))=0,#N/A,INDIRECT(ADDRESS($B207+1,AE$164,1,1,"Confirmed Trend")))</f>
        <v>#N/A</v>
      </c>
      <c r="AF207" s="18" t="e" cm="1">
        <f t="array" aca="1" ref="AF207" ca="1">IF(INDIRECT(ADDRESS($B207+1,AF$164,1,1,"Confirmed Trend"))=0,#N/A,INDIRECT(ADDRESS($B207+1,AF$164,1,1,"Confirmed Trend")))</f>
        <v>#N/A</v>
      </c>
      <c r="AG207" s="18" t="e" cm="1">
        <f t="array" aca="1" ref="AG207" ca="1">IF(INDIRECT(ADDRESS($B207+1,AG$164,1,1,"Confirmed Trend"))=0,#N/A,INDIRECT(ADDRESS($B207+1,AG$164,1,1,"Confirmed Trend")))</f>
        <v>#N/A</v>
      </c>
      <c r="AH207" s="18" t="e" cm="1">
        <f t="array" aca="1" ref="AH207" ca="1">IF(INDIRECT(ADDRESS($B207+1,AH$164,1,1,"Confirmed Trend"))=0,#N/A,INDIRECT(ADDRESS($B207+1,AH$164,1,1,"Confirmed Trend")))</f>
        <v>#N/A</v>
      </c>
      <c r="AI207" s="18" t="e" cm="1">
        <f t="array" aca="1" ref="AI207" ca="1">IF(INDIRECT(ADDRESS($B207+1,AI$164,1,1,"Confirmed Trend"))=0,#N/A,INDIRECT(ADDRESS($B207+1,AI$164,1,1,"Confirmed Trend")))</f>
        <v>#N/A</v>
      </c>
      <c r="AJ207" s="18" t="e" cm="1">
        <f t="array" aca="1" ref="AJ207" ca="1">IF(INDIRECT(ADDRESS($B207+1,AJ$164,1,1,"Confirmed Trend"))=0,#N/A,INDIRECT(ADDRESS($B207+1,AJ$164,1,1,"Confirmed Trend")))</f>
        <v>#N/A</v>
      </c>
      <c r="AK207" s="18" t="e" cm="1">
        <f t="array" aca="1" ref="AK207" ca="1">IF(INDIRECT(ADDRESS($B207+1,AK$164,1,1,"Confirmed Trend"))=0,#N/A,INDIRECT(ADDRESS($B207+1,AK$164,1,1,"Confirmed Trend")))</f>
        <v>#N/A</v>
      </c>
      <c r="AL207" s="18" t="e" cm="1">
        <f t="array" aca="1" ref="AL207" ca="1">IF(INDIRECT(ADDRESS($B207+1,AL$164,1,1,"Confirmed Trend"))=0,#N/A,INDIRECT(ADDRESS($B207+1,AL$164,1,1,"Confirmed Trend")))</f>
        <v>#N/A</v>
      </c>
      <c r="AM207" s="18" t="e" cm="1">
        <f t="array" aca="1" ref="AM207" ca="1">IF(INDIRECT(ADDRESS($B207+1,AM$164,1,1,"Confirmed Trend"))=0,#N/A,INDIRECT(ADDRESS($B207+1,AM$164,1,1,"Confirmed Trend")))</f>
        <v>#N/A</v>
      </c>
      <c r="AN207" s="18" t="e" cm="1">
        <f t="array" aca="1" ref="AN207" ca="1">IF(INDIRECT(ADDRESS($B207+1,AN$164,1,1,"Confirmed Trend"))=0,#N/A,INDIRECT(ADDRESS($B207+1,AN$164,1,1,"Confirmed Trend")))</f>
        <v>#N/A</v>
      </c>
      <c r="AO207" s="18" t="e" cm="1">
        <f t="array" aca="1" ref="AO207" ca="1">IF(INDIRECT(ADDRESS($B207+1,AO$164,1,1,"Confirmed Trend"))=0,#N/A,INDIRECT(ADDRESS($B207+1,AO$164,1,1,"Confirmed Trend")))</f>
        <v>#N/A</v>
      </c>
      <c r="AP207" s="18" t="e" cm="1">
        <f t="array" aca="1" ref="AP207" ca="1">IF(INDIRECT(ADDRESS($B207+1,AP$164,1,1,"Confirmed Trend"))=0,#N/A,INDIRECT(ADDRESS($B207+1,AP$164,1,1,"Confirmed Trend")))</f>
        <v>#N/A</v>
      </c>
      <c r="AQ207" s="18" t="e" cm="1">
        <f t="array" aca="1" ref="AQ207" ca="1">IF(INDIRECT(ADDRESS($B207+1,AQ$164,1,1,"Confirmed Trend"))=0,#N/A,INDIRECT(ADDRESS($B207+1,AQ$164,1,1,"Confirmed Trend")))</f>
        <v>#N/A</v>
      </c>
      <c r="AR207" s="18" t="e" cm="1">
        <f t="array" aca="1" ref="AR207" ca="1">IF(INDIRECT(ADDRESS($B207+1,AR$164,1,1,"Confirmed Trend"))=0,#N/A,INDIRECT(ADDRESS($B207+1,AR$164,1,1,"Confirmed Trend")))</f>
        <v>#N/A</v>
      </c>
      <c r="AS207" s="18" t="e" cm="1">
        <f t="array" aca="1" ref="AS207" ca="1">IF(INDIRECT(ADDRESS($B207+1,AS$164,1,1,"Confirmed Trend"))=0,#N/A,INDIRECT(ADDRESS($B207+1,AS$164,1,1,"Confirmed Trend")))</f>
        <v>#N/A</v>
      </c>
      <c r="AT207" s="18" t="e" cm="1">
        <f t="array" aca="1" ref="AT207" ca="1">IF(INDIRECT(ADDRESS($B207+1,AT$164,1,1,"Confirmed Trend"))=0,#N/A,INDIRECT(ADDRESS($B207+1,AT$164,1,1,"Confirmed Trend")))</f>
        <v>#N/A</v>
      </c>
      <c r="AU207" s="18" t="e" cm="1">
        <f t="array" aca="1" ref="AU207" ca="1">IF(INDIRECT(ADDRESS($B207+1,AU$164,1,1,"Confirmed Trend"))=0,#N/A,INDIRECT(ADDRESS($B207+1,AU$164,1,1,"Confirmed Trend")))</f>
        <v>#N/A</v>
      </c>
      <c r="AV207" s="18" t="e" cm="1">
        <f t="array" aca="1" ref="AV207" ca="1">IF(INDIRECT(ADDRESS($B207+1,AV$164,1,1,"Confirmed Trend"))=0,#N/A,INDIRECT(ADDRESS($B207+1,AV$164,1,1,"Confirmed Trend")))</f>
        <v>#N/A</v>
      </c>
      <c r="AW207" s="18" t="e" cm="1">
        <f t="array" aca="1" ref="AW207" ca="1">IF(INDIRECT(ADDRESS($B207+1,AW$164,1,1,"Confirmed Trend"))=0,#N/A,INDIRECT(ADDRESS($B207+1,AW$164,1,1,"Confirmed Trend")))</f>
        <v>#N/A</v>
      </c>
      <c r="AX207" s="18" t="e" cm="1">
        <f t="array" aca="1" ref="AX207" ca="1">IF(INDIRECT(ADDRESS($B207+1,AX$164,1,1,"Confirmed Trend"))=0,#N/A,INDIRECT(ADDRESS($B207+1,AX$164,1,1,"Confirmed Trend")))</f>
        <v>#N/A</v>
      </c>
      <c r="AY207" s="18" t="e" cm="1">
        <f t="array" aca="1" ref="AY207" ca="1">IF(INDIRECT(ADDRESS($B207+1,AY$164,1,1,"Confirmed Trend"))=0,#N/A,INDIRECT(ADDRESS($B207+1,AY$164,1,1,"Confirmed Trend")))</f>
        <v>#N/A</v>
      </c>
      <c r="AZ207" s="18" t="e" cm="1">
        <f t="array" aca="1" ref="AZ207" ca="1">IF(INDIRECT(ADDRESS($B207+1,AZ$164,1,1,"Confirmed Trend"))=0,#N/A,INDIRECT(ADDRESS($B207+1,AZ$164,1,1,"Confirmed Trend")))</f>
        <v>#N/A</v>
      </c>
      <c r="BA207" s="18" t="e" cm="1">
        <f t="array" aca="1" ref="BA207" ca="1">IF(INDIRECT(ADDRESS($B207+1,BA$164,1,1,"Confirmed Trend"))=0,#N/A,INDIRECT(ADDRESS($B207+1,BA$164,1,1,"Confirmed Trend")))</f>
        <v>#N/A</v>
      </c>
      <c r="BB207" s="18" t="e" cm="1">
        <f t="array" aca="1" ref="BB207" ca="1">IF(INDIRECT(ADDRESS($B207+1,BB$164,1,1,"Confirmed Trend"))=0,#N/A,INDIRECT(ADDRESS($B207+1,BB$164,1,1,"Confirmed Trend")))</f>
        <v>#N/A</v>
      </c>
      <c r="BC207" s="18" t="e" cm="1">
        <f t="array" aca="1" ref="BC207" ca="1">IF(INDIRECT(ADDRESS($B207+1,BC$164,1,1,"Confirmed Trend"))=0,#N/A,INDIRECT(ADDRESS($B207+1,BC$164,1,1,"Confirmed Trend")))</f>
        <v>#N/A</v>
      </c>
      <c r="BD207" s="18" t="e" cm="1">
        <f t="array" aca="1" ref="BD207" ca="1">IF(INDIRECT(ADDRESS($B207+1,BD$164,1,1,"Confirmed Trend"))=0,#N/A,INDIRECT(ADDRESS($B207+1,BD$164,1,1,"Confirmed Trend")))</f>
        <v>#N/A</v>
      </c>
      <c r="BE207" s="18" t="e" cm="1">
        <f t="array" aca="1" ref="BE207" ca="1">IF(INDIRECT(ADDRESS($B207+1,BE$164,1,1,"Confirmed Trend"))=0,#N/A,INDIRECT(ADDRESS($B207+1,BE$164,1,1,"Confirmed Trend")))</f>
        <v>#N/A</v>
      </c>
      <c r="BF207" s="18" t="e" cm="1">
        <f t="array" aca="1" ref="BF207" ca="1">IF(INDIRECT(ADDRESS($B207+1,BF$164,1,1,"Confirmed Trend"))=0,#N/A,INDIRECT(ADDRESS($B207+1,BF$164,1,1,"Confirmed Trend")))</f>
        <v>#N/A</v>
      </c>
      <c r="BG207" s="18" t="e" cm="1">
        <f t="array" aca="1" ref="BG207" ca="1">IF(INDIRECT(ADDRESS($B207+1,BG$164,1,1,"Confirmed Trend"))=0,#N/A,INDIRECT(ADDRESS($B207+1,BG$164,1,1,"Confirmed Trend")))</f>
        <v>#N/A</v>
      </c>
      <c r="BH207" s="18" t="e" cm="1">
        <f t="array" aca="1" ref="BH207" ca="1">IF(INDIRECT(ADDRESS($B207+1,BH$164,1,1,"Confirmed Trend"))=0,#N/A,INDIRECT(ADDRESS($B207+1,BH$164,1,1,"Confirmed Trend")))</f>
        <v>#N/A</v>
      </c>
      <c r="BI207" s="18" t="e" cm="1">
        <f t="array" aca="1" ref="BI207" ca="1">IF(INDIRECT(ADDRESS($B207+1,BI$164,1,1,"Confirmed Trend"))=0,#N/A,INDIRECT(ADDRESS($B207+1,BI$164,1,1,"Confirmed Trend")))</f>
        <v>#N/A</v>
      </c>
      <c r="BJ207" s="18" t="e" cm="1">
        <f t="array" aca="1" ref="BJ207" ca="1">IF(INDIRECT(ADDRESS($B207+1,BJ$164,1,1,"Confirmed Trend"))=0,#N/A,INDIRECT(ADDRESS($B207+1,BJ$164,1,1,"Confirmed Trend")))</f>
        <v>#N/A</v>
      </c>
      <c r="BK207" s="18" t="e" cm="1">
        <f t="array" aca="1" ref="BK207" ca="1">IF(INDIRECT(ADDRESS($B207+1,BK$164,1,1,"Confirmed Trend"))=0,#N/A,INDIRECT(ADDRESS($B207+1,BK$164,1,1,"Confirmed Trend")))</f>
        <v>#N/A</v>
      </c>
      <c r="BL207" s="18" t="e" cm="1">
        <f t="array" aca="1" ref="BL207" ca="1">IF(INDIRECT(ADDRESS($B207+1,BL$164,1,1,"Confirmed Trend"))=0,#N/A,INDIRECT(ADDRESS($B207+1,BL$164,1,1,"Confirmed Trend")))</f>
        <v>#N/A</v>
      </c>
      <c r="BM207" s="18" t="e" cm="1">
        <f t="array" aca="1" ref="BM207" ca="1">IF(INDIRECT(ADDRESS($B207+1,BM$164,1,1,"Confirmed Trend"))=0,#N/A,INDIRECT(ADDRESS($B207+1,BM$164,1,1,"Confirmed Trend")))</f>
        <v>#N/A</v>
      </c>
      <c r="BN207" s="18" t="e" cm="1">
        <f t="array" aca="1" ref="BN207" ca="1">IF(INDIRECT(ADDRESS($B207+1,BN$164,1,1,"Confirmed Trend"))=0,#N/A,INDIRECT(ADDRESS($B207+1,BN$164,1,1,"Confirmed Trend")))</f>
        <v>#N/A</v>
      </c>
      <c r="BO207" s="18" t="e" cm="1">
        <f t="array" aca="1" ref="BO207" ca="1">IF(INDIRECT(ADDRESS($B207+1,BO$164,1,1,"Confirmed Trend"))=0,#N/A,INDIRECT(ADDRESS($B207+1,BO$164,1,1,"Confirmed Trend")))</f>
        <v>#N/A</v>
      </c>
      <c r="BP207" s="18" t="e" cm="1">
        <f t="array" aca="1" ref="BP207" ca="1">IF(INDIRECT(ADDRESS($B207+1,BP$164,1,1,"Confirmed Trend"))=0,#N/A,INDIRECT(ADDRESS($B207+1,BP$164,1,1,"Confirmed Trend")))</f>
        <v>#N/A</v>
      </c>
      <c r="BQ207" s="18" t="e" cm="1">
        <f t="array" aca="1" ref="BQ207" ca="1">IF(INDIRECT(ADDRESS($B207+1,BQ$164,1,1,"Confirmed Trend"))=0,#N/A,INDIRECT(ADDRESS($B207+1,BQ$164,1,1,"Confirmed Trend")))</f>
        <v>#N/A</v>
      </c>
      <c r="BR207" s="18" t="e" cm="1">
        <f t="array" aca="1" ref="BR207" ca="1">IF(INDIRECT(ADDRESS($B207+1,BR$164,1,1,"Confirmed Trend"))=0,#N/A,INDIRECT(ADDRESS($B207+1,BR$164,1,1,"Confirmed Trend")))</f>
        <v>#N/A</v>
      </c>
      <c r="BS207" s="18" t="e" cm="1">
        <f t="array" aca="1" ref="BS207" ca="1">IF(INDIRECT(ADDRESS($B207+1,BS$164,1,1,"Confirmed Trend"))=0,#N/A,INDIRECT(ADDRESS($B207+1,BS$164,1,1,"Confirmed Trend")))</f>
        <v>#N/A</v>
      </c>
      <c r="BT207" s="18" t="e" cm="1">
        <f t="array" aca="1" ref="BT207" ca="1">IF(INDIRECT(ADDRESS($B207+1,BT$164,1,1,"Confirmed Trend"))=0,#N/A,INDIRECT(ADDRESS($B207+1,BT$164,1,1,"Confirmed Trend")))</f>
        <v>#N/A</v>
      </c>
      <c r="BU207" s="18" t="e" cm="1">
        <f t="array" aca="1" ref="BU207" ca="1">IF(INDIRECT(ADDRESS($B207+1,BU$164,1,1,"Confirmed Trend"))=0,#N/A,INDIRECT(ADDRESS($B207+1,BU$164,1,1,"Confirmed Trend")))</f>
        <v>#N/A</v>
      </c>
      <c r="BV207" s="18" t="e" cm="1">
        <f t="array" aca="1" ref="BV207" ca="1">IF(INDIRECT(ADDRESS($B207+1,BV$164,1,1,"Confirmed Trend"))=0,#N/A,INDIRECT(ADDRESS($B207+1,BV$164,1,1,"Confirmed Trend")))</f>
        <v>#N/A</v>
      </c>
    </row>
    <row r="208" spans="2:74" x14ac:dyDescent="0.25">
      <c r="B208">
        <f t="shared" si="132"/>
        <v>43</v>
      </c>
      <c r="C208" cm="1">
        <f t="array" aca="1" ref="C208" ca="1">INDIRECT(ADDRESS($B208+1,1,1,1,"Confirmed Trend"))</f>
        <v>0</v>
      </c>
      <c r="E208" s="18" t="e" cm="1">
        <f t="array" aca="1" ref="E208" ca="1">IF(INDIRECT(ADDRESS($B208+1,E$164,1,1,"Confirmed Trend"))=0,#N/A,INDIRECT(ADDRESS($B208+1,E$164,1,1,"Confirmed Trend")))</f>
        <v>#N/A</v>
      </c>
      <c r="F208" s="18" t="e" cm="1">
        <f t="array" aca="1" ref="F208" ca="1">IF(INDIRECT(ADDRESS($B208+1,F$164,1,1,"Confirmed Trend"))=0,#N/A,INDIRECT(ADDRESS($B208+1,F$164,1,1,"Confirmed Trend")))</f>
        <v>#N/A</v>
      </c>
      <c r="G208" s="18" t="e" cm="1">
        <f t="array" aca="1" ref="G208" ca="1">IF(INDIRECT(ADDRESS($B208+1,G$164,1,1,"Confirmed Trend"))=0,#N/A,INDIRECT(ADDRESS($B208+1,G$164,1,1,"Confirmed Trend")))</f>
        <v>#N/A</v>
      </c>
      <c r="H208" s="18" t="e" cm="1">
        <f t="array" aca="1" ref="H208" ca="1">IF(INDIRECT(ADDRESS($B208+1,H$164,1,1,"Confirmed Trend"))=0,#N/A,INDIRECT(ADDRESS($B208+1,H$164,1,1,"Confirmed Trend")))</f>
        <v>#N/A</v>
      </c>
      <c r="I208" s="18" t="e" cm="1">
        <f t="array" aca="1" ref="I208" ca="1">IF(INDIRECT(ADDRESS($B208+1,I$164,1,1,"Confirmed Trend"))=0,#N/A,INDIRECT(ADDRESS($B208+1,I$164,1,1,"Confirmed Trend")))</f>
        <v>#N/A</v>
      </c>
      <c r="J208" s="18" t="e" cm="1">
        <f t="array" aca="1" ref="J208" ca="1">IF(INDIRECT(ADDRESS($B208+1,J$164,1,1,"Confirmed Trend"))=0,#N/A,INDIRECT(ADDRESS($B208+1,J$164,1,1,"Confirmed Trend")))</f>
        <v>#N/A</v>
      </c>
      <c r="K208" s="18" t="e" cm="1">
        <f t="array" aca="1" ref="K208" ca="1">IF(INDIRECT(ADDRESS($B208+1,K$164,1,1,"Confirmed Trend"))=0,#N/A,INDIRECT(ADDRESS($B208+1,K$164,1,1,"Confirmed Trend")))</f>
        <v>#N/A</v>
      </c>
      <c r="L208" s="18" t="e" cm="1">
        <f t="array" aca="1" ref="L208" ca="1">IF(INDIRECT(ADDRESS($B208+1,L$164,1,1,"Confirmed Trend"))=0,#N/A,INDIRECT(ADDRESS($B208+1,L$164,1,1,"Confirmed Trend")))</f>
        <v>#N/A</v>
      </c>
      <c r="M208" s="18" t="e" cm="1">
        <f t="array" aca="1" ref="M208" ca="1">IF(INDIRECT(ADDRESS($B208+1,M$164,1,1,"Confirmed Trend"))=0,#N/A,INDIRECT(ADDRESS($B208+1,M$164,1,1,"Confirmed Trend")))</f>
        <v>#N/A</v>
      </c>
      <c r="N208" s="18" t="e" cm="1">
        <f t="array" aca="1" ref="N208" ca="1">IF(INDIRECT(ADDRESS($B208+1,N$164,1,1,"Confirmed Trend"))=0,#N/A,INDIRECT(ADDRESS($B208+1,N$164,1,1,"Confirmed Trend")))</f>
        <v>#N/A</v>
      </c>
      <c r="O208" s="18" t="e" cm="1">
        <f t="array" aca="1" ref="O208" ca="1">IF(INDIRECT(ADDRESS($B208+1,O$164,1,1,"Confirmed Trend"))=0,#N/A,INDIRECT(ADDRESS($B208+1,O$164,1,1,"Confirmed Trend")))</f>
        <v>#N/A</v>
      </c>
      <c r="P208" s="18" t="e" cm="1">
        <f t="array" aca="1" ref="P208" ca="1">IF(INDIRECT(ADDRESS($B208+1,P$164,1,1,"Confirmed Trend"))=0,#N/A,INDIRECT(ADDRESS($B208+1,P$164,1,1,"Confirmed Trend")))</f>
        <v>#N/A</v>
      </c>
      <c r="Q208" s="18" t="e" cm="1">
        <f t="array" aca="1" ref="Q208" ca="1">IF(INDIRECT(ADDRESS($B208+1,Q$164,1,1,"Confirmed Trend"))=0,#N/A,INDIRECT(ADDRESS($B208+1,Q$164,1,1,"Confirmed Trend")))</f>
        <v>#N/A</v>
      </c>
      <c r="R208" s="18" t="e" cm="1">
        <f t="array" aca="1" ref="R208" ca="1">IF(INDIRECT(ADDRESS($B208+1,R$164,1,1,"Confirmed Trend"))=0,#N/A,INDIRECT(ADDRESS($B208+1,R$164,1,1,"Confirmed Trend")))</f>
        <v>#N/A</v>
      </c>
      <c r="S208" s="18" t="e" cm="1">
        <f t="array" aca="1" ref="S208" ca="1">IF(INDIRECT(ADDRESS($B208+1,S$164,1,1,"Confirmed Trend"))=0,#N/A,INDIRECT(ADDRESS($B208+1,S$164,1,1,"Confirmed Trend")))</f>
        <v>#N/A</v>
      </c>
      <c r="T208" s="18" t="e" cm="1">
        <f t="array" aca="1" ref="T208" ca="1">IF(INDIRECT(ADDRESS($B208+1,T$164,1,1,"Confirmed Trend"))=0,#N/A,INDIRECT(ADDRESS($B208+1,T$164,1,1,"Confirmed Trend")))</f>
        <v>#N/A</v>
      </c>
      <c r="U208" s="18" t="e" cm="1">
        <f t="array" aca="1" ref="U208" ca="1">IF(INDIRECT(ADDRESS($B208+1,U$164,1,1,"Confirmed Trend"))=0,#N/A,INDIRECT(ADDRESS($B208+1,U$164,1,1,"Confirmed Trend")))</f>
        <v>#N/A</v>
      </c>
      <c r="V208" s="18" t="e" cm="1">
        <f t="array" aca="1" ref="V208" ca="1">IF(INDIRECT(ADDRESS($B208+1,V$164,1,1,"Confirmed Trend"))=0,#N/A,INDIRECT(ADDRESS($B208+1,V$164,1,1,"Confirmed Trend")))</f>
        <v>#N/A</v>
      </c>
      <c r="W208" s="18" t="e" cm="1">
        <f t="array" aca="1" ref="W208" ca="1">IF(INDIRECT(ADDRESS($B208+1,W$164,1,1,"Confirmed Trend"))=0,#N/A,INDIRECT(ADDRESS($B208+1,W$164,1,1,"Confirmed Trend")))</f>
        <v>#N/A</v>
      </c>
      <c r="X208" s="18" t="e" cm="1">
        <f t="array" aca="1" ref="X208" ca="1">IF(INDIRECT(ADDRESS($B208+1,X$164,1,1,"Confirmed Trend"))=0,#N/A,INDIRECT(ADDRESS($B208+1,X$164,1,1,"Confirmed Trend")))</f>
        <v>#N/A</v>
      </c>
      <c r="Y208" s="18" t="e" cm="1">
        <f t="array" aca="1" ref="Y208" ca="1">IF(INDIRECT(ADDRESS($B208+1,Y$164,1,1,"Confirmed Trend"))=0,#N/A,INDIRECT(ADDRESS($B208+1,Y$164,1,1,"Confirmed Trend")))</f>
        <v>#N/A</v>
      </c>
      <c r="Z208" s="18" t="e" cm="1">
        <f t="array" aca="1" ref="Z208" ca="1">IF(INDIRECT(ADDRESS($B208+1,Z$164,1,1,"Confirmed Trend"))=0,#N/A,INDIRECT(ADDRESS($B208+1,Z$164,1,1,"Confirmed Trend")))</f>
        <v>#N/A</v>
      </c>
      <c r="AA208" s="18" t="e" cm="1">
        <f t="array" aca="1" ref="AA208" ca="1">IF(INDIRECT(ADDRESS($B208+1,AA$164,1,1,"Confirmed Trend"))=0,#N/A,INDIRECT(ADDRESS($B208+1,AA$164,1,1,"Confirmed Trend")))</f>
        <v>#N/A</v>
      </c>
      <c r="AB208" s="18" t="e" cm="1">
        <f t="array" aca="1" ref="AB208" ca="1">IF(INDIRECT(ADDRESS($B208+1,AB$164,1,1,"Confirmed Trend"))=0,#N/A,INDIRECT(ADDRESS($B208+1,AB$164,1,1,"Confirmed Trend")))</f>
        <v>#N/A</v>
      </c>
      <c r="AC208" s="18" t="e" cm="1">
        <f t="array" aca="1" ref="AC208" ca="1">IF(INDIRECT(ADDRESS($B208+1,AC$164,1,1,"Confirmed Trend"))=0,#N/A,INDIRECT(ADDRESS($B208+1,AC$164,1,1,"Confirmed Trend")))</f>
        <v>#N/A</v>
      </c>
      <c r="AD208" s="18" t="e" cm="1">
        <f t="array" aca="1" ref="AD208" ca="1">IF(INDIRECT(ADDRESS($B208+1,AD$164,1,1,"Confirmed Trend"))=0,#N/A,INDIRECT(ADDRESS($B208+1,AD$164,1,1,"Confirmed Trend")))</f>
        <v>#N/A</v>
      </c>
      <c r="AE208" s="18" t="e" cm="1">
        <f t="array" aca="1" ref="AE208" ca="1">IF(INDIRECT(ADDRESS($B208+1,AE$164,1,1,"Confirmed Trend"))=0,#N/A,INDIRECT(ADDRESS($B208+1,AE$164,1,1,"Confirmed Trend")))</f>
        <v>#N/A</v>
      </c>
      <c r="AF208" s="18" t="e" cm="1">
        <f t="array" aca="1" ref="AF208" ca="1">IF(INDIRECT(ADDRESS($B208+1,AF$164,1,1,"Confirmed Trend"))=0,#N/A,INDIRECT(ADDRESS($B208+1,AF$164,1,1,"Confirmed Trend")))</f>
        <v>#N/A</v>
      </c>
      <c r="AG208" s="18" t="e" cm="1">
        <f t="array" aca="1" ref="AG208" ca="1">IF(INDIRECT(ADDRESS($B208+1,AG$164,1,1,"Confirmed Trend"))=0,#N/A,INDIRECT(ADDRESS($B208+1,AG$164,1,1,"Confirmed Trend")))</f>
        <v>#N/A</v>
      </c>
      <c r="AH208" s="18" t="e" cm="1">
        <f t="array" aca="1" ref="AH208" ca="1">IF(INDIRECT(ADDRESS($B208+1,AH$164,1,1,"Confirmed Trend"))=0,#N/A,INDIRECT(ADDRESS($B208+1,AH$164,1,1,"Confirmed Trend")))</f>
        <v>#N/A</v>
      </c>
      <c r="AI208" s="18" t="e" cm="1">
        <f t="array" aca="1" ref="AI208" ca="1">IF(INDIRECT(ADDRESS($B208+1,AI$164,1,1,"Confirmed Trend"))=0,#N/A,INDIRECT(ADDRESS($B208+1,AI$164,1,1,"Confirmed Trend")))</f>
        <v>#N/A</v>
      </c>
      <c r="AJ208" s="18" t="e" cm="1">
        <f t="array" aca="1" ref="AJ208" ca="1">IF(INDIRECT(ADDRESS($B208+1,AJ$164,1,1,"Confirmed Trend"))=0,#N/A,INDIRECT(ADDRESS($B208+1,AJ$164,1,1,"Confirmed Trend")))</f>
        <v>#N/A</v>
      </c>
      <c r="AK208" s="18" t="e" cm="1">
        <f t="array" aca="1" ref="AK208" ca="1">IF(INDIRECT(ADDRESS($B208+1,AK$164,1,1,"Confirmed Trend"))=0,#N/A,INDIRECT(ADDRESS($B208+1,AK$164,1,1,"Confirmed Trend")))</f>
        <v>#N/A</v>
      </c>
      <c r="AL208" s="18" t="e" cm="1">
        <f t="array" aca="1" ref="AL208" ca="1">IF(INDIRECT(ADDRESS($B208+1,AL$164,1,1,"Confirmed Trend"))=0,#N/A,INDIRECT(ADDRESS($B208+1,AL$164,1,1,"Confirmed Trend")))</f>
        <v>#N/A</v>
      </c>
      <c r="AM208" s="18" t="e" cm="1">
        <f t="array" aca="1" ref="AM208" ca="1">IF(INDIRECT(ADDRESS($B208+1,AM$164,1,1,"Confirmed Trend"))=0,#N/A,INDIRECT(ADDRESS($B208+1,AM$164,1,1,"Confirmed Trend")))</f>
        <v>#N/A</v>
      </c>
      <c r="AN208" s="18" t="e" cm="1">
        <f t="array" aca="1" ref="AN208" ca="1">IF(INDIRECT(ADDRESS($B208+1,AN$164,1,1,"Confirmed Trend"))=0,#N/A,INDIRECT(ADDRESS($B208+1,AN$164,1,1,"Confirmed Trend")))</f>
        <v>#N/A</v>
      </c>
      <c r="AO208" s="18" t="e" cm="1">
        <f t="array" aca="1" ref="AO208" ca="1">IF(INDIRECT(ADDRESS($B208+1,AO$164,1,1,"Confirmed Trend"))=0,#N/A,INDIRECT(ADDRESS($B208+1,AO$164,1,1,"Confirmed Trend")))</f>
        <v>#N/A</v>
      </c>
      <c r="AP208" s="18" t="e" cm="1">
        <f t="array" aca="1" ref="AP208" ca="1">IF(INDIRECT(ADDRESS($B208+1,AP$164,1,1,"Confirmed Trend"))=0,#N/A,INDIRECT(ADDRESS($B208+1,AP$164,1,1,"Confirmed Trend")))</f>
        <v>#N/A</v>
      </c>
      <c r="AQ208" s="18" t="e" cm="1">
        <f t="array" aca="1" ref="AQ208" ca="1">IF(INDIRECT(ADDRESS($B208+1,AQ$164,1,1,"Confirmed Trend"))=0,#N/A,INDIRECT(ADDRESS($B208+1,AQ$164,1,1,"Confirmed Trend")))</f>
        <v>#N/A</v>
      </c>
      <c r="AR208" s="18" t="e" cm="1">
        <f t="array" aca="1" ref="AR208" ca="1">IF(INDIRECT(ADDRESS($B208+1,AR$164,1,1,"Confirmed Trend"))=0,#N/A,INDIRECT(ADDRESS($B208+1,AR$164,1,1,"Confirmed Trend")))</f>
        <v>#N/A</v>
      </c>
      <c r="AS208" s="18" t="e" cm="1">
        <f t="array" aca="1" ref="AS208" ca="1">IF(INDIRECT(ADDRESS($B208+1,AS$164,1,1,"Confirmed Trend"))=0,#N/A,INDIRECT(ADDRESS($B208+1,AS$164,1,1,"Confirmed Trend")))</f>
        <v>#N/A</v>
      </c>
      <c r="AT208" s="18" t="e" cm="1">
        <f t="array" aca="1" ref="AT208" ca="1">IF(INDIRECT(ADDRESS($B208+1,AT$164,1,1,"Confirmed Trend"))=0,#N/A,INDIRECT(ADDRESS($B208+1,AT$164,1,1,"Confirmed Trend")))</f>
        <v>#N/A</v>
      </c>
      <c r="AU208" s="18" t="e" cm="1">
        <f t="array" aca="1" ref="AU208" ca="1">IF(INDIRECT(ADDRESS($B208+1,AU$164,1,1,"Confirmed Trend"))=0,#N/A,INDIRECT(ADDRESS($B208+1,AU$164,1,1,"Confirmed Trend")))</f>
        <v>#N/A</v>
      </c>
      <c r="AV208" s="18" t="e" cm="1">
        <f t="array" aca="1" ref="AV208" ca="1">IF(INDIRECT(ADDRESS($B208+1,AV$164,1,1,"Confirmed Trend"))=0,#N/A,INDIRECT(ADDRESS($B208+1,AV$164,1,1,"Confirmed Trend")))</f>
        <v>#N/A</v>
      </c>
      <c r="AW208" s="18" t="e" cm="1">
        <f t="array" aca="1" ref="AW208" ca="1">IF(INDIRECT(ADDRESS($B208+1,AW$164,1,1,"Confirmed Trend"))=0,#N/A,INDIRECT(ADDRESS($B208+1,AW$164,1,1,"Confirmed Trend")))</f>
        <v>#N/A</v>
      </c>
      <c r="AX208" s="18" t="e" cm="1">
        <f t="array" aca="1" ref="AX208" ca="1">IF(INDIRECT(ADDRESS($B208+1,AX$164,1,1,"Confirmed Trend"))=0,#N/A,INDIRECT(ADDRESS($B208+1,AX$164,1,1,"Confirmed Trend")))</f>
        <v>#N/A</v>
      </c>
      <c r="AY208" s="18" t="e" cm="1">
        <f t="array" aca="1" ref="AY208" ca="1">IF(INDIRECT(ADDRESS($B208+1,AY$164,1,1,"Confirmed Trend"))=0,#N/A,INDIRECT(ADDRESS($B208+1,AY$164,1,1,"Confirmed Trend")))</f>
        <v>#N/A</v>
      </c>
      <c r="AZ208" s="18" t="e" cm="1">
        <f t="array" aca="1" ref="AZ208" ca="1">IF(INDIRECT(ADDRESS($B208+1,AZ$164,1,1,"Confirmed Trend"))=0,#N/A,INDIRECT(ADDRESS($B208+1,AZ$164,1,1,"Confirmed Trend")))</f>
        <v>#N/A</v>
      </c>
      <c r="BA208" s="18" t="e" cm="1">
        <f t="array" aca="1" ref="BA208" ca="1">IF(INDIRECT(ADDRESS($B208+1,BA$164,1,1,"Confirmed Trend"))=0,#N/A,INDIRECT(ADDRESS($B208+1,BA$164,1,1,"Confirmed Trend")))</f>
        <v>#N/A</v>
      </c>
      <c r="BB208" s="18" t="e" cm="1">
        <f t="array" aca="1" ref="BB208" ca="1">IF(INDIRECT(ADDRESS($B208+1,BB$164,1,1,"Confirmed Trend"))=0,#N/A,INDIRECT(ADDRESS($B208+1,BB$164,1,1,"Confirmed Trend")))</f>
        <v>#N/A</v>
      </c>
      <c r="BC208" s="18" t="e" cm="1">
        <f t="array" aca="1" ref="BC208" ca="1">IF(INDIRECT(ADDRESS($B208+1,BC$164,1,1,"Confirmed Trend"))=0,#N/A,INDIRECT(ADDRESS($B208+1,BC$164,1,1,"Confirmed Trend")))</f>
        <v>#N/A</v>
      </c>
      <c r="BD208" s="18" t="e" cm="1">
        <f t="array" aca="1" ref="BD208" ca="1">IF(INDIRECT(ADDRESS($B208+1,BD$164,1,1,"Confirmed Trend"))=0,#N/A,INDIRECT(ADDRESS($B208+1,BD$164,1,1,"Confirmed Trend")))</f>
        <v>#N/A</v>
      </c>
      <c r="BE208" s="18" t="e" cm="1">
        <f t="array" aca="1" ref="BE208" ca="1">IF(INDIRECT(ADDRESS($B208+1,BE$164,1,1,"Confirmed Trend"))=0,#N/A,INDIRECT(ADDRESS($B208+1,BE$164,1,1,"Confirmed Trend")))</f>
        <v>#N/A</v>
      </c>
      <c r="BF208" s="18" t="e" cm="1">
        <f t="array" aca="1" ref="BF208" ca="1">IF(INDIRECT(ADDRESS($B208+1,BF$164,1,1,"Confirmed Trend"))=0,#N/A,INDIRECT(ADDRESS($B208+1,BF$164,1,1,"Confirmed Trend")))</f>
        <v>#N/A</v>
      </c>
      <c r="BG208" s="18" t="e" cm="1">
        <f t="array" aca="1" ref="BG208" ca="1">IF(INDIRECT(ADDRESS($B208+1,BG$164,1,1,"Confirmed Trend"))=0,#N/A,INDIRECT(ADDRESS($B208+1,BG$164,1,1,"Confirmed Trend")))</f>
        <v>#N/A</v>
      </c>
      <c r="BH208" s="18" t="e" cm="1">
        <f t="array" aca="1" ref="BH208" ca="1">IF(INDIRECT(ADDRESS($B208+1,BH$164,1,1,"Confirmed Trend"))=0,#N/A,INDIRECT(ADDRESS($B208+1,BH$164,1,1,"Confirmed Trend")))</f>
        <v>#N/A</v>
      </c>
      <c r="BI208" s="18" t="e" cm="1">
        <f t="array" aca="1" ref="BI208" ca="1">IF(INDIRECT(ADDRESS($B208+1,BI$164,1,1,"Confirmed Trend"))=0,#N/A,INDIRECT(ADDRESS($B208+1,BI$164,1,1,"Confirmed Trend")))</f>
        <v>#N/A</v>
      </c>
      <c r="BJ208" s="18" t="e" cm="1">
        <f t="array" aca="1" ref="BJ208" ca="1">IF(INDIRECT(ADDRESS($B208+1,BJ$164,1,1,"Confirmed Trend"))=0,#N/A,INDIRECT(ADDRESS($B208+1,BJ$164,1,1,"Confirmed Trend")))</f>
        <v>#N/A</v>
      </c>
      <c r="BK208" s="18" t="e" cm="1">
        <f t="array" aca="1" ref="BK208" ca="1">IF(INDIRECT(ADDRESS($B208+1,BK$164,1,1,"Confirmed Trend"))=0,#N/A,INDIRECT(ADDRESS($B208+1,BK$164,1,1,"Confirmed Trend")))</f>
        <v>#N/A</v>
      </c>
      <c r="BL208" s="18" t="e" cm="1">
        <f t="array" aca="1" ref="BL208" ca="1">IF(INDIRECT(ADDRESS($B208+1,BL$164,1,1,"Confirmed Trend"))=0,#N/A,INDIRECT(ADDRESS($B208+1,BL$164,1,1,"Confirmed Trend")))</f>
        <v>#N/A</v>
      </c>
      <c r="BM208" s="18" t="e" cm="1">
        <f t="array" aca="1" ref="BM208" ca="1">IF(INDIRECT(ADDRESS($B208+1,BM$164,1,1,"Confirmed Trend"))=0,#N/A,INDIRECT(ADDRESS($B208+1,BM$164,1,1,"Confirmed Trend")))</f>
        <v>#N/A</v>
      </c>
      <c r="BN208" s="18" t="e" cm="1">
        <f t="array" aca="1" ref="BN208" ca="1">IF(INDIRECT(ADDRESS($B208+1,BN$164,1,1,"Confirmed Trend"))=0,#N/A,INDIRECT(ADDRESS($B208+1,BN$164,1,1,"Confirmed Trend")))</f>
        <v>#N/A</v>
      </c>
      <c r="BO208" s="18" t="e" cm="1">
        <f t="array" aca="1" ref="BO208" ca="1">IF(INDIRECT(ADDRESS($B208+1,BO$164,1,1,"Confirmed Trend"))=0,#N/A,INDIRECT(ADDRESS($B208+1,BO$164,1,1,"Confirmed Trend")))</f>
        <v>#N/A</v>
      </c>
      <c r="BP208" s="18" t="e" cm="1">
        <f t="array" aca="1" ref="BP208" ca="1">IF(INDIRECT(ADDRESS($B208+1,BP$164,1,1,"Confirmed Trend"))=0,#N/A,INDIRECT(ADDRESS($B208+1,BP$164,1,1,"Confirmed Trend")))</f>
        <v>#N/A</v>
      </c>
      <c r="BQ208" s="18" t="e" cm="1">
        <f t="array" aca="1" ref="BQ208" ca="1">IF(INDIRECT(ADDRESS($B208+1,BQ$164,1,1,"Confirmed Trend"))=0,#N/A,INDIRECT(ADDRESS($B208+1,BQ$164,1,1,"Confirmed Trend")))</f>
        <v>#N/A</v>
      </c>
      <c r="BR208" s="18" t="e" cm="1">
        <f t="array" aca="1" ref="BR208" ca="1">IF(INDIRECT(ADDRESS($B208+1,BR$164,1,1,"Confirmed Trend"))=0,#N/A,INDIRECT(ADDRESS($B208+1,BR$164,1,1,"Confirmed Trend")))</f>
        <v>#N/A</v>
      </c>
      <c r="BS208" s="18" t="e" cm="1">
        <f t="array" aca="1" ref="BS208" ca="1">IF(INDIRECT(ADDRESS($B208+1,BS$164,1,1,"Confirmed Trend"))=0,#N/A,INDIRECT(ADDRESS($B208+1,BS$164,1,1,"Confirmed Trend")))</f>
        <v>#N/A</v>
      </c>
      <c r="BT208" s="18" t="e" cm="1">
        <f t="array" aca="1" ref="BT208" ca="1">IF(INDIRECT(ADDRESS($B208+1,BT$164,1,1,"Confirmed Trend"))=0,#N/A,INDIRECT(ADDRESS($B208+1,BT$164,1,1,"Confirmed Trend")))</f>
        <v>#N/A</v>
      </c>
      <c r="BU208" s="18" t="e" cm="1">
        <f t="array" aca="1" ref="BU208" ca="1">IF(INDIRECT(ADDRESS($B208+1,BU$164,1,1,"Confirmed Trend"))=0,#N/A,INDIRECT(ADDRESS($B208+1,BU$164,1,1,"Confirmed Trend")))</f>
        <v>#N/A</v>
      </c>
      <c r="BV208" s="18" t="e" cm="1">
        <f t="array" aca="1" ref="BV208" ca="1">IF(INDIRECT(ADDRESS($B208+1,BV$164,1,1,"Confirmed Trend"))=0,#N/A,INDIRECT(ADDRESS($B208+1,BV$164,1,1,"Confirmed Trend")))</f>
        <v>#N/A</v>
      </c>
    </row>
    <row r="209" spans="2:74" x14ac:dyDescent="0.25">
      <c r="B209">
        <f t="shared" si="132"/>
        <v>44</v>
      </c>
      <c r="C209" cm="1">
        <f t="array" aca="1" ref="C209" ca="1">INDIRECT(ADDRESS($B209+1,1,1,1,"Confirmed Trend"))</f>
        <v>0</v>
      </c>
      <c r="E209" s="18" t="e" cm="1">
        <f t="array" aca="1" ref="E209" ca="1">IF(INDIRECT(ADDRESS($B209+1,E$164,1,1,"Confirmed Trend"))=0,#N/A,INDIRECT(ADDRESS($B209+1,E$164,1,1,"Confirmed Trend")))</f>
        <v>#N/A</v>
      </c>
      <c r="F209" s="18" t="e" cm="1">
        <f t="array" aca="1" ref="F209" ca="1">IF(INDIRECT(ADDRESS($B209+1,F$164,1,1,"Confirmed Trend"))=0,#N/A,INDIRECT(ADDRESS($B209+1,F$164,1,1,"Confirmed Trend")))</f>
        <v>#N/A</v>
      </c>
      <c r="G209" s="18" t="e" cm="1">
        <f t="array" aca="1" ref="G209" ca="1">IF(INDIRECT(ADDRESS($B209+1,G$164,1,1,"Confirmed Trend"))=0,#N/A,INDIRECT(ADDRESS($B209+1,G$164,1,1,"Confirmed Trend")))</f>
        <v>#N/A</v>
      </c>
      <c r="H209" s="18" t="e" cm="1">
        <f t="array" aca="1" ref="H209" ca="1">IF(INDIRECT(ADDRESS($B209+1,H$164,1,1,"Confirmed Trend"))=0,#N/A,INDIRECT(ADDRESS($B209+1,H$164,1,1,"Confirmed Trend")))</f>
        <v>#N/A</v>
      </c>
      <c r="I209" s="18" t="e" cm="1">
        <f t="array" aca="1" ref="I209" ca="1">IF(INDIRECT(ADDRESS($B209+1,I$164,1,1,"Confirmed Trend"))=0,#N/A,INDIRECT(ADDRESS($B209+1,I$164,1,1,"Confirmed Trend")))</f>
        <v>#N/A</v>
      </c>
      <c r="J209" s="18" t="e" cm="1">
        <f t="array" aca="1" ref="J209" ca="1">IF(INDIRECT(ADDRESS($B209+1,J$164,1,1,"Confirmed Trend"))=0,#N/A,INDIRECT(ADDRESS($B209+1,J$164,1,1,"Confirmed Trend")))</f>
        <v>#N/A</v>
      </c>
      <c r="K209" s="18" t="e" cm="1">
        <f t="array" aca="1" ref="K209" ca="1">IF(INDIRECT(ADDRESS($B209+1,K$164,1,1,"Confirmed Trend"))=0,#N/A,INDIRECT(ADDRESS($B209+1,K$164,1,1,"Confirmed Trend")))</f>
        <v>#N/A</v>
      </c>
      <c r="L209" s="18" t="e" cm="1">
        <f t="array" aca="1" ref="L209" ca="1">IF(INDIRECT(ADDRESS($B209+1,L$164,1,1,"Confirmed Trend"))=0,#N/A,INDIRECT(ADDRESS($B209+1,L$164,1,1,"Confirmed Trend")))</f>
        <v>#N/A</v>
      </c>
      <c r="M209" s="18" t="e" cm="1">
        <f t="array" aca="1" ref="M209" ca="1">IF(INDIRECT(ADDRESS($B209+1,M$164,1,1,"Confirmed Trend"))=0,#N/A,INDIRECT(ADDRESS($B209+1,M$164,1,1,"Confirmed Trend")))</f>
        <v>#N/A</v>
      </c>
      <c r="N209" s="18" t="e" cm="1">
        <f t="array" aca="1" ref="N209" ca="1">IF(INDIRECT(ADDRESS($B209+1,N$164,1,1,"Confirmed Trend"))=0,#N/A,INDIRECT(ADDRESS($B209+1,N$164,1,1,"Confirmed Trend")))</f>
        <v>#N/A</v>
      </c>
      <c r="O209" s="18" t="e" cm="1">
        <f t="array" aca="1" ref="O209" ca="1">IF(INDIRECT(ADDRESS($B209+1,O$164,1,1,"Confirmed Trend"))=0,#N/A,INDIRECT(ADDRESS($B209+1,O$164,1,1,"Confirmed Trend")))</f>
        <v>#N/A</v>
      </c>
      <c r="P209" s="18" t="e" cm="1">
        <f t="array" aca="1" ref="P209" ca="1">IF(INDIRECT(ADDRESS($B209+1,P$164,1,1,"Confirmed Trend"))=0,#N/A,INDIRECT(ADDRESS($B209+1,P$164,1,1,"Confirmed Trend")))</f>
        <v>#N/A</v>
      </c>
      <c r="Q209" s="18" t="e" cm="1">
        <f t="array" aca="1" ref="Q209" ca="1">IF(INDIRECT(ADDRESS($B209+1,Q$164,1,1,"Confirmed Trend"))=0,#N/A,INDIRECT(ADDRESS($B209+1,Q$164,1,1,"Confirmed Trend")))</f>
        <v>#N/A</v>
      </c>
      <c r="R209" s="18" t="e" cm="1">
        <f t="array" aca="1" ref="R209" ca="1">IF(INDIRECT(ADDRESS($B209+1,R$164,1,1,"Confirmed Trend"))=0,#N/A,INDIRECT(ADDRESS($B209+1,R$164,1,1,"Confirmed Trend")))</f>
        <v>#N/A</v>
      </c>
      <c r="S209" s="18" t="e" cm="1">
        <f t="array" aca="1" ref="S209" ca="1">IF(INDIRECT(ADDRESS($B209+1,S$164,1,1,"Confirmed Trend"))=0,#N/A,INDIRECT(ADDRESS($B209+1,S$164,1,1,"Confirmed Trend")))</f>
        <v>#N/A</v>
      </c>
      <c r="T209" s="18" t="e" cm="1">
        <f t="array" aca="1" ref="T209" ca="1">IF(INDIRECT(ADDRESS($B209+1,T$164,1,1,"Confirmed Trend"))=0,#N/A,INDIRECT(ADDRESS($B209+1,T$164,1,1,"Confirmed Trend")))</f>
        <v>#N/A</v>
      </c>
      <c r="U209" s="18" t="e" cm="1">
        <f t="array" aca="1" ref="U209" ca="1">IF(INDIRECT(ADDRESS($B209+1,U$164,1,1,"Confirmed Trend"))=0,#N/A,INDIRECT(ADDRESS($B209+1,U$164,1,1,"Confirmed Trend")))</f>
        <v>#N/A</v>
      </c>
      <c r="V209" s="18" t="e" cm="1">
        <f t="array" aca="1" ref="V209" ca="1">IF(INDIRECT(ADDRESS($B209+1,V$164,1,1,"Confirmed Trend"))=0,#N/A,INDIRECT(ADDRESS($B209+1,V$164,1,1,"Confirmed Trend")))</f>
        <v>#N/A</v>
      </c>
      <c r="W209" s="18" t="e" cm="1">
        <f t="array" aca="1" ref="W209" ca="1">IF(INDIRECT(ADDRESS($B209+1,W$164,1,1,"Confirmed Trend"))=0,#N/A,INDIRECT(ADDRESS($B209+1,W$164,1,1,"Confirmed Trend")))</f>
        <v>#N/A</v>
      </c>
      <c r="X209" s="18" t="e" cm="1">
        <f t="array" aca="1" ref="X209" ca="1">IF(INDIRECT(ADDRESS($B209+1,X$164,1,1,"Confirmed Trend"))=0,#N/A,INDIRECT(ADDRESS($B209+1,X$164,1,1,"Confirmed Trend")))</f>
        <v>#N/A</v>
      </c>
      <c r="Y209" s="18" t="e" cm="1">
        <f t="array" aca="1" ref="Y209" ca="1">IF(INDIRECT(ADDRESS($B209+1,Y$164,1,1,"Confirmed Trend"))=0,#N/A,INDIRECT(ADDRESS($B209+1,Y$164,1,1,"Confirmed Trend")))</f>
        <v>#N/A</v>
      </c>
      <c r="Z209" s="18" t="e" cm="1">
        <f t="array" aca="1" ref="Z209" ca="1">IF(INDIRECT(ADDRESS($B209+1,Z$164,1,1,"Confirmed Trend"))=0,#N/A,INDIRECT(ADDRESS($B209+1,Z$164,1,1,"Confirmed Trend")))</f>
        <v>#N/A</v>
      </c>
      <c r="AA209" s="18" t="e" cm="1">
        <f t="array" aca="1" ref="AA209" ca="1">IF(INDIRECT(ADDRESS($B209+1,AA$164,1,1,"Confirmed Trend"))=0,#N/A,INDIRECT(ADDRESS($B209+1,AA$164,1,1,"Confirmed Trend")))</f>
        <v>#N/A</v>
      </c>
      <c r="AB209" s="18" t="e" cm="1">
        <f t="array" aca="1" ref="AB209" ca="1">IF(INDIRECT(ADDRESS($B209+1,AB$164,1,1,"Confirmed Trend"))=0,#N/A,INDIRECT(ADDRESS($B209+1,AB$164,1,1,"Confirmed Trend")))</f>
        <v>#N/A</v>
      </c>
      <c r="AC209" s="18" t="e" cm="1">
        <f t="array" aca="1" ref="AC209" ca="1">IF(INDIRECT(ADDRESS($B209+1,AC$164,1,1,"Confirmed Trend"))=0,#N/A,INDIRECT(ADDRESS($B209+1,AC$164,1,1,"Confirmed Trend")))</f>
        <v>#N/A</v>
      </c>
      <c r="AD209" s="18" t="e" cm="1">
        <f t="array" aca="1" ref="AD209" ca="1">IF(INDIRECT(ADDRESS($B209+1,AD$164,1,1,"Confirmed Trend"))=0,#N/A,INDIRECT(ADDRESS($B209+1,AD$164,1,1,"Confirmed Trend")))</f>
        <v>#N/A</v>
      </c>
      <c r="AE209" s="18" t="e" cm="1">
        <f t="array" aca="1" ref="AE209" ca="1">IF(INDIRECT(ADDRESS($B209+1,AE$164,1,1,"Confirmed Trend"))=0,#N/A,INDIRECT(ADDRESS($B209+1,AE$164,1,1,"Confirmed Trend")))</f>
        <v>#N/A</v>
      </c>
      <c r="AF209" s="18" t="e" cm="1">
        <f t="array" aca="1" ref="AF209" ca="1">IF(INDIRECT(ADDRESS($B209+1,AF$164,1,1,"Confirmed Trend"))=0,#N/A,INDIRECT(ADDRESS($B209+1,AF$164,1,1,"Confirmed Trend")))</f>
        <v>#N/A</v>
      </c>
      <c r="AG209" s="18" t="e" cm="1">
        <f t="array" aca="1" ref="AG209" ca="1">IF(INDIRECT(ADDRESS($B209+1,AG$164,1,1,"Confirmed Trend"))=0,#N/A,INDIRECT(ADDRESS($B209+1,AG$164,1,1,"Confirmed Trend")))</f>
        <v>#N/A</v>
      </c>
      <c r="AH209" s="18" t="e" cm="1">
        <f t="array" aca="1" ref="AH209" ca="1">IF(INDIRECT(ADDRESS($B209+1,AH$164,1,1,"Confirmed Trend"))=0,#N/A,INDIRECT(ADDRESS($B209+1,AH$164,1,1,"Confirmed Trend")))</f>
        <v>#N/A</v>
      </c>
      <c r="AI209" s="18" t="e" cm="1">
        <f t="array" aca="1" ref="AI209" ca="1">IF(INDIRECT(ADDRESS($B209+1,AI$164,1,1,"Confirmed Trend"))=0,#N/A,INDIRECT(ADDRESS($B209+1,AI$164,1,1,"Confirmed Trend")))</f>
        <v>#N/A</v>
      </c>
      <c r="AJ209" s="18" t="e" cm="1">
        <f t="array" aca="1" ref="AJ209" ca="1">IF(INDIRECT(ADDRESS($B209+1,AJ$164,1,1,"Confirmed Trend"))=0,#N/A,INDIRECT(ADDRESS($B209+1,AJ$164,1,1,"Confirmed Trend")))</f>
        <v>#N/A</v>
      </c>
      <c r="AK209" s="18" t="e" cm="1">
        <f t="array" aca="1" ref="AK209" ca="1">IF(INDIRECT(ADDRESS($B209+1,AK$164,1,1,"Confirmed Trend"))=0,#N/A,INDIRECT(ADDRESS($B209+1,AK$164,1,1,"Confirmed Trend")))</f>
        <v>#N/A</v>
      </c>
      <c r="AL209" s="18" t="e" cm="1">
        <f t="array" aca="1" ref="AL209" ca="1">IF(INDIRECT(ADDRESS($B209+1,AL$164,1,1,"Confirmed Trend"))=0,#N/A,INDIRECT(ADDRESS($B209+1,AL$164,1,1,"Confirmed Trend")))</f>
        <v>#N/A</v>
      </c>
      <c r="AM209" s="18" t="e" cm="1">
        <f t="array" aca="1" ref="AM209" ca="1">IF(INDIRECT(ADDRESS($B209+1,AM$164,1,1,"Confirmed Trend"))=0,#N/A,INDIRECT(ADDRESS($B209+1,AM$164,1,1,"Confirmed Trend")))</f>
        <v>#N/A</v>
      </c>
      <c r="AN209" s="18" t="e" cm="1">
        <f t="array" aca="1" ref="AN209" ca="1">IF(INDIRECT(ADDRESS($B209+1,AN$164,1,1,"Confirmed Trend"))=0,#N/A,INDIRECT(ADDRESS($B209+1,AN$164,1,1,"Confirmed Trend")))</f>
        <v>#N/A</v>
      </c>
      <c r="AO209" s="18" t="e" cm="1">
        <f t="array" aca="1" ref="AO209" ca="1">IF(INDIRECT(ADDRESS($B209+1,AO$164,1,1,"Confirmed Trend"))=0,#N/A,INDIRECT(ADDRESS($B209+1,AO$164,1,1,"Confirmed Trend")))</f>
        <v>#N/A</v>
      </c>
      <c r="AP209" s="18" t="e" cm="1">
        <f t="array" aca="1" ref="AP209" ca="1">IF(INDIRECT(ADDRESS($B209+1,AP$164,1,1,"Confirmed Trend"))=0,#N/A,INDIRECT(ADDRESS($B209+1,AP$164,1,1,"Confirmed Trend")))</f>
        <v>#N/A</v>
      </c>
      <c r="AQ209" s="18" t="e" cm="1">
        <f t="array" aca="1" ref="AQ209" ca="1">IF(INDIRECT(ADDRESS($B209+1,AQ$164,1,1,"Confirmed Trend"))=0,#N/A,INDIRECT(ADDRESS($B209+1,AQ$164,1,1,"Confirmed Trend")))</f>
        <v>#N/A</v>
      </c>
      <c r="AR209" s="18" t="e" cm="1">
        <f t="array" aca="1" ref="AR209" ca="1">IF(INDIRECT(ADDRESS($B209+1,AR$164,1,1,"Confirmed Trend"))=0,#N/A,INDIRECT(ADDRESS($B209+1,AR$164,1,1,"Confirmed Trend")))</f>
        <v>#N/A</v>
      </c>
      <c r="AS209" s="18" t="e" cm="1">
        <f t="array" aca="1" ref="AS209" ca="1">IF(INDIRECT(ADDRESS($B209+1,AS$164,1,1,"Confirmed Trend"))=0,#N/A,INDIRECT(ADDRESS($B209+1,AS$164,1,1,"Confirmed Trend")))</f>
        <v>#N/A</v>
      </c>
      <c r="AT209" s="18" t="e" cm="1">
        <f t="array" aca="1" ref="AT209" ca="1">IF(INDIRECT(ADDRESS($B209+1,AT$164,1,1,"Confirmed Trend"))=0,#N/A,INDIRECT(ADDRESS($B209+1,AT$164,1,1,"Confirmed Trend")))</f>
        <v>#N/A</v>
      </c>
      <c r="AU209" s="18" t="e" cm="1">
        <f t="array" aca="1" ref="AU209" ca="1">IF(INDIRECT(ADDRESS($B209+1,AU$164,1,1,"Confirmed Trend"))=0,#N/A,INDIRECT(ADDRESS($B209+1,AU$164,1,1,"Confirmed Trend")))</f>
        <v>#N/A</v>
      </c>
      <c r="AV209" s="18" t="e" cm="1">
        <f t="array" aca="1" ref="AV209" ca="1">IF(INDIRECT(ADDRESS($B209+1,AV$164,1,1,"Confirmed Trend"))=0,#N/A,INDIRECT(ADDRESS($B209+1,AV$164,1,1,"Confirmed Trend")))</f>
        <v>#N/A</v>
      </c>
      <c r="AW209" s="18" t="e" cm="1">
        <f t="array" aca="1" ref="AW209" ca="1">IF(INDIRECT(ADDRESS($B209+1,AW$164,1,1,"Confirmed Trend"))=0,#N/A,INDIRECT(ADDRESS($B209+1,AW$164,1,1,"Confirmed Trend")))</f>
        <v>#N/A</v>
      </c>
      <c r="AX209" s="18" t="e" cm="1">
        <f t="array" aca="1" ref="AX209" ca="1">IF(INDIRECT(ADDRESS($B209+1,AX$164,1,1,"Confirmed Trend"))=0,#N/A,INDIRECT(ADDRESS($B209+1,AX$164,1,1,"Confirmed Trend")))</f>
        <v>#N/A</v>
      </c>
      <c r="AY209" s="18" t="e" cm="1">
        <f t="array" aca="1" ref="AY209" ca="1">IF(INDIRECT(ADDRESS($B209+1,AY$164,1,1,"Confirmed Trend"))=0,#N/A,INDIRECT(ADDRESS($B209+1,AY$164,1,1,"Confirmed Trend")))</f>
        <v>#N/A</v>
      </c>
      <c r="AZ209" s="18" t="e" cm="1">
        <f t="array" aca="1" ref="AZ209" ca="1">IF(INDIRECT(ADDRESS($B209+1,AZ$164,1,1,"Confirmed Trend"))=0,#N/A,INDIRECT(ADDRESS($B209+1,AZ$164,1,1,"Confirmed Trend")))</f>
        <v>#N/A</v>
      </c>
      <c r="BA209" s="18" t="e" cm="1">
        <f t="array" aca="1" ref="BA209" ca="1">IF(INDIRECT(ADDRESS($B209+1,BA$164,1,1,"Confirmed Trend"))=0,#N/A,INDIRECT(ADDRESS($B209+1,BA$164,1,1,"Confirmed Trend")))</f>
        <v>#N/A</v>
      </c>
      <c r="BB209" s="18" t="e" cm="1">
        <f t="array" aca="1" ref="BB209" ca="1">IF(INDIRECT(ADDRESS($B209+1,BB$164,1,1,"Confirmed Trend"))=0,#N/A,INDIRECT(ADDRESS($B209+1,BB$164,1,1,"Confirmed Trend")))</f>
        <v>#N/A</v>
      </c>
      <c r="BC209" s="18" t="e" cm="1">
        <f t="array" aca="1" ref="BC209" ca="1">IF(INDIRECT(ADDRESS($B209+1,BC$164,1,1,"Confirmed Trend"))=0,#N/A,INDIRECT(ADDRESS($B209+1,BC$164,1,1,"Confirmed Trend")))</f>
        <v>#N/A</v>
      </c>
      <c r="BD209" s="18" t="e" cm="1">
        <f t="array" aca="1" ref="BD209" ca="1">IF(INDIRECT(ADDRESS($B209+1,BD$164,1,1,"Confirmed Trend"))=0,#N/A,INDIRECT(ADDRESS($B209+1,BD$164,1,1,"Confirmed Trend")))</f>
        <v>#N/A</v>
      </c>
      <c r="BE209" s="18" t="e" cm="1">
        <f t="array" aca="1" ref="BE209" ca="1">IF(INDIRECT(ADDRESS($B209+1,BE$164,1,1,"Confirmed Trend"))=0,#N/A,INDIRECT(ADDRESS($B209+1,BE$164,1,1,"Confirmed Trend")))</f>
        <v>#N/A</v>
      </c>
      <c r="BF209" s="18" t="e" cm="1">
        <f t="array" aca="1" ref="BF209" ca="1">IF(INDIRECT(ADDRESS($B209+1,BF$164,1,1,"Confirmed Trend"))=0,#N/A,INDIRECT(ADDRESS($B209+1,BF$164,1,1,"Confirmed Trend")))</f>
        <v>#N/A</v>
      </c>
      <c r="BG209" s="18" t="e" cm="1">
        <f t="array" aca="1" ref="BG209" ca="1">IF(INDIRECT(ADDRESS($B209+1,BG$164,1,1,"Confirmed Trend"))=0,#N/A,INDIRECT(ADDRESS($B209+1,BG$164,1,1,"Confirmed Trend")))</f>
        <v>#N/A</v>
      </c>
      <c r="BH209" s="18" t="e" cm="1">
        <f t="array" aca="1" ref="BH209" ca="1">IF(INDIRECT(ADDRESS($B209+1,BH$164,1,1,"Confirmed Trend"))=0,#N/A,INDIRECT(ADDRESS($B209+1,BH$164,1,1,"Confirmed Trend")))</f>
        <v>#N/A</v>
      </c>
      <c r="BI209" s="18" t="e" cm="1">
        <f t="array" aca="1" ref="BI209" ca="1">IF(INDIRECT(ADDRESS($B209+1,BI$164,1,1,"Confirmed Trend"))=0,#N/A,INDIRECT(ADDRESS($B209+1,BI$164,1,1,"Confirmed Trend")))</f>
        <v>#N/A</v>
      </c>
      <c r="BJ209" s="18" t="e" cm="1">
        <f t="array" aca="1" ref="BJ209" ca="1">IF(INDIRECT(ADDRESS($B209+1,BJ$164,1,1,"Confirmed Trend"))=0,#N/A,INDIRECT(ADDRESS($B209+1,BJ$164,1,1,"Confirmed Trend")))</f>
        <v>#N/A</v>
      </c>
      <c r="BK209" s="18" t="e" cm="1">
        <f t="array" aca="1" ref="BK209" ca="1">IF(INDIRECT(ADDRESS($B209+1,BK$164,1,1,"Confirmed Trend"))=0,#N/A,INDIRECT(ADDRESS($B209+1,BK$164,1,1,"Confirmed Trend")))</f>
        <v>#N/A</v>
      </c>
      <c r="BL209" s="18" t="e" cm="1">
        <f t="array" aca="1" ref="BL209" ca="1">IF(INDIRECT(ADDRESS($B209+1,BL$164,1,1,"Confirmed Trend"))=0,#N/A,INDIRECT(ADDRESS($B209+1,BL$164,1,1,"Confirmed Trend")))</f>
        <v>#N/A</v>
      </c>
      <c r="BM209" s="18" t="e" cm="1">
        <f t="array" aca="1" ref="BM209" ca="1">IF(INDIRECT(ADDRESS($B209+1,BM$164,1,1,"Confirmed Trend"))=0,#N/A,INDIRECT(ADDRESS($B209+1,BM$164,1,1,"Confirmed Trend")))</f>
        <v>#N/A</v>
      </c>
      <c r="BN209" s="18" t="e" cm="1">
        <f t="array" aca="1" ref="BN209" ca="1">IF(INDIRECT(ADDRESS($B209+1,BN$164,1,1,"Confirmed Trend"))=0,#N/A,INDIRECT(ADDRESS($B209+1,BN$164,1,1,"Confirmed Trend")))</f>
        <v>#N/A</v>
      </c>
      <c r="BO209" s="18" t="e" cm="1">
        <f t="array" aca="1" ref="BO209" ca="1">IF(INDIRECT(ADDRESS($B209+1,BO$164,1,1,"Confirmed Trend"))=0,#N/A,INDIRECT(ADDRESS($B209+1,BO$164,1,1,"Confirmed Trend")))</f>
        <v>#N/A</v>
      </c>
      <c r="BP209" s="18" t="e" cm="1">
        <f t="array" aca="1" ref="BP209" ca="1">IF(INDIRECT(ADDRESS($B209+1,BP$164,1,1,"Confirmed Trend"))=0,#N/A,INDIRECT(ADDRESS($B209+1,BP$164,1,1,"Confirmed Trend")))</f>
        <v>#N/A</v>
      </c>
      <c r="BQ209" s="18" t="e" cm="1">
        <f t="array" aca="1" ref="BQ209" ca="1">IF(INDIRECT(ADDRESS($B209+1,BQ$164,1,1,"Confirmed Trend"))=0,#N/A,INDIRECT(ADDRESS($B209+1,BQ$164,1,1,"Confirmed Trend")))</f>
        <v>#N/A</v>
      </c>
      <c r="BR209" s="18" t="e" cm="1">
        <f t="array" aca="1" ref="BR209" ca="1">IF(INDIRECT(ADDRESS($B209+1,BR$164,1,1,"Confirmed Trend"))=0,#N/A,INDIRECT(ADDRESS($B209+1,BR$164,1,1,"Confirmed Trend")))</f>
        <v>#N/A</v>
      </c>
      <c r="BS209" s="18" t="e" cm="1">
        <f t="array" aca="1" ref="BS209" ca="1">IF(INDIRECT(ADDRESS($B209+1,BS$164,1,1,"Confirmed Trend"))=0,#N/A,INDIRECT(ADDRESS($B209+1,BS$164,1,1,"Confirmed Trend")))</f>
        <v>#N/A</v>
      </c>
      <c r="BT209" s="18" t="e" cm="1">
        <f t="array" aca="1" ref="BT209" ca="1">IF(INDIRECT(ADDRESS($B209+1,BT$164,1,1,"Confirmed Trend"))=0,#N/A,INDIRECT(ADDRESS($B209+1,BT$164,1,1,"Confirmed Trend")))</f>
        <v>#N/A</v>
      </c>
      <c r="BU209" s="18" t="e" cm="1">
        <f t="array" aca="1" ref="BU209" ca="1">IF(INDIRECT(ADDRESS($B209+1,BU$164,1,1,"Confirmed Trend"))=0,#N/A,INDIRECT(ADDRESS($B209+1,BU$164,1,1,"Confirmed Trend")))</f>
        <v>#N/A</v>
      </c>
      <c r="BV209" s="18" t="e" cm="1">
        <f t="array" aca="1" ref="BV209" ca="1">IF(INDIRECT(ADDRESS($B209+1,BV$164,1,1,"Confirmed Trend"))=0,#N/A,INDIRECT(ADDRESS($B209+1,BV$164,1,1,"Confirmed Trend")))</f>
        <v>#N/A</v>
      </c>
    </row>
    <row r="210" spans="2:74" x14ac:dyDescent="0.25">
      <c r="B210">
        <f t="shared" si="132"/>
        <v>45</v>
      </c>
      <c r="C210" cm="1">
        <f t="array" aca="1" ref="C210" ca="1">INDIRECT(ADDRESS($B210+1,1,1,1,"Confirmed Trend"))</f>
        <v>0</v>
      </c>
      <c r="E210" s="18" t="e" cm="1">
        <f t="array" aca="1" ref="E210" ca="1">IF(INDIRECT(ADDRESS($B210+1,E$164,1,1,"Confirmed Trend"))=0,#N/A,INDIRECT(ADDRESS($B210+1,E$164,1,1,"Confirmed Trend")))</f>
        <v>#N/A</v>
      </c>
      <c r="F210" s="18" t="e" cm="1">
        <f t="array" aca="1" ref="F210" ca="1">IF(INDIRECT(ADDRESS($B210+1,F$164,1,1,"Confirmed Trend"))=0,#N/A,INDIRECT(ADDRESS($B210+1,F$164,1,1,"Confirmed Trend")))</f>
        <v>#N/A</v>
      </c>
      <c r="G210" s="18" t="e" cm="1">
        <f t="array" aca="1" ref="G210" ca="1">IF(INDIRECT(ADDRESS($B210+1,G$164,1,1,"Confirmed Trend"))=0,#N/A,INDIRECT(ADDRESS($B210+1,G$164,1,1,"Confirmed Trend")))</f>
        <v>#N/A</v>
      </c>
      <c r="H210" s="18" t="e" cm="1">
        <f t="array" aca="1" ref="H210" ca="1">IF(INDIRECT(ADDRESS($B210+1,H$164,1,1,"Confirmed Trend"))=0,#N/A,INDIRECT(ADDRESS($B210+1,H$164,1,1,"Confirmed Trend")))</f>
        <v>#N/A</v>
      </c>
      <c r="I210" s="18" t="e" cm="1">
        <f t="array" aca="1" ref="I210" ca="1">IF(INDIRECT(ADDRESS($B210+1,I$164,1,1,"Confirmed Trend"))=0,#N/A,INDIRECT(ADDRESS($B210+1,I$164,1,1,"Confirmed Trend")))</f>
        <v>#N/A</v>
      </c>
      <c r="J210" s="18" t="e" cm="1">
        <f t="array" aca="1" ref="J210" ca="1">IF(INDIRECT(ADDRESS($B210+1,J$164,1,1,"Confirmed Trend"))=0,#N/A,INDIRECT(ADDRESS($B210+1,J$164,1,1,"Confirmed Trend")))</f>
        <v>#N/A</v>
      </c>
      <c r="K210" s="18" t="e" cm="1">
        <f t="array" aca="1" ref="K210" ca="1">IF(INDIRECT(ADDRESS($B210+1,K$164,1,1,"Confirmed Trend"))=0,#N/A,INDIRECT(ADDRESS($B210+1,K$164,1,1,"Confirmed Trend")))</f>
        <v>#N/A</v>
      </c>
      <c r="L210" s="18" t="e" cm="1">
        <f t="array" aca="1" ref="L210" ca="1">IF(INDIRECT(ADDRESS($B210+1,L$164,1,1,"Confirmed Trend"))=0,#N/A,INDIRECT(ADDRESS($B210+1,L$164,1,1,"Confirmed Trend")))</f>
        <v>#N/A</v>
      </c>
      <c r="M210" s="18" t="e" cm="1">
        <f t="array" aca="1" ref="M210" ca="1">IF(INDIRECT(ADDRESS($B210+1,M$164,1,1,"Confirmed Trend"))=0,#N/A,INDIRECT(ADDRESS($B210+1,M$164,1,1,"Confirmed Trend")))</f>
        <v>#N/A</v>
      </c>
      <c r="N210" s="18" t="e" cm="1">
        <f t="array" aca="1" ref="N210" ca="1">IF(INDIRECT(ADDRESS($B210+1,N$164,1,1,"Confirmed Trend"))=0,#N/A,INDIRECT(ADDRESS($B210+1,N$164,1,1,"Confirmed Trend")))</f>
        <v>#N/A</v>
      </c>
      <c r="O210" s="18" t="e" cm="1">
        <f t="array" aca="1" ref="O210" ca="1">IF(INDIRECT(ADDRESS($B210+1,O$164,1,1,"Confirmed Trend"))=0,#N/A,INDIRECT(ADDRESS($B210+1,O$164,1,1,"Confirmed Trend")))</f>
        <v>#N/A</v>
      </c>
      <c r="P210" s="18" t="e" cm="1">
        <f t="array" aca="1" ref="P210" ca="1">IF(INDIRECT(ADDRESS($B210+1,P$164,1,1,"Confirmed Trend"))=0,#N/A,INDIRECT(ADDRESS($B210+1,P$164,1,1,"Confirmed Trend")))</f>
        <v>#N/A</v>
      </c>
      <c r="Q210" s="18" t="e" cm="1">
        <f t="array" aca="1" ref="Q210" ca="1">IF(INDIRECT(ADDRESS($B210+1,Q$164,1,1,"Confirmed Trend"))=0,#N/A,INDIRECT(ADDRESS($B210+1,Q$164,1,1,"Confirmed Trend")))</f>
        <v>#N/A</v>
      </c>
      <c r="R210" s="18" t="e" cm="1">
        <f t="array" aca="1" ref="R210" ca="1">IF(INDIRECT(ADDRESS($B210+1,R$164,1,1,"Confirmed Trend"))=0,#N/A,INDIRECT(ADDRESS($B210+1,R$164,1,1,"Confirmed Trend")))</f>
        <v>#N/A</v>
      </c>
      <c r="S210" s="18" t="e" cm="1">
        <f t="array" aca="1" ref="S210" ca="1">IF(INDIRECT(ADDRESS($B210+1,S$164,1,1,"Confirmed Trend"))=0,#N/A,INDIRECT(ADDRESS($B210+1,S$164,1,1,"Confirmed Trend")))</f>
        <v>#N/A</v>
      </c>
      <c r="T210" s="18" t="e" cm="1">
        <f t="array" aca="1" ref="T210" ca="1">IF(INDIRECT(ADDRESS($B210+1,T$164,1,1,"Confirmed Trend"))=0,#N/A,INDIRECT(ADDRESS($B210+1,T$164,1,1,"Confirmed Trend")))</f>
        <v>#N/A</v>
      </c>
      <c r="U210" s="18" t="e" cm="1">
        <f t="array" aca="1" ref="U210" ca="1">IF(INDIRECT(ADDRESS($B210+1,U$164,1,1,"Confirmed Trend"))=0,#N/A,INDIRECT(ADDRESS($B210+1,U$164,1,1,"Confirmed Trend")))</f>
        <v>#N/A</v>
      </c>
      <c r="V210" s="18" t="e" cm="1">
        <f t="array" aca="1" ref="V210" ca="1">IF(INDIRECT(ADDRESS($B210+1,V$164,1,1,"Confirmed Trend"))=0,#N/A,INDIRECT(ADDRESS($B210+1,V$164,1,1,"Confirmed Trend")))</f>
        <v>#N/A</v>
      </c>
      <c r="W210" s="18" t="e" cm="1">
        <f t="array" aca="1" ref="W210" ca="1">IF(INDIRECT(ADDRESS($B210+1,W$164,1,1,"Confirmed Trend"))=0,#N/A,INDIRECT(ADDRESS($B210+1,W$164,1,1,"Confirmed Trend")))</f>
        <v>#N/A</v>
      </c>
      <c r="X210" s="18" t="e" cm="1">
        <f t="array" aca="1" ref="X210" ca="1">IF(INDIRECT(ADDRESS($B210+1,X$164,1,1,"Confirmed Trend"))=0,#N/A,INDIRECT(ADDRESS($B210+1,X$164,1,1,"Confirmed Trend")))</f>
        <v>#N/A</v>
      </c>
      <c r="Y210" s="18" t="e" cm="1">
        <f t="array" aca="1" ref="Y210" ca="1">IF(INDIRECT(ADDRESS($B210+1,Y$164,1,1,"Confirmed Trend"))=0,#N/A,INDIRECT(ADDRESS($B210+1,Y$164,1,1,"Confirmed Trend")))</f>
        <v>#N/A</v>
      </c>
      <c r="Z210" s="18" t="e" cm="1">
        <f t="array" aca="1" ref="Z210" ca="1">IF(INDIRECT(ADDRESS($B210+1,Z$164,1,1,"Confirmed Trend"))=0,#N/A,INDIRECT(ADDRESS($B210+1,Z$164,1,1,"Confirmed Trend")))</f>
        <v>#N/A</v>
      </c>
      <c r="AA210" s="18" t="e" cm="1">
        <f t="array" aca="1" ref="AA210" ca="1">IF(INDIRECT(ADDRESS($B210+1,AA$164,1,1,"Confirmed Trend"))=0,#N/A,INDIRECT(ADDRESS($B210+1,AA$164,1,1,"Confirmed Trend")))</f>
        <v>#N/A</v>
      </c>
      <c r="AB210" s="18" t="e" cm="1">
        <f t="array" aca="1" ref="AB210" ca="1">IF(INDIRECT(ADDRESS($B210+1,AB$164,1,1,"Confirmed Trend"))=0,#N/A,INDIRECT(ADDRESS($B210+1,AB$164,1,1,"Confirmed Trend")))</f>
        <v>#N/A</v>
      </c>
      <c r="AC210" s="18" t="e" cm="1">
        <f t="array" aca="1" ref="AC210" ca="1">IF(INDIRECT(ADDRESS($B210+1,AC$164,1,1,"Confirmed Trend"))=0,#N/A,INDIRECT(ADDRESS($B210+1,AC$164,1,1,"Confirmed Trend")))</f>
        <v>#N/A</v>
      </c>
      <c r="AD210" s="18" t="e" cm="1">
        <f t="array" aca="1" ref="AD210" ca="1">IF(INDIRECT(ADDRESS($B210+1,AD$164,1,1,"Confirmed Trend"))=0,#N/A,INDIRECT(ADDRESS($B210+1,AD$164,1,1,"Confirmed Trend")))</f>
        <v>#N/A</v>
      </c>
      <c r="AE210" s="18" t="e" cm="1">
        <f t="array" aca="1" ref="AE210" ca="1">IF(INDIRECT(ADDRESS($B210+1,AE$164,1,1,"Confirmed Trend"))=0,#N/A,INDIRECT(ADDRESS($B210+1,AE$164,1,1,"Confirmed Trend")))</f>
        <v>#N/A</v>
      </c>
      <c r="AF210" s="18" t="e" cm="1">
        <f t="array" aca="1" ref="AF210" ca="1">IF(INDIRECT(ADDRESS($B210+1,AF$164,1,1,"Confirmed Trend"))=0,#N/A,INDIRECT(ADDRESS($B210+1,AF$164,1,1,"Confirmed Trend")))</f>
        <v>#N/A</v>
      </c>
      <c r="AG210" s="18" t="e" cm="1">
        <f t="array" aca="1" ref="AG210" ca="1">IF(INDIRECT(ADDRESS($B210+1,AG$164,1,1,"Confirmed Trend"))=0,#N/A,INDIRECT(ADDRESS($B210+1,AG$164,1,1,"Confirmed Trend")))</f>
        <v>#N/A</v>
      </c>
      <c r="AH210" s="18" t="e" cm="1">
        <f t="array" aca="1" ref="AH210" ca="1">IF(INDIRECT(ADDRESS($B210+1,AH$164,1,1,"Confirmed Trend"))=0,#N/A,INDIRECT(ADDRESS($B210+1,AH$164,1,1,"Confirmed Trend")))</f>
        <v>#N/A</v>
      </c>
      <c r="AI210" s="18" t="e" cm="1">
        <f t="array" aca="1" ref="AI210" ca="1">IF(INDIRECT(ADDRESS($B210+1,AI$164,1,1,"Confirmed Trend"))=0,#N/A,INDIRECT(ADDRESS($B210+1,AI$164,1,1,"Confirmed Trend")))</f>
        <v>#N/A</v>
      </c>
      <c r="AJ210" s="18" t="e" cm="1">
        <f t="array" aca="1" ref="AJ210" ca="1">IF(INDIRECT(ADDRESS($B210+1,AJ$164,1,1,"Confirmed Trend"))=0,#N/A,INDIRECT(ADDRESS($B210+1,AJ$164,1,1,"Confirmed Trend")))</f>
        <v>#N/A</v>
      </c>
      <c r="AK210" s="18" t="e" cm="1">
        <f t="array" aca="1" ref="AK210" ca="1">IF(INDIRECT(ADDRESS($B210+1,AK$164,1,1,"Confirmed Trend"))=0,#N/A,INDIRECT(ADDRESS($B210+1,AK$164,1,1,"Confirmed Trend")))</f>
        <v>#N/A</v>
      </c>
      <c r="AL210" s="18" t="e" cm="1">
        <f t="array" aca="1" ref="AL210" ca="1">IF(INDIRECT(ADDRESS($B210+1,AL$164,1,1,"Confirmed Trend"))=0,#N/A,INDIRECT(ADDRESS($B210+1,AL$164,1,1,"Confirmed Trend")))</f>
        <v>#N/A</v>
      </c>
      <c r="AM210" s="18" t="e" cm="1">
        <f t="array" aca="1" ref="AM210" ca="1">IF(INDIRECT(ADDRESS($B210+1,AM$164,1,1,"Confirmed Trend"))=0,#N/A,INDIRECT(ADDRESS($B210+1,AM$164,1,1,"Confirmed Trend")))</f>
        <v>#N/A</v>
      </c>
      <c r="AN210" s="18" t="e" cm="1">
        <f t="array" aca="1" ref="AN210" ca="1">IF(INDIRECT(ADDRESS($B210+1,AN$164,1,1,"Confirmed Trend"))=0,#N/A,INDIRECT(ADDRESS($B210+1,AN$164,1,1,"Confirmed Trend")))</f>
        <v>#N/A</v>
      </c>
      <c r="AO210" s="18" t="e" cm="1">
        <f t="array" aca="1" ref="AO210" ca="1">IF(INDIRECT(ADDRESS($B210+1,AO$164,1,1,"Confirmed Trend"))=0,#N/A,INDIRECT(ADDRESS($B210+1,AO$164,1,1,"Confirmed Trend")))</f>
        <v>#N/A</v>
      </c>
      <c r="AP210" s="18" t="e" cm="1">
        <f t="array" aca="1" ref="AP210" ca="1">IF(INDIRECT(ADDRESS($B210+1,AP$164,1,1,"Confirmed Trend"))=0,#N/A,INDIRECT(ADDRESS($B210+1,AP$164,1,1,"Confirmed Trend")))</f>
        <v>#N/A</v>
      </c>
      <c r="AQ210" s="18" t="e" cm="1">
        <f t="array" aca="1" ref="AQ210" ca="1">IF(INDIRECT(ADDRESS($B210+1,AQ$164,1,1,"Confirmed Trend"))=0,#N/A,INDIRECT(ADDRESS($B210+1,AQ$164,1,1,"Confirmed Trend")))</f>
        <v>#N/A</v>
      </c>
      <c r="AR210" s="18" t="e" cm="1">
        <f t="array" aca="1" ref="AR210" ca="1">IF(INDIRECT(ADDRESS($B210+1,AR$164,1,1,"Confirmed Trend"))=0,#N/A,INDIRECT(ADDRESS($B210+1,AR$164,1,1,"Confirmed Trend")))</f>
        <v>#N/A</v>
      </c>
      <c r="AS210" s="18" t="e" cm="1">
        <f t="array" aca="1" ref="AS210" ca="1">IF(INDIRECT(ADDRESS($B210+1,AS$164,1,1,"Confirmed Trend"))=0,#N/A,INDIRECT(ADDRESS($B210+1,AS$164,1,1,"Confirmed Trend")))</f>
        <v>#N/A</v>
      </c>
      <c r="AT210" s="18" t="e" cm="1">
        <f t="array" aca="1" ref="AT210" ca="1">IF(INDIRECT(ADDRESS($B210+1,AT$164,1,1,"Confirmed Trend"))=0,#N/A,INDIRECT(ADDRESS($B210+1,AT$164,1,1,"Confirmed Trend")))</f>
        <v>#N/A</v>
      </c>
      <c r="AU210" s="18" t="e" cm="1">
        <f t="array" aca="1" ref="AU210" ca="1">IF(INDIRECT(ADDRESS($B210+1,AU$164,1,1,"Confirmed Trend"))=0,#N/A,INDIRECT(ADDRESS($B210+1,AU$164,1,1,"Confirmed Trend")))</f>
        <v>#N/A</v>
      </c>
      <c r="AV210" s="18" t="e" cm="1">
        <f t="array" aca="1" ref="AV210" ca="1">IF(INDIRECT(ADDRESS($B210+1,AV$164,1,1,"Confirmed Trend"))=0,#N/A,INDIRECT(ADDRESS($B210+1,AV$164,1,1,"Confirmed Trend")))</f>
        <v>#N/A</v>
      </c>
      <c r="AW210" s="18" t="e" cm="1">
        <f t="array" aca="1" ref="AW210" ca="1">IF(INDIRECT(ADDRESS($B210+1,AW$164,1,1,"Confirmed Trend"))=0,#N/A,INDIRECT(ADDRESS($B210+1,AW$164,1,1,"Confirmed Trend")))</f>
        <v>#N/A</v>
      </c>
      <c r="AX210" s="18" t="e" cm="1">
        <f t="array" aca="1" ref="AX210" ca="1">IF(INDIRECT(ADDRESS($B210+1,AX$164,1,1,"Confirmed Trend"))=0,#N/A,INDIRECT(ADDRESS($B210+1,AX$164,1,1,"Confirmed Trend")))</f>
        <v>#N/A</v>
      </c>
      <c r="AY210" s="18" t="e" cm="1">
        <f t="array" aca="1" ref="AY210" ca="1">IF(INDIRECT(ADDRESS($B210+1,AY$164,1,1,"Confirmed Trend"))=0,#N/A,INDIRECT(ADDRESS($B210+1,AY$164,1,1,"Confirmed Trend")))</f>
        <v>#N/A</v>
      </c>
      <c r="AZ210" s="18" t="e" cm="1">
        <f t="array" aca="1" ref="AZ210" ca="1">IF(INDIRECT(ADDRESS($B210+1,AZ$164,1,1,"Confirmed Trend"))=0,#N/A,INDIRECT(ADDRESS($B210+1,AZ$164,1,1,"Confirmed Trend")))</f>
        <v>#N/A</v>
      </c>
      <c r="BA210" s="18" t="e" cm="1">
        <f t="array" aca="1" ref="BA210" ca="1">IF(INDIRECT(ADDRESS($B210+1,BA$164,1,1,"Confirmed Trend"))=0,#N/A,INDIRECT(ADDRESS($B210+1,BA$164,1,1,"Confirmed Trend")))</f>
        <v>#N/A</v>
      </c>
      <c r="BB210" s="18" t="e" cm="1">
        <f t="array" aca="1" ref="BB210" ca="1">IF(INDIRECT(ADDRESS($B210+1,BB$164,1,1,"Confirmed Trend"))=0,#N/A,INDIRECT(ADDRESS($B210+1,BB$164,1,1,"Confirmed Trend")))</f>
        <v>#N/A</v>
      </c>
      <c r="BC210" s="18" t="e" cm="1">
        <f t="array" aca="1" ref="BC210" ca="1">IF(INDIRECT(ADDRESS($B210+1,BC$164,1,1,"Confirmed Trend"))=0,#N/A,INDIRECT(ADDRESS($B210+1,BC$164,1,1,"Confirmed Trend")))</f>
        <v>#N/A</v>
      </c>
      <c r="BD210" s="18" t="e" cm="1">
        <f t="array" aca="1" ref="BD210" ca="1">IF(INDIRECT(ADDRESS($B210+1,BD$164,1,1,"Confirmed Trend"))=0,#N/A,INDIRECT(ADDRESS($B210+1,BD$164,1,1,"Confirmed Trend")))</f>
        <v>#N/A</v>
      </c>
      <c r="BE210" s="18" t="e" cm="1">
        <f t="array" aca="1" ref="BE210" ca="1">IF(INDIRECT(ADDRESS($B210+1,BE$164,1,1,"Confirmed Trend"))=0,#N/A,INDIRECT(ADDRESS($B210+1,BE$164,1,1,"Confirmed Trend")))</f>
        <v>#N/A</v>
      </c>
      <c r="BF210" s="18" t="e" cm="1">
        <f t="array" aca="1" ref="BF210" ca="1">IF(INDIRECT(ADDRESS($B210+1,BF$164,1,1,"Confirmed Trend"))=0,#N/A,INDIRECT(ADDRESS($B210+1,BF$164,1,1,"Confirmed Trend")))</f>
        <v>#N/A</v>
      </c>
      <c r="BG210" s="18" t="e" cm="1">
        <f t="array" aca="1" ref="BG210" ca="1">IF(INDIRECT(ADDRESS($B210+1,BG$164,1,1,"Confirmed Trend"))=0,#N/A,INDIRECT(ADDRESS($B210+1,BG$164,1,1,"Confirmed Trend")))</f>
        <v>#N/A</v>
      </c>
      <c r="BH210" s="18" t="e" cm="1">
        <f t="array" aca="1" ref="BH210" ca="1">IF(INDIRECT(ADDRESS($B210+1,BH$164,1,1,"Confirmed Trend"))=0,#N/A,INDIRECT(ADDRESS($B210+1,BH$164,1,1,"Confirmed Trend")))</f>
        <v>#N/A</v>
      </c>
      <c r="BI210" s="18" t="e" cm="1">
        <f t="array" aca="1" ref="BI210" ca="1">IF(INDIRECT(ADDRESS($B210+1,BI$164,1,1,"Confirmed Trend"))=0,#N/A,INDIRECT(ADDRESS($B210+1,BI$164,1,1,"Confirmed Trend")))</f>
        <v>#N/A</v>
      </c>
      <c r="BJ210" s="18" t="e" cm="1">
        <f t="array" aca="1" ref="BJ210" ca="1">IF(INDIRECT(ADDRESS($B210+1,BJ$164,1,1,"Confirmed Trend"))=0,#N/A,INDIRECT(ADDRESS($B210+1,BJ$164,1,1,"Confirmed Trend")))</f>
        <v>#N/A</v>
      </c>
      <c r="BK210" s="18" t="e" cm="1">
        <f t="array" aca="1" ref="BK210" ca="1">IF(INDIRECT(ADDRESS($B210+1,BK$164,1,1,"Confirmed Trend"))=0,#N/A,INDIRECT(ADDRESS($B210+1,BK$164,1,1,"Confirmed Trend")))</f>
        <v>#N/A</v>
      </c>
      <c r="BL210" s="18" t="e" cm="1">
        <f t="array" aca="1" ref="BL210" ca="1">IF(INDIRECT(ADDRESS($B210+1,BL$164,1,1,"Confirmed Trend"))=0,#N/A,INDIRECT(ADDRESS($B210+1,BL$164,1,1,"Confirmed Trend")))</f>
        <v>#N/A</v>
      </c>
      <c r="BM210" s="18" t="e" cm="1">
        <f t="array" aca="1" ref="BM210" ca="1">IF(INDIRECT(ADDRESS($B210+1,BM$164,1,1,"Confirmed Trend"))=0,#N/A,INDIRECT(ADDRESS($B210+1,BM$164,1,1,"Confirmed Trend")))</f>
        <v>#N/A</v>
      </c>
      <c r="BN210" s="18" t="e" cm="1">
        <f t="array" aca="1" ref="BN210" ca="1">IF(INDIRECT(ADDRESS($B210+1,BN$164,1,1,"Confirmed Trend"))=0,#N/A,INDIRECT(ADDRESS($B210+1,BN$164,1,1,"Confirmed Trend")))</f>
        <v>#N/A</v>
      </c>
      <c r="BO210" s="18" t="e" cm="1">
        <f t="array" aca="1" ref="BO210" ca="1">IF(INDIRECT(ADDRESS($B210+1,BO$164,1,1,"Confirmed Trend"))=0,#N/A,INDIRECT(ADDRESS($B210+1,BO$164,1,1,"Confirmed Trend")))</f>
        <v>#N/A</v>
      </c>
      <c r="BP210" s="18" t="e" cm="1">
        <f t="array" aca="1" ref="BP210" ca="1">IF(INDIRECT(ADDRESS($B210+1,BP$164,1,1,"Confirmed Trend"))=0,#N/A,INDIRECT(ADDRESS($B210+1,BP$164,1,1,"Confirmed Trend")))</f>
        <v>#N/A</v>
      </c>
      <c r="BQ210" s="18" t="e" cm="1">
        <f t="array" aca="1" ref="BQ210" ca="1">IF(INDIRECT(ADDRESS($B210+1,BQ$164,1,1,"Confirmed Trend"))=0,#N/A,INDIRECT(ADDRESS($B210+1,BQ$164,1,1,"Confirmed Trend")))</f>
        <v>#N/A</v>
      </c>
      <c r="BR210" s="18" t="e" cm="1">
        <f t="array" aca="1" ref="BR210" ca="1">IF(INDIRECT(ADDRESS($B210+1,BR$164,1,1,"Confirmed Trend"))=0,#N/A,INDIRECT(ADDRESS($B210+1,BR$164,1,1,"Confirmed Trend")))</f>
        <v>#N/A</v>
      </c>
      <c r="BS210" s="18" t="e" cm="1">
        <f t="array" aca="1" ref="BS210" ca="1">IF(INDIRECT(ADDRESS($B210+1,BS$164,1,1,"Confirmed Trend"))=0,#N/A,INDIRECT(ADDRESS($B210+1,BS$164,1,1,"Confirmed Trend")))</f>
        <v>#N/A</v>
      </c>
      <c r="BT210" s="18" t="e" cm="1">
        <f t="array" aca="1" ref="BT210" ca="1">IF(INDIRECT(ADDRESS($B210+1,BT$164,1,1,"Confirmed Trend"))=0,#N/A,INDIRECT(ADDRESS($B210+1,BT$164,1,1,"Confirmed Trend")))</f>
        <v>#N/A</v>
      </c>
      <c r="BU210" s="18" t="e" cm="1">
        <f t="array" aca="1" ref="BU210" ca="1">IF(INDIRECT(ADDRESS($B210+1,BU$164,1,1,"Confirmed Trend"))=0,#N/A,INDIRECT(ADDRESS($B210+1,BU$164,1,1,"Confirmed Trend")))</f>
        <v>#N/A</v>
      </c>
      <c r="BV210" s="18" t="e" cm="1">
        <f t="array" aca="1" ref="BV210" ca="1">IF(INDIRECT(ADDRESS($B210+1,BV$164,1,1,"Confirmed Trend"))=0,#N/A,INDIRECT(ADDRESS($B210+1,BV$164,1,1,"Confirmed Trend")))</f>
        <v>#N/A</v>
      </c>
    </row>
    <row r="211" spans="2:74" x14ac:dyDescent="0.25">
      <c r="B211">
        <f t="shared" si="132"/>
        <v>46</v>
      </c>
      <c r="C211" cm="1">
        <f t="array" aca="1" ref="C211" ca="1">INDIRECT(ADDRESS($B211+1,1,1,1,"Confirmed Trend"))</f>
        <v>0</v>
      </c>
      <c r="E211" s="18" t="e" cm="1">
        <f t="array" aca="1" ref="E211" ca="1">IF(INDIRECT(ADDRESS($B211+1,E$164,1,1,"Confirmed Trend"))=0,#N/A,INDIRECT(ADDRESS($B211+1,E$164,1,1,"Confirmed Trend")))</f>
        <v>#N/A</v>
      </c>
      <c r="F211" s="18" t="e" cm="1">
        <f t="array" aca="1" ref="F211" ca="1">IF(INDIRECT(ADDRESS($B211+1,F$164,1,1,"Confirmed Trend"))=0,#N/A,INDIRECT(ADDRESS($B211+1,F$164,1,1,"Confirmed Trend")))</f>
        <v>#N/A</v>
      </c>
      <c r="G211" s="18" t="e" cm="1">
        <f t="array" aca="1" ref="G211" ca="1">IF(INDIRECT(ADDRESS($B211+1,G$164,1,1,"Confirmed Trend"))=0,#N/A,INDIRECT(ADDRESS($B211+1,G$164,1,1,"Confirmed Trend")))</f>
        <v>#N/A</v>
      </c>
      <c r="H211" s="18" t="e" cm="1">
        <f t="array" aca="1" ref="H211" ca="1">IF(INDIRECT(ADDRESS($B211+1,H$164,1,1,"Confirmed Trend"))=0,#N/A,INDIRECT(ADDRESS($B211+1,H$164,1,1,"Confirmed Trend")))</f>
        <v>#N/A</v>
      </c>
      <c r="I211" s="18" t="e" cm="1">
        <f t="array" aca="1" ref="I211" ca="1">IF(INDIRECT(ADDRESS($B211+1,I$164,1,1,"Confirmed Trend"))=0,#N/A,INDIRECT(ADDRESS($B211+1,I$164,1,1,"Confirmed Trend")))</f>
        <v>#N/A</v>
      </c>
      <c r="J211" s="18" t="e" cm="1">
        <f t="array" aca="1" ref="J211" ca="1">IF(INDIRECT(ADDRESS($B211+1,J$164,1,1,"Confirmed Trend"))=0,#N/A,INDIRECT(ADDRESS($B211+1,J$164,1,1,"Confirmed Trend")))</f>
        <v>#N/A</v>
      </c>
      <c r="K211" s="18" t="e" cm="1">
        <f t="array" aca="1" ref="K211" ca="1">IF(INDIRECT(ADDRESS($B211+1,K$164,1,1,"Confirmed Trend"))=0,#N/A,INDIRECT(ADDRESS($B211+1,K$164,1,1,"Confirmed Trend")))</f>
        <v>#N/A</v>
      </c>
      <c r="L211" s="18" t="e" cm="1">
        <f t="array" aca="1" ref="L211" ca="1">IF(INDIRECT(ADDRESS($B211+1,L$164,1,1,"Confirmed Trend"))=0,#N/A,INDIRECT(ADDRESS($B211+1,L$164,1,1,"Confirmed Trend")))</f>
        <v>#N/A</v>
      </c>
      <c r="M211" s="18" t="e" cm="1">
        <f t="array" aca="1" ref="M211" ca="1">IF(INDIRECT(ADDRESS($B211+1,M$164,1,1,"Confirmed Trend"))=0,#N/A,INDIRECT(ADDRESS($B211+1,M$164,1,1,"Confirmed Trend")))</f>
        <v>#N/A</v>
      </c>
      <c r="N211" s="18" t="e" cm="1">
        <f t="array" aca="1" ref="N211" ca="1">IF(INDIRECT(ADDRESS($B211+1,N$164,1,1,"Confirmed Trend"))=0,#N/A,INDIRECT(ADDRESS($B211+1,N$164,1,1,"Confirmed Trend")))</f>
        <v>#N/A</v>
      </c>
      <c r="O211" s="18" t="e" cm="1">
        <f t="array" aca="1" ref="O211" ca="1">IF(INDIRECT(ADDRESS($B211+1,O$164,1,1,"Confirmed Trend"))=0,#N/A,INDIRECT(ADDRESS($B211+1,O$164,1,1,"Confirmed Trend")))</f>
        <v>#N/A</v>
      </c>
      <c r="P211" s="18" t="e" cm="1">
        <f t="array" aca="1" ref="P211" ca="1">IF(INDIRECT(ADDRESS($B211+1,P$164,1,1,"Confirmed Trend"))=0,#N/A,INDIRECT(ADDRESS($B211+1,P$164,1,1,"Confirmed Trend")))</f>
        <v>#N/A</v>
      </c>
      <c r="Q211" s="18" t="e" cm="1">
        <f t="array" aca="1" ref="Q211" ca="1">IF(INDIRECT(ADDRESS($B211+1,Q$164,1,1,"Confirmed Trend"))=0,#N/A,INDIRECT(ADDRESS($B211+1,Q$164,1,1,"Confirmed Trend")))</f>
        <v>#N/A</v>
      </c>
      <c r="R211" s="18" t="e" cm="1">
        <f t="array" aca="1" ref="R211" ca="1">IF(INDIRECT(ADDRESS($B211+1,R$164,1,1,"Confirmed Trend"))=0,#N/A,INDIRECT(ADDRESS($B211+1,R$164,1,1,"Confirmed Trend")))</f>
        <v>#N/A</v>
      </c>
      <c r="S211" s="18" t="e" cm="1">
        <f t="array" aca="1" ref="S211" ca="1">IF(INDIRECT(ADDRESS($B211+1,S$164,1,1,"Confirmed Trend"))=0,#N/A,INDIRECT(ADDRESS($B211+1,S$164,1,1,"Confirmed Trend")))</f>
        <v>#N/A</v>
      </c>
      <c r="T211" s="18" t="e" cm="1">
        <f t="array" aca="1" ref="T211" ca="1">IF(INDIRECT(ADDRESS($B211+1,T$164,1,1,"Confirmed Trend"))=0,#N/A,INDIRECT(ADDRESS($B211+1,T$164,1,1,"Confirmed Trend")))</f>
        <v>#N/A</v>
      </c>
      <c r="U211" s="18" t="e" cm="1">
        <f t="array" aca="1" ref="U211" ca="1">IF(INDIRECT(ADDRESS($B211+1,U$164,1,1,"Confirmed Trend"))=0,#N/A,INDIRECT(ADDRESS($B211+1,U$164,1,1,"Confirmed Trend")))</f>
        <v>#N/A</v>
      </c>
      <c r="V211" s="18" t="e" cm="1">
        <f t="array" aca="1" ref="V211" ca="1">IF(INDIRECT(ADDRESS($B211+1,V$164,1,1,"Confirmed Trend"))=0,#N/A,INDIRECT(ADDRESS($B211+1,V$164,1,1,"Confirmed Trend")))</f>
        <v>#N/A</v>
      </c>
      <c r="W211" s="18" t="e" cm="1">
        <f t="array" aca="1" ref="W211" ca="1">IF(INDIRECT(ADDRESS($B211+1,W$164,1,1,"Confirmed Trend"))=0,#N/A,INDIRECT(ADDRESS($B211+1,W$164,1,1,"Confirmed Trend")))</f>
        <v>#N/A</v>
      </c>
      <c r="X211" s="18" t="e" cm="1">
        <f t="array" aca="1" ref="X211" ca="1">IF(INDIRECT(ADDRESS($B211+1,X$164,1,1,"Confirmed Trend"))=0,#N/A,INDIRECT(ADDRESS($B211+1,X$164,1,1,"Confirmed Trend")))</f>
        <v>#N/A</v>
      </c>
      <c r="Y211" s="18" t="e" cm="1">
        <f t="array" aca="1" ref="Y211" ca="1">IF(INDIRECT(ADDRESS($B211+1,Y$164,1,1,"Confirmed Trend"))=0,#N/A,INDIRECT(ADDRESS($B211+1,Y$164,1,1,"Confirmed Trend")))</f>
        <v>#N/A</v>
      </c>
      <c r="Z211" s="18" t="e" cm="1">
        <f t="array" aca="1" ref="Z211" ca="1">IF(INDIRECT(ADDRESS($B211+1,Z$164,1,1,"Confirmed Trend"))=0,#N/A,INDIRECT(ADDRESS($B211+1,Z$164,1,1,"Confirmed Trend")))</f>
        <v>#N/A</v>
      </c>
      <c r="AA211" s="18" t="e" cm="1">
        <f t="array" aca="1" ref="AA211" ca="1">IF(INDIRECT(ADDRESS($B211+1,AA$164,1,1,"Confirmed Trend"))=0,#N/A,INDIRECT(ADDRESS($B211+1,AA$164,1,1,"Confirmed Trend")))</f>
        <v>#N/A</v>
      </c>
      <c r="AB211" s="18" t="e" cm="1">
        <f t="array" aca="1" ref="AB211" ca="1">IF(INDIRECT(ADDRESS($B211+1,AB$164,1,1,"Confirmed Trend"))=0,#N/A,INDIRECT(ADDRESS($B211+1,AB$164,1,1,"Confirmed Trend")))</f>
        <v>#N/A</v>
      </c>
      <c r="AC211" s="18" t="e" cm="1">
        <f t="array" aca="1" ref="AC211" ca="1">IF(INDIRECT(ADDRESS($B211+1,AC$164,1,1,"Confirmed Trend"))=0,#N/A,INDIRECT(ADDRESS($B211+1,AC$164,1,1,"Confirmed Trend")))</f>
        <v>#N/A</v>
      </c>
      <c r="AD211" s="18" t="e" cm="1">
        <f t="array" aca="1" ref="AD211" ca="1">IF(INDIRECT(ADDRESS($B211+1,AD$164,1,1,"Confirmed Trend"))=0,#N/A,INDIRECT(ADDRESS($B211+1,AD$164,1,1,"Confirmed Trend")))</f>
        <v>#N/A</v>
      </c>
      <c r="AE211" s="18" t="e" cm="1">
        <f t="array" aca="1" ref="AE211" ca="1">IF(INDIRECT(ADDRESS($B211+1,AE$164,1,1,"Confirmed Trend"))=0,#N/A,INDIRECT(ADDRESS($B211+1,AE$164,1,1,"Confirmed Trend")))</f>
        <v>#N/A</v>
      </c>
      <c r="AF211" s="18" t="e" cm="1">
        <f t="array" aca="1" ref="AF211" ca="1">IF(INDIRECT(ADDRESS($B211+1,AF$164,1,1,"Confirmed Trend"))=0,#N/A,INDIRECT(ADDRESS($B211+1,AF$164,1,1,"Confirmed Trend")))</f>
        <v>#N/A</v>
      </c>
      <c r="AG211" s="18" t="e" cm="1">
        <f t="array" aca="1" ref="AG211" ca="1">IF(INDIRECT(ADDRESS($B211+1,AG$164,1,1,"Confirmed Trend"))=0,#N/A,INDIRECT(ADDRESS($B211+1,AG$164,1,1,"Confirmed Trend")))</f>
        <v>#N/A</v>
      </c>
      <c r="AH211" s="18" t="e" cm="1">
        <f t="array" aca="1" ref="AH211" ca="1">IF(INDIRECT(ADDRESS($B211+1,AH$164,1,1,"Confirmed Trend"))=0,#N/A,INDIRECT(ADDRESS($B211+1,AH$164,1,1,"Confirmed Trend")))</f>
        <v>#N/A</v>
      </c>
      <c r="AI211" s="18" t="e" cm="1">
        <f t="array" aca="1" ref="AI211" ca="1">IF(INDIRECT(ADDRESS($B211+1,AI$164,1,1,"Confirmed Trend"))=0,#N/A,INDIRECT(ADDRESS($B211+1,AI$164,1,1,"Confirmed Trend")))</f>
        <v>#N/A</v>
      </c>
      <c r="AJ211" s="18" t="e" cm="1">
        <f t="array" aca="1" ref="AJ211" ca="1">IF(INDIRECT(ADDRESS($B211+1,AJ$164,1,1,"Confirmed Trend"))=0,#N/A,INDIRECT(ADDRESS($B211+1,AJ$164,1,1,"Confirmed Trend")))</f>
        <v>#N/A</v>
      </c>
      <c r="AK211" s="18" t="e" cm="1">
        <f t="array" aca="1" ref="AK211" ca="1">IF(INDIRECT(ADDRESS($B211+1,AK$164,1,1,"Confirmed Trend"))=0,#N/A,INDIRECT(ADDRESS($B211+1,AK$164,1,1,"Confirmed Trend")))</f>
        <v>#N/A</v>
      </c>
      <c r="AL211" s="18" t="e" cm="1">
        <f t="array" aca="1" ref="AL211" ca="1">IF(INDIRECT(ADDRESS($B211+1,AL$164,1,1,"Confirmed Trend"))=0,#N/A,INDIRECT(ADDRESS($B211+1,AL$164,1,1,"Confirmed Trend")))</f>
        <v>#N/A</v>
      </c>
      <c r="AM211" s="18" t="e" cm="1">
        <f t="array" aca="1" ref="AM211" ca="1">IF(INDIRECT(ADDRESS($B211+1,AM$164,1,1,"Confirmed Trend"))=0,#N/A,INDIRECT(ADDRESS($B211+1,AM$164,1,1,"Confirmed Trend")))</f>
        <v>#N/A</v>
      </c>
      <c r="AN211" s="18" t="e" cm="1">
        <f t="array" aca="1" ref="AN211" ca="1">IF(INDIRECT(ADDRESS($B211+1,AN$164,1,1,"Confirmed Trend"))=0,#N/A,INDIRECT(ADDRESS($B211+1,AN$164,1,1,"Confirmed Trend")))</f>
        <v>#N/A</v>
      </c>
      <c r="AO211" s="18" t="e" cm="1">
        <f t="array" aca="1" ref="AO211" ca="1">IF(INDIRECT(ADDRESS($B211+1,AO$164,1,1,"Confirmed Trend"))=0,#N/A,INDIRECT(ADDRESS($B211+1,AO$164,1,1,"Confirmed Trend")))</f>
        <v>#N/A</v>
      </c>
      <c r="AP211" s="18" t="e" cm="1">
        <f t="array" aca="1" ref="AP211" ca="1">IF(INDIRECT(ADDRESS($B211+1,AP$164,1,1,"Confirmed Trend"))=0,#N/A,INDIRECT(ADDRESS($B211+1,AP$164,1,1,"Confirmed Trend")))</f>
        <v>#N/A</v>
      </c>
      <c r="AQ211" s="18" t="e" cm="1">
        <f t="array" aca="1" ref="AQ211" ca="1">IF(INDIRECT(ADDRESS($B211+1,AQ$164,1,1,"Confirmed Trend"))=0,#N/A,INDIRECT(ADDRESS($B211+1,AQ$164,1,1,"Confirmed Trend")))</f>
        <v>#N/A</v>
      </c>
      <c r="AR211" s="18" t="e" cm="1">
        <f t="array" aca="1" ref="AR211" ca="1">IF(INDIRECT(ADDRESS($B211+1,AR$164,1,1,"Confirmed Trend"))=0,#N/A,INDIRECT(ADDRESS($B211+1,AR$164,1,1,"Confirmed Trend")))</f>
        <v>#N/A</v>
      </c>
      <c r="AS211" s="18" t="e" cm="1">
        <f t="array" aca="1" ref="AS211" ca="1">IF(INDIRECT(ADDRESS($B211+1,AS$164,1,1,"Confirmed Trend"))=0,#N/A,INDIRECT(ADDRESS($B211+1,AS$164,1,1,"Confirmed Trend")))</f>
        <v>#N/A</v>
      </c>
      <c r="AT211" s="18" t="e" cm="1">
        <f t="array" aca="1" ref="AT211" ca="1">IF(INDIRECT(ADDRESS($B211+1,AT$164,1,1,"Confirmed Trend"))=0,#N/A,INDIRECT(ADDRESS($B211+1,AT$164,1,1,"Confirmed Trend")))</f>
        <v>#N/A</v>
      </c>
      <c r="AU211" s="18" t="e" cm="1">
        <f t="array" aca="1" ref="AU211" ca="1">IF(INDIRECT(ADDRESS($B211+1,AU$164,1,1,"Confirmed Trend"))=0,#N/A,INDIRECT(ADDRESS($B211+1,AU$164,1,1,"Confirmed Trend")))</f>
        <v>#N/A</v>
      </c>
      <c r="AV211" s="18" t="e" cm="1">
        <f t="array" aca="1" ref="AV211" ca="1">IF(INDIRECT(ADDRESS($B211+1,AV$164,1,1,"Confirmed Trend"))=0,#N/A,INDIRECT(ADDRESS($B211+1,AV$164,1,1,"Confirmed Trend")))</f>
        <v>#N/A</v>
      </c>
      <c r="AW211" s="18" t="e" cm="1">
        <f t="array" aca="1" ref="AW211" ca="1">IF(INDIRECT(ADDRESS($B211+1,AW$164,1,1,"Confirmed Trend"))=0,#N/A,INDIRECT(ADDRESS($B211+1,AW$164,1,1,"Confirmed Trend")))</f>
        <v>#N/A</v>
      </c>
      <c r="AX211" s="18" t="e" cm="1">
        <f t="array" aca="1" ref="AX211" ca="1">IF(INDIRECT(ADDRESS($B211+1,AX$164,1,1,"Confirmed Trend"))=0,#N/A,INDIRECT(ADDRESS($B211+1,AX$164,1,1,"Confirmed Trend")))</f>
        <v>#N/A</v>
      </c>
      <c r="AY211" s="18" t="e" cm="1">
        <f t="array" aca="1" ref="AY211" ca="1">IF(INDIRECT(ADDRESS($B211+1,AY$164,1,1,"Confirmed Trend"))=0,#N/A,INDIRECT(ADDRESS($B211+1,AY$164,1,1,"Confirmed Trend")))</f>
        <v>#N/A</v>
      </c>
      <c r="AZ211" s="18" t="e" cm="1">
        <f t="array" aca="1" ref="AZ211" ca="1">IF(INDIRECT(ADDRESS($B211+1,AZ$164,1,1,"Confirmed Trend"))=0,#N/A,INDIRECT(ADDRESS($B211+1,AZ$164,1,1,"Confirmed Trend")))</f>
        <v>#N/A</v>
      </c>
      <c r="BA211" s="18" t="e" cm="1">
        <f t="array" aca="1" ref="BA211" ca="1">IF(INDIRECT(ADDRESS($B211+1,BA$164,1,1,"Confirmed Trend"))=0,#N/A,INDIRECT(ADDRESS($B211+1,BA$164,1,1,"Confirmed Trend")))</f>
        <v>#N/A</v>
      </c>
      <c r="BB211" s="18" t="e" cm="1">
        <f t="array" aca="1" ref="BB211" ca="1">IF(INDIRECT(ADDRESS($B211+1,BB$164,1,1,"Confirmed Trend"))=0,#N/A,INDIRECT(ADDRESS($B211+1,BB$164,1,1,"Confirmed Trend")))</f>
        <v>#N/A</v>
      </c>
      <c r="BC211" s="18" t="e" cm="1">
        <f t="array" aca="1" ref="BC211" ca="1">IF(INDIRECT(ADDRESS($B211+1,BC$164,1,1,"Confirmed Trend"))=0,#N/A,INDIRECT(ADDRESS($B211+1,BC$164,1,1,"Confirmed Trend")))</f>
        <v>#N/A</v>
      </c>
      <c r="BD211" s="18" t="e" cm="1">
        <f t="array" aca="1" ref="BD211" ca="1">IF(INDIRECT(ADDRESS($B211+1,BD$164,1,1,"Confirmed Trend"))=0,#N/A,INDIRECT(ADDRESS($B211+1,BD$164,1,1,"Confirmed Trend")))</f>
        <v>#N/A</v>
      </c>
      <c r="BE211" s="18" t="e" cm="1">
        <f t="array" aca="1" ref="BE211" ca="1">IF(INDIRECT(ADDRESS($B211+1,BE$164,1,1,"Confirmed Trend"))=0,#N/A,INDIRECT(ADDRESS($B211+1,BE$164,1,1,"Confirmed Trend")))</f>
        <v>#N/A</v>
      </c>
      <c r="BF211" s="18" t="e" cm="1">
        <f t="array" aca="1" ref="BF211" ca="1">IF(INDIRECT(ADDRESS($B211+1,BF$164,1,1,"Confirmed Trend"))=0,#N/A,INDIRECT(ADDRESS($B211+1,BF$164,1,1,"Confirmed Trend")))</f>
        <v>#N/A</v>
      </c>
      <c r="BG211" s="18" t="e" cm="1">
        <f t="array" aca="1" ref="BG211" ca="1">IF(INDIRECT(ADDRESS($B211+1,BG$164,1,1,"Confirmed Trend"))=0,#N/A,INDIRECT(ADDRESS($B211+1,BG$164,1,1,"Confirmed Trend")))</f>
        <v>#N/A</v>
      </c>
      <c r="BH211" s="18" t="e" cm="1">
        <f t="array" aca="1" ref="BH211" ca="1">IF(INDIRECT(ADDRESS($B211+1,BH$164,1,1,"Confirmed Trend"))=0,#N/A,INDIRECT(ADDRESS($B211+1,BH$164,1,1,"Confirmed Trend")))</f>
        <v>#N/A</v>
      </c>
      <c r="BI211" s="18" t="e" cm="1">
        <f t="array" aca="1" ref="BI211" ca="1">IF(INDIRECT(ADDRESS($B211+1,BI$164,1,1,"Confirmed Trend"))=0,#N/A,INDIRECT(ADDRESS($B211+1,BI$164,1,1,"Confirmed Trend")))</f>
        <v>#N/A</v>
      </c>
      <c r="BJ211" s="18" t="e" cm="1">
        <f t="array" aca="1" ref="BJ211" ca="1">IF(INDIRECT(ADDRESS($B211+1,BJ$164,1,1,"Confirmed Trend"))=0,#N/A,INDIRECT(ADDRESS($B211+1,BJ$164,1,1,"Confirmed Trend")))</f>
        <v>#N/A</v>
      </c>
      <c r="BK211" s="18" t="e" cm="1">
        <f t="array" aca="1" ref="BK211" ca="1">IF(INDIRECT(ADDRESS($B211+1,BK$164,1,1,"Confirmed Trend"))=0,#N/A,INDIRECT(ADDRESS($B211+1,BK$164,1,1,"Confirmed Trend")))</f>
        <v>#N/A</v>
      </c>
      <c r="BL211" s="18" t="e" cm="1">
        <f t="array" aca="1" ref="BL211" ca="1">IF(INDIRECT(ADDRESS($B211+1,BL$164,1,1,"Confirmed Trend"))=0,#N/A,INDIRECT(ADDRESS($B211+1,BL$164,1,1,"Confirmed Trend")))</f>
        <v>#N/A</v>
      </c>
      <c r="BM211" s="18" t="e" cm="1">
        <f t="array" aca="1" ref="BM211" ca="1">IF(INDIRECT(ADDRESS($B211+1,BM$164,1,1,"Confirmed Trend"))=0,#N/A,INDIRECT(ADDRESS($B211+1,BM$164,1,1,"Confirmed Trend")))</f>
        <v>#N/A</v>
      </c>
      <c r="BN211" s="18" t="e" cm="1">
        <f t="array" aca="1" ref="BN211" ca="1">IF(INDIRECT(ADDRESS($B211+1,BN$164,1,1,"Confirmed Trend"))=0,#N/A,INDIRECT(ADDRESS($B211+1,BN$164,1,1,"Confirmed Trend")))</f>
        <v>#N/A</v>
      </c>
      <c r="BO211" s="18" t="e" cm="1">
        <f t="array" aca="1" ref="BO211" ca="1">IF(INDIRECT(ADDRESS($B211+1,BO$164,1,1,"Confirmed Trend"))=0,#N/A,INDIRECT(ADDRESS($B211+1,BO$164,1,1,"Confirmed Trend")))</f>
        <v>#N/A</v>
      </c>
      <c r="BP211" s="18" t="e" cm="1">
        <f t="array" aca="1" ref="BP211" ca="1">IF(INDIRECT(ADDRESS($B211+1,BP$164,1,1,"Confirmed Trend"))=0,#N/A,INDIRECT(ADDRESS($B211+1,BP$164,1,1,"Confirmed Trend")))</f>
        <v>#N/A</v>
      </c>
      <c r="BQ211" s="18" t="e" cm="1">
        <f t="array" aca="1" ref="BQ211" ca="1">IF(INDIRECT(ADDRESS($B211+1,BQ$164,1,1,"Confirmed Trend"))=0,#N/A,INDIRECT(ADDRESS($B211+1,BQ$164,1,1,"Confirmed Trend")))</f>
        <v>#N/A</v>
      </c>
      <c r="BR211" s="18" t="e" cm="1">
        <f t="array" aca="1" ref="BR211" ca="1">IF(INDIRECT(ADDRESS($B211+1,BR$164,1,1,"Confirmed Trend"))=0,#N/A,INDIRECT(ADDRESS($B211+1,BR$164,1,1,"Confirmed Trend")))</f>
        <v>#N/A</v>
      </c>
      <c r="BS211" s="18" t="e" cm="1">
        <f t="array" aca="1" ref="BS211" ca="1">IF(INDIRECT(ADDRESS($B211+1,BS$164,1,1,"Confirmed Trend"))=0,#N/A,INDIRECT(ADDRESS($B211+1,BS$164,1,1,"Confirmed Trend")))</f>
        <v>#N/A</v>
      </c>
      <c r="BT211" s="18" t="e" cm="1">
        <f t="array" aca="1" ref="BT211" ca="1">IF(INDIRECT(ADDRESS($B211+1,BT$164,1,1,"Confirmed Trend"))=0,#N/A,INDIRECT(ADDRESS($B211+1,BT$164,1,1,"Confirmed Trend")))</f>
        <v>#N/A</v>
      </c>
      <c r="BU211" s="18" t="e" cm="1">
        <f t="array" aca="1" ref="BU211" ca="1">IF(INDIRECT(ADDRESS($B211+1,BU$164,1,1,"Confirmed Trend"))=0,#N/A,INDIRECT(ADDRESS($B211+1,BU$164,1,1,"Confirmed Trend")))</f>
        <v>#N/A</v>
      </c>
      <c r="BV211" s="18" t="e" cm="1">
        <f t="array" aca="1" ref="BV211" ca="1">IF(INDIRECT(ADDRESS($B211+1,BV$164,1,1,"Confirmed Trend"))=0,#N/A,INDIRECT(ADDRESS($B211+1,BV$164,1,1,"Confirmed Trend")))</f>
        <v>#N/A</v>
      </c>
    </row>
    <row r="212" spans="2:74" x14ac:dyDescent="0.25">
      <c r="B212">
        <f t="shared" si="132"/>
        <v>47</v>
      </c>
      <c r="C212" cm="1">
        <f t="array" aca="1" ref="C212" ca="1">INDIRECT(ADDRESS($B212+1,1,1,1,"Confirmed Trend"))</f>
        <v>0</v>
      </c>
      <c r="E212" s="18" t="e" cm="1">
        <f t="array" aca="1" ref="E212" ca="1">IF(INDIRECT(ADDRESS($B212+1,E$164,1,1,"Confirmed Trend"))=0,#N/A,INDIRECT(ADDRESS($B212+1,E$164,1,1,"Confirmed Trend")))</f>
        <v>#N/A</v>
      </c>
      <c r="F212" s="18" t="e" cm="1">
        <f t="array" aca="1" ref="F212" ca="1">IF(INDIRECT(ADDRESS($B212+1,F$164,1,1,"Confirmed Trend"))=0,#N/A,INDIRECT(ADDRESS($B212+1,F$164,1,1,"Confirmed Trend")))</f>
        <v>#N/A</v>
      </c>
      <c r="G212" s="18" t="e" cm="1">
        <f t="array" aca="1" ref="G212" ca="1">IF(INDIRECT(ADDRESS($B212+1,G$164,1,1,"Confirmed Trend"))=0,#N/A,INDIRECT(ADDRESS($B212+1,G$164,1,1,"Confirmed Trend")))</f>
        <v>#N/A</v>
      </c>
      <c r="H212" s="18" t="e" cm="1">
        <f t="array" aca="1" ref="H212" ca="1">IF(INDIRECT(ADDRESS($B212+1,H$164,1,1,"Confirmed Trend"))=0,#N/A,INDIRECT(ADDRESS($B212+1,H$164,1,1,"Confirmed Trend")))</f>
        <v>#N/A</v>
      </c>
      <c r="I212" s="18" t="e" cm="1">
        <f t="array" aca="1" ref="I212" ca="1">IF(INDIRECT(ADDRESS($B212+1,I$164,1,1,"Confirmed Trend"))=0,#N/A,INDIRECT(ADDRESS($B212+1,I$164,1,1,"Confirmed Trend")))</f>
        <v>#N/A</v>
      </c>
      <c r="J212" s="18" t="e" cm="1">
        <f t="array" aca="1" ref="J212" ca="1">IF(INDIRECT(ADDRESS($B212+1,J$164,1,1,"Confirmed Trend"))=0,#N/A,INDIRECT(ADDRESS($B212+1,J$164,1,1,"Confirmed Trend")))</f>
        <v>#N/A</v>
      </c>
      <c r="K212" s="18" t="e" cm="1">
        <f t="array" aca="1" ref="K212" ca="1">IF(INDIRECT(ADDRESS($B212+1,K$164,1,1,"Confirmed Trend"))=0,#N/A,INDIRECT(ADDRESS($B212+1,K$164,1,1,"Confirmed Trend")))</f>
        <v>#N/A</v>
      </c>
      <c r="L212" s="18" t="e" cm="1">
        <f t="array" aca="1" ref="L212" ca="1">IF(INDIRECT(ADDRESS($B212+1,L$164,1,1,"Confirmed Trend"))=0,#N/A,INDIRECT(ADDRESS($B212+1,L$164,1,1,"Confirmed Trend")))</f>
        <v>#N/A</v>
      </c>
      <c r="M212" s="18" t="e" cm="1">
        <f t="array" aca="1" ref="M212" ca="1">IF(INDIRECT(ADDRESS($B212+1,M$164,1,1,"Confirmed Trend"))=0,#N/A,INDIRECT(ADDRESS($B212+1,M$164,1,1,"Confirmed Trend")))</f>
        <v>#N/A</v>
      </c>
      <c r="N212" s="18" t="e" cm="1">
        <f t="array" aca="1" ref="N212" ca="1">IF(INDIRECT(ADDRESS($B212+1,N$164,1,1,"Confirmed Trend"))=0,#N/A,INDIRECT(ADDRESS($B212+1,N$164,1,1,"Confirmed Trend")))</f>
        <v>#N/A</v>
      </c>
      <c r="O212" s="18" t="e" cm="1">
        <f t="array" aca="1" ref="O212" ca="1">IF(INDIRECT(ADDRESS($B212+1,O$164,1,1,"Confirmed Trend"))=0,#N/A,INDIRECT(ADDRESS($B212+1,O$164,1,1,"Confirmed Trend")))</f>
        <v>#N/A</v>
      </c>
      <c r="P212" s="18" t="e" cm="1">
        <f t="array" aca="1" ref="P212" ca="1">IF(INDIRECT(ADDRESS($B212+1,P$164,1,1,"Confirmed Trend"))=0,#N/A,INDIRECT(ADDRESS($B212+1,P$164,1,1,"Confirmed Trend")))</f>
        <v>#N/A</v>
      </c>
      <c r="Q212" s="18" t="e" cm="1">
        <f t="array" aca="1" ref="Q212" ca="1">IF(INDIRECT(ADDRESS($B212+1,Q$164,1,1,"Confirmed Trend"))=0,#N/A,INDIRECT(ADDRESS($B212+1,Q$164,1,1,"Confirmed Trend")))</f>
        <v>#N/A</v>
      </c>
      <c r="R212" s="18" t="e" cm="1">
        <f t="array" aca="1" ref="R212" ca="1">IF(INDIRECT(ADDRESS($B212+1,R$164,1,1,"Confirmed Trend"))=0,#N/A,INDIRECT(ADDRESS($B212+1,R$164,1,1,"Confirmed Trend")))</f>
        <v>#N/A</v>
      </c>
      <c r="S212" s="18" t="e" cm="1">
        <f t="array" aca="1" ref="S212" ca="1">IF(INDIRECT(ADDRESS($B212+1,S$164,1,1,"Confirmed Trend"))=0,#N/A,INDIRECT(ADDRESS($B212+1,S$164,1,1,"Confirmed Trend")))</f>
        <v>#N/A</v>
      </c>
      <c r="T212" s="18" t="e" cm="1">
        <f t="array" aca="1" ref="T212" ca="1">IF(INDIRECT(ADDRESS($B212+1,T$164,1,1,"Confirmed Trend"))=0,#N/A,INDIRECT(ADDRESS($B212+1,T$164,1,1,"Confirmed Trend")))</f>
        <v>#N/A</v>
      </c>
      <c r="U212" s="18" t="e" cm="1">
        <f t="array" aca="1" ref="U212" ca="1">IF(INDIRECT(ADDRESS($B212+1,U$164,1,1,"Confirmed Trend"))=0,#N/A,INDIRECT(ADDRESS($B212+1,U$164,1,1,"Confirmed Trend")))</f>
        <v>#N/A</v>
      </c>
      <c r="V212" s="18" t="e" cm="1">
        <f t="array" aca="1" ref="V212" ca="1">IF(INDIRECT(ADDRESS($B212+1,V$164,1,1,"Confirmed Trend"))=0,#N/A,INDIRECT(ADDRESS($B212+1,V$164,1,1,"Confirmed Trend")))</f>
        <v>#N/A</v>
      </c>
      <c r="W212" s="18" t="e" cm="1">
        <f t="array" aca="1" ref="W212" ca="1">IF(INDIRECT(ADDRESS($B212+1,W$164,1,1,"Confirmed Trend"))=0,#N/A,INDIRECT(ADDRESS($B212+1,W$164,1,1,"Confirmed Trend")))</f>
        <v>#N/A</v>
      </c>
      <c r="X212" s="18" t="e" cm="1">
        <f t="array" aca="1" ref="X212" ca="1">IF(INDIRECT(ADDRESS($B212+1,X$164,1,1,"Confirmed Trend"))=0,#N/A,INDIRECT(ADDRESS($B212+1,X$164,1,1,"Confirmed Trend")))</f>
        <v>#N/A</v>
      </c>
      <c r="Y212" s="18" t="e" cm="1">
        <f t="array" aca="1" ref="Y212" ca="1">IF(INDIRECT(ADDRESS($B212+1,Y$164,1,1,"Confirmed Trend"))=0,#N/A,INDIRECT(ADDRESS($B212+1,Y$164,1,1,"Confirmed Trend")))</f>
        <v>#N/A</v>
      </c>
      <c r="Z212" s="18" t="e" cm="1">
        <f t="array" aca="1" ref="Z212" ca="1">IF(INDIRECT(ADDRESS($B212+1,Z$164,1,1,"Confirmed Trend"))=0,#N/A,INDIRECT(ADDRESS($B212+1,Z$164,1,1,"Confirmed Trend")))</f>
        <v>#N/A</v>
      </c>
      <c r="AA212" s="18" t="e" cm="1">
        <f t="array" aca="1" ref="AA212" ca="1">IF(INDIRECT(ADDRESS($B212+1,AA$164,1,1,"Confirmed Trend"))=0,#N/A,INDIRECT(ADDRESS($B212+1,AA$164,1,1,"Confirmed Trend")))</f>
        <v>#N/A</v>
      </c>
      <c r="AB212" s="18" t="e" cm="1">
        <f t="array" aca="1" ref="AB212" ca="1">IF(INDIRECT(ADDRESS($B212+1,AB$164,1,1,"Confirmed Trend"))=0,#N/A,INDIRECT(ADDRESS($B212+1,AB$164,1,1,"Confirmed Trend")))</f>
        <v>#N/A</v>
      </c>
      <c r="AC212" s="18" t="e" cm="1">
        <f t="array" aca="1" ref="AC212" ca="1">IF(INDIRECT(ADDRESS($B212+1,AC$164,1,1,"Confirmed Trend"))=0,#N/A,INDIRECT(ADDRESS($B212+1,AC$164,1,1,"Confirmed Trend")))</f>
        <v>#N/A</v>
      </c>
      <c r="AD212" s="18" t="e" cm="1">
        <f t="array" aca="1" ref="AD212" ca="1">IF(INDIRECT(ADDRESS($B212+1,AD$164,1,1,"Confirmed Trend"))=0,#N/A,INDIRECT(ADDRESS($B212+1,AD$164,1,1,"Confirmed Trend")))</f>
        <v>#N/A</v>
      </c>
      <c r="AE212" s="18" t="e" cm="1">
        <f t="array" aca="1" ref="AE212" ca="1">IF(INDIRECT(ADDRESS($B212+1,AE$164,1,1,"Confirmed Trend"))=0,#N/A,INDIRECT(ADDRESS($B212+1,AE$164,1,1,"Confirmed Trend")))</f>
        <v>#N/A</v>
      </c>
      <c r="AF212" s="18" t="e" cm="1">
        <f t="array" aca="1" ref="AF212" ca="1">IF(INDIRECT(ADDRESS($B212+1,AF$164,1,1,"Confirmed Trend"))=0,#N/A,INDIRECT(ADDRESS($B212+1,AF$164,1,1,"Confirmed Trend")))</f>
        <v>#N/A</v>
      </c>
      <c r="AG212" s="18" t="e" cm="1">
        <f t="array" aca="1" ref="AG212" ca="1">IF(INDIRECT(ADDRESS($B212+1,AG$164,1,1,"Confirmed Trend"))=0,#N/A,INDIRECT(ADDRESS($B212+1,AG$164,1,1,"Confirmed Trend")))</f>
        <v>#N/A</v>
      </c>
      <c r="AH212" s="18" t="e" cm="1">
        <f t="array" aca="1" ref="AH212" ca="1">IF(INDIRECT(ADDRESS($B212+1,AH$164,1,1,"Confirmed Trend"))=0,#N/A,INDIRECT(ADDRESS($B212+1,AH$164,1,1,"Confirmed Trend")))</f>
        <v>#N/A</v>
      </c>
      <c r="AI212" s="18" t="e" cm="1">
        <f t="array" aca="1" ref="AI212" ca="1">IF(INDIRECT(ADDRESS($B212+1,AI$164,1,1,"Confirmed Trend"))=0,#N/A,INDIRECT(ADDRESS($B212+1,AI$164,1,1,"Confirmed Trend")))</f>
        <v>#N/A</v>
      </c>
      <c r="AJ212" s="18" t="e" cm="1">
        <f t="array" aca="1" ref="AJ212" ca="1">IF(INDIRECT(ADDRESS($B212+1,AJ$164,1,1,"Confirmed Trend"))=0,#N/A,INDIRECT(ADDRESS($B212+1,AJ$164,1,1,"Confirmed Trend")))</f>
        <v>#N/A</v>
      </c>
      <c r="AK212" s="18" t="e" cm="1">
        <f t="array" aca="1" ref="AK212" ca="1">IF(INDIRECT(ADDRESS($B212+1,AK$164,1,1,"Confirmed Trend"))=0,#N/A,INDIRECT(ADDRESS($B212+1,AK$164,1,1,"Confirmed Trend")))</f>
        <v>#N/A</v>
      </c>
      <c r="AL212" s="18" t="e" cm="1">
        <f t="array" aca="1" ref="AL212" ca="1">IF(INDIRECT(ADDRESS($B212+1,AL$164,1,1,"Confirmed Trend"))=0,#N/A,INDIRECT(ADDRESS($B212+1,AL$164,1,1,"Confirmed Trend")))</f>
        <v>#N/A</v>
      </c>
      <c r="AM212" s="18" t="e" cm="1">
        <f t="array" aca="1" ref="AM212" ca="1">IF(INDIRECT(ADDRESS($B212+1,AM$164,1,1,"Confirmed Trend"))=0,#N/A,INDIRECT(ADDRESS($B212+1,AM$164,1,1,"Confirmed Trend")))</f>
        <v>#N/A</v>
      </c>
      <c r="AN212" s="18" t="e" cm="1">
        <f t="array" aca="1" ref="AN212" ca="1">IF(INDIRECT(ADDRESS($B212+1,AN$164,1,1,"Confirmed Trend"))=0,#N/A,INDIRECT(ADDRESS($B212+1,AN$164,1,1,"Confirmed Trend")))</f>
        <v>#N/A</v>
      </c>
      <c r="AO212" s="18" t="e" cm="1">
        <f t="array" aca="1" ref="AO212" ca="1">IF(INDIRECT(ADDRESS($B212+1,AO$164,1,1,"Confirmed Trend"))=0,#N/A,INDIRECT(ADDRESS($B212+1,AO$164,1,1,"Confirmed Trend")))</f>
        <v>#N/A</v>
      </c>
      <c r="AP212" s="18" t="e" cm="1">
        <f t="array" aca="1" ref="AP212" ca="1">IF(INDIRECT(ADDRESS($B212+1,AP$164,1,1,"Confirmed Trend"))=0,#N/A,INDIRECT(ADDRESS($B212+1,AP$164,1,1,"Confirmed Trend")))</f>
        <v>#N/A</v>
      </c>
      <c r="AQ212" s="18" t="e" cm="1">
        <f t="array" aca="1" ref="AQ212" ca="1">IF(INDIRECT(ADDRESS($B212+1,AQ$164,1,1,"Confirmed Trend"))=0,#N/A,INDIRECT(ADDRESS($B212+1,AQ$164,1,1,"Confirmed Trend")))</f>
        <v>#N/A</v>
      </c>
      <c r="AR212" s="18" t="e" cm="1">
        <f t="array" aca="1" ref="AR212" ca="1">IF(INDIRECT(ADDRESS($B212+1,AR$164,1,1,"Confirmed Trend"))=0,#N/A,INDIRECT(ADDRESS($B212+1,AR$164,1,1,"Confirmed Trend")))</f>
        <v>#N/A</v>
      </c>
      <c r="AS212" s="18" t="e" cm="1">
        <f t="array" aca="1" ref="AS212" ca="1">IF(INDIRECT(ADDRESS($B212+1,AS$164,1,1,"Confirmed Trend"))=0,#N/A,INDIRECT(ADDRESS($B212+1,AS$164,1,1,"Confirmed Trend")))</f>
        <v>#N/A</v>
      </c>
      <c r="AT212" s="18" t="e" cm="1">
        <f t="array" aca="1" ref="AT212" ca="1">IF(INDIRECT(ADDRESS($B212+1,AT$164,1,1,"Confirmed Trend"))=0,#N/A,INDIRECT(ADDRESS($B212+1,AT$164,1,1,"Confirmed Trend")))</f>
        <v>#N/A</v>
      </c>
      <c r="AU212" s="18" t="e" cm="1">
        <f t="array" aca="1" ref="AU212" ca="1">IF(INDIRECT(ADDRESS($B212+1,AU$164,1,1,"Confirmed Trend"))=0,#N/A,INDIRECT(ADDRESS($B212+1,AU$164,1,1,"Confirmed Trend")))</f>
        <v>#N/A</v>
      </c>
      <c r="AV212" s="18" t="e" cm="1">
        <f t="array" aca="1" ref="AV212" ca="1">IF(INDIRECT(ADDRESS($B212+1,AV$164,1,1,"Confirmed Trend"))=0,#N/A,INDIRECT(ADDRESS($B212+1,AV$164,1,1,"Confirmed Trend")))</f>
        <v>#N/A</v>
      </c>
      <c r="AW212" s="18" t="e" cm="1">
        <f t="array" aca="1" ref="AW212" ca="1">IF(INDIRECT(ADDRESS($B212+1,AW$164,1,1,"Confirmed Trend"))=0,#N/A,INDIRECT(ADDRESS($B212+1,AW$164,1,1,"Confirmed Trend")))</f>
        <v>#N/A</v>
      </c>
      <c r="AX212" s="18" t="e" cm="1">
        <f t="array" aca="1" ref="AX212" ca="1">IF(INDIRECT(ADDRESS($B212+1,AX$164,1,1,"Confirmed Trend"))=0,#N/A,INDIRECT(ADDRESS($B212+1,AX$164,1,1,"Confirmed Trend")))</f>
        <v>#N/A</v>
      </c>
      <c r="AY212" s="18" t="e" cm="1">
        <f t="array" aca="1" ref="AY212" ca="1">IF(INDIRECT(ADDRESS($B212+1,AY$164,1,1,"Confirmed Trend"))=0,#N/A,INDIRECT(ADDRESS($B212+1,AY$164,1,1,"Confirmed Trend")))</f>
        <v>#N/A</v>
      </c>
      <c r="AZ212" s="18" t="e" cm="1">
        <f t="array" aca="1" ref="AZ212" ca="1">IF(INDIRECT(ADDRESS($B212+1,AZ$164,1,1,"Confirmed Trend"))=0,#N/A,INDIRECT(ADDRESS($B212+1,AZ$164,1,1,"Confirmed Trend")))</f>
        <v>#N/A</v>
      </c>
      <c r="BA212" s="18" t="e" cm="1">
        <f t="array" aca="1" ref="BA212" ca="1">IF(INDIRECT(ADDRESS($B212+1,BA$164,1,1,"Confirmed Trend"))=0,#N/A,INDIRECT(ADDRESS($B212+1,BA$164,1,1,"Confirmed Trend")))</f>
        <v>#N/A</v>
      </c>
      <c r="BB212" s="18" t="e" cm="1">
        <f t="array" aca="1" ref="BB212" ca="1">IF(INDIRECT(ADDRESS($B212+1,BB$164,1,1,"Confirmed Trend"))=0,#N/A,INDIRECT(ADDRESS($B212+1,BB$164,1,1,"Confirmed Trend")))</f>
        <v>#N/A</v>
      </c>
      <c r="BC212" s="18" t="e" cm="1">
        <f t="array" aca="1" ref="BC212" ca="1">IF(INDIRECT(ADDRESS($B212+1,BC$164,1,1,"Confirmed Trend"))=0,#N/A,INDIRECT(ADDRESS($B212+1,BC$164,1,1,"Confirmed Trend")))</f>
        <v>#N/A</v>
      </c>
      <c r="BD212" s="18" t="e" cm="1">
        <f t="array" aca="1" ref="BD212" ca="1">IF(INDIRECT(ADDRESS($B212+1,BD$164,1,1,"Confirmed Trend"))=0,#N/A,INDIRECT(ADDRESS($B212+1,BD$164,1,1,"Confirmed Trend")))</f>
        <v>#N/A</v>
      </c>
      <c r="BE212" s="18" t="e" cm="1">
        <f t="array" aca="1" ref="BE212" ca="1">IF(INDIRECT(ADDRESS($B212+1,BE$164,1,1,"Confirmed Trend"))=0,#N/A,INDIRECT(ADDRESS($B212+1,BE$164,1,1,"Confirmed Trend")))</f>
        <v>#N/A</v>
      </c>
      <c r="BF212" s="18" t="e" cm="1">
        <f t="array" aca="1" ref="BF212" ca="1">IF(INDIRECT(ADDRESS($B212+1,BF$164,1,1,"Confirmed Trend"))=0,#N/A,INDIRECT(ADDRESS($B212+1,BF$164,1,1,"Confirmed Trend")))</f>
        <v>#N/A</v>
      </c>
      <c r="BG212" s="18" t="e" cm="1">
        <f t="array" aca="1" ref="BG212" ca="1">IF(INDIRECT(ADDRESS($B212+1,BG$164,1,1,"Confirmed Trend"))=0,#N/A,INDIRECT(ADDRESS($B212+1,BG$164,1,1,"Confirmed Trend")))</f>
        <v>#N/A</v>
      </c>
      <c r="BH212" s="18" t="e" cm="1">
        <f t="array" aca="1" ref="BH212" ca="1">IF(INDIRECT(ADDRESS($B212+1,BH$164,1,1,"Confirmed Trend"))=0,#N/A,INDIRECT(ADDRESS($B212+1,BH$164,1,1,"Confirmed Trend")))</f>
        <v>#N/A</v>
      </c>
      <c r="BI212" s="18" t="e" cm="1">
        <f t="array" aca="1" ref="BI212" ca="1">IF(INDIRECT(ADDRESS($B212+1,BI$164,1,1,"Confirmed Trend"))=0,#N/A,INDIRECT(ADDRESS($B212+1,BI$164,1,1,"Confirmed Trend")))</f>
        <v>#N/A</v>
      </c>
      <c r="BJ212" s="18" t="e" cm="1">
        <f t="array" aca="1" ref="BJ212" ca="1">IF(INDIRECT(ADDRESS($B212+1,BJ$164,1,1,"Confirmed Trend"))=0,#N/A,INDIRECT(ADDRESS($B212+1,BJ$164,1,1,"Confirmed Trend")))</f>
        <v>#N/A</v>
      </c>
      <c r="BK212" s="18" t="e" cm="1">
        <f t="array" aca="1" ref="BK212" ca="1">IF(INDIRECT(ADDRESS($B212+1,BK$164,1,1,"Confirmed Trend"))=0,#N/A,INDIRECT(ADDRESS($B212+1,BK$164,1,1,"Confirmed Trend")))</f>
        <v>#N/A</v>
      </c>
      <c r="BL212" s="18" t="e" cm="1">
        <f t="array" aca="1" ref="BL212" ca="1">IF(INDIRECT(ADDRESS($B212+1,BL$164,1,1,"Confirmed Trend"))=0,#N/A,INDIRECT(ADDRESS($B212+1,BL$164,1,1,"Confirmed Trend")))</f>
        <v>#N/A</v>
      </c>
      <c r="BM212" s="18" t="e" cm="1">
        <f t="array" aca="1" ref="BM212" ca="1">IF(INDIRECT(ADDRESS($B212+1,BM$164,1,1,"Confirmed Trend"))=0,#N/A,INDIRECT(ADDRESS($B212+1,BM$164,1,1,"Confirmed Trend")))</f>
        <v>#N/A</v>
      </c>
      <c r="BN212" s="18" t="e" cm="1">
        <f t="array" aca="1" ref="BN212" ca="1">IF(INDIRECT(ADDRESS($B212+1,BN$164,1,1,"Confirmed Trend"))=0,#N/A,INDIRECT(ADDRESS($B212+1,BN$164,1,1,"Confirmed Trend")))</f>
        <v>#N/A</v>
      </c>
      <c r="BO212" s="18" t="e" cm="1">
        <f t="array" aca="1" ref="BO212" ca="1">IF(INDIRECT(ADDRESS($B212+1,BO$164,1,1,"Confirmed Trend"))=0,#N/A,INDIRECT(ADDRESS($B212+1,BO$164,1,1,"Confirmed Trend")))</f>
        <v>#N/A</v>
      </c>
      <c r="BP212" s="18" t="e" cm="1">
        <f t="array" aca="1" ref="BP212" ca="1">IF(INDIRECT(ADDRESS($B212+1,BP$164,1,1,"Confirmed Trend"))=0,#N/A,INDIRECT(ADDRESS($B212+1,BP$164,1,1,"Confirmed Trend")))</f>
        <v>#N/A</v>
      </c>
      <c r="BQ212" s="18" t="e" cm="1">
        <f t="array" aca="1" ref="BQ212" ca="1">IF(INDIRECT(ADDRESS($B212+1,BQ$164,1,1,"Confirmed Trend"))=0,#N/A,INDIRECT(ADDRESS($B212+1,BQ$164,1,1,"Confirmed Trend")))</f>
        <v>#N/A</v>
      </c>
      <c r="BR212" s="18" t="e" cm="1">
        <f t="array" aca="1" ref="BR212" ca="1">IF(INDIRECT(ADDRESS($B212+1,BR$164,1,1,"Confirmed Trend"))=0,#N/A,INDIRECT(ADDRESS($B212+1,BR$164,1,1,"Confirmed Trend")))</f>
        <v>#N/A</v>
      </c>
      <c r="BS212" s="18" t="e" cm="1">
        <f t="array" aca="1" ref="BS212" ca="1">IF(INDIRECT(ADDRESS($B212+1,BS$164,1,1,"Confirmed Trend"))=0,#N/A,INDIRECT(ADDRESS($B212+1,BS$164,1,1,"Confirmed Trend")))</f>
        <v>#N/A</v>
      </c>
      <c r="BT212" s="18" t="e" cm="1">
        <f t="array" aca="1" ref="BT212" ca="1">IF(INDIRECT(ADDRESS($B212+1,BT$164,1,1,"Confirmed Trend"))=0,#N/A,INDIRECT(ADDRESS($B212+1,BT$164,1,1,"Confirmed Trend")))</f>
        <v>#N/A</v>
      </c>
      <c r="BU212" s="18" t="e" cm="1">
        <f t="array" aca="1" ref="BU212" ca="1">IF(INDIRECT(ADDRESS($B212+1,BU$164,1,1,"Confirmed Trend"))=0,#N/A,INDIRECT(ADDRESS($B212+1,BU$164,1,1,"Confirmed Trend")))</f>
        <v>#N/A</v>
      </c>
      <c r="BV212" s="18" t="e" cm="1">
        <f t="array" aca="1" ref="BV212" ca="1">IF(INDIRECT(ADDRESS($B212+1,BV$164,1,1,"Confirmed Trend"))=0,#N/A,INDIRECT(ADDRESS($B212+1,BV$164,1,1,"Confirmed Trend")))</f>
        <v>#N/A</v>
      </c>
    </row>
    <row r="213" spans="2:74" x14ac:dyDescent="0.25">
      <c r="B213">
        <f t="shared" si="132"/>
        <v>48</v>
      </c>
      <c r="C213" cm="1">
        <f t="array" aca="1" ref="C213" ca="1">INDIRECT(ADDRESS($B213+1,1,1,1,"Confirmed Trend"))</f>
        <v>0</v>
      </c>
      <c r="E213" s="18" t="e" cm="1">
        <f t="array" aca="1" ref="E213" ca="1">IF(INDIRECT(ADDRESS($B213+1,E$164,1,1,"Confirmed Trend"))=0,#N/A,INDIRECT(ADDRESS($B213+1,E$164,1,1,"Confirmed Trend")))</f>
        <v>#N/A</v>
      </c>
      <c r="F213" s="18" t="e" cm="1">
        <f t="array" aca="1" ref="F213" ca="1">IF(INDIRECT(ADDRESS($B213+1,F$164,1,1,"Confirmed Trend"))=0,#N/A,INDIRECT(ADDRESS($B213+1,F$164,1,1,"Confirmed Trend")))</f>
        <v>#N/A</v>
      </c>
      <c r="G213" s="18" t="e" cm="1">
        <f t="array" aca="1" ref="G213" ca="1">IF(INDIRECT(ADDRESS($B213+1,G$164,1,1,"Confirmed Trend"))=0,#N/A,INDIRECT(ADDRESS($B213+1,G$164,1,1,"Confirmed Trend")))</f>
        <v>#N/A</v>
      </c>
      <c r="H213" s="18" t="e" cm="1">
        <f t="array" aca="1" ref="H213" ca="1">IF(INDIRECT(ADDRESS($B213+1,H$164,1,1,"Confirmed Trend"))=0,#N/A,INDIRECT(ADDRESS($B213+1,H$164,1,1,"Confirmed Trend")))</f>
        <v>#N/A</v>
      </c>
      <c r="I213" s="18" t="e" cm="1">
        <f t="array" aca="1" ref="I213" ca="1">IF(INDIRECT(ADDRESS($B213+1,I$164,1,1,"Confirmed Trend"))=0,#N/A,INDIRECT(ADDRESS($B213+1,I$164,1,1,"Confirmed Trend")))</f>
        <v>#N/A</v>
      </c>
      <c r="J213" s="18" t="e" cm="1">
        <f t="array" aca="1" ref="J213" ca="1">IF(INDIRECT(ADDRESS($B213+1,J$164,1,1,"Confirmed Trend"))=0,#N/A,INDIRECT(ADDRESS($B213+1,J$164,1,1,"Confirmed Trend")))</f>
        <v>#N/A</v>
      </c>
      <c r="K213" s="18" t="e" cm="1">
        <f t="array" aca="1" ref="K213" ca="1">IF(INDIRECT(ADDRESS($B213+1,K$164,1,1,"Confirmed Trend"))=0,#N/A,INDIRECT(ADDRESS($B213+1,K$164,1,1,"Confirmed Trend")))</f>
        <v>#N/A</v>
      </c>
      <c r="L213" s="18" t="e" cm="1">
        <f t="array" aca="1" ref="L213" ca="1">IF(INDIRECT(ADDRESS($B213+1,L$164,1,1,"Confirmed Trend"))=0,#N/A,INDIRECT(ADDRESS($B213+1,L$164,1,1,"Confirmed Trend")))</f>
        <v>#N/A</v>
      </c>
      <c r="M213" s="18" t="e" cm="1">
        <f t="array" aca="1" ref="M213" ca="1">IF(INDIRECT(ADDRESS($B213+1,M$164,1,1,"Confirmed Trend"))=0,#N/A,INDIRECT(ADDRESS($B213+1,M$164,1,1,"Confirmed Trend")))</f>
        <v>#N/A</v>
      </c>
      <c r="N213" s="18" t="e" cm="1">
        <f t="array" aca="1" ref="N213" ca="1">IF(INDIRECT(ADDRESS($B213+1,N$164,1,1,"Confirmed Trend"))=0,#N/A,INDIRECT(ADDRESS($B213+1,N$164,1,1,"Confirmed Trend")))</f>
        <v>#N/A</v>
      </c>
      <c r="O213" s="18" t="e" cm="1">
        <f t="array" aca="1" ref="O213" ca="1">IF(INDIRECT(ADDRESS($B213+1,O$164,1,1,"Confirmed Trend"))=0,#N/A,INDIRECT(ADDRESS($B213+1,O$164,1,1,"Confirmed Trend")))</f>
        <v>#N/A</v>
      </c>
      <c r="P213" s="18" t="e" cm="1">
        <f t="array" aca="1" ref="P213" ca="1">IF(INDIRECT(ADDRESS($B213+1,P$164,1,1,"Confirmed Trend"))=0,#N/A,INDIRECT(ADDRESS($B213+1,P$164,1,1,"Confirmed Trend")))</f>
        <v>#N/A</v>
      </c>
      <c r="Q213" s="18" t="e" cm="1">
        <f t="array" aca="1" ref="Q213" ca="1">IF(INDIRECT(ADDRESS($B213+1,Q$164,1,1,"Confirmed Trend"))=0,#N/A,INDIRECT(ADDRESS($B213+1,Q$164,1,1,"Confirmed Trend")))</f>
        <v>#N/A</v>
      </c>
      <c r="R213" s="18" t="e" cm="1">
        <f t="array" aca="1" ref="R213" ca="1">IF(INDIRECT(ADDRESS($B213+1,R$164,1,1,"Confirmed Trend"))=0,#N/A,INDIRECT(ADDRESS($B213+1,R$164,1,1,"Confirmed Trend")))</f>
        <v>#N/A</v>
      </c>
      <c r="S213" s="18" t="e" cm="1">
        <f t="array" aca="1" ref="S213" ca="1">IF(INDIRECT(ADDRESS($B213+1,S$164,1,1,"Confirmed Trend"))=0,#N/A,INDIRECT(ADDRESS($B213+1,S$164,1,1,"Confirmed Trend")))</f>
        <v>#N/A</v>
      </c>
      <c r="T213" s="18" t="e" cm="1">
        <f t="array" aca="1" ref="T213" ca="1">IF(INDIRECT(ADDRESS($B213+1,T$164,1,1,"Confirmed Trend"))=0,#N/A,INDIRECT(ADDRESS($B213+1,T$164,1,1,"Confirmed Trend")))</f>
        <v>#N/A</v>
      </c>
      <c r="U213" s="18" t="e" cm="1">
        <f t="array" aca="1" ref="U213" ca="1">IF(INDIRECT(ADDRESS($B213+1,U$164,1,1,"Confirmed Trend"))=0,#N/A,INDIRECT(ADDRESS($B213+1,U$164,1,1,"Confirmed Trend")))</f>
        <v>#N/A</v>
      </c>
      <c r="V213" s="18" t="e" cm="1">
        <f t="array" aca="1" ref="V213" ca="1">IF(INDIRECT(ADDRESS($B213+1,V$164,1,1,"Confirmed Trend"))=0,#N/A,INDIRECT(ADDRESS($B213+1,V$164,1,1,"Confirmed Trend")))</f>
        <v>#N/A</v>
      </c>
      <c r="W213" s="18" t="e" cm="1">
        <f t="array" aca="1" ref="W213" ca="1">IF(INDIRECT(ADDRESS($B213+1,W$164,1,1,"Confirmed Trend"))=0,#N/A,INDIRECT(ADDRESS($B213+1,W$164,1,1,"Confirmed Trend")))</f>
        <v>#N/A</v>
      </c>
      <c r="X213" s="18" t="e" cm="1">
        <f t="array" aca="1" ref="X213" ca="1">IF(INDIRECT(ADDRESS($B213+1,X$164,1,1,"Confirmed Trend"))=0,#N/A,INDIRECT(ADDRESS($B213+1,X$164,1,1,"Confirmed Trend")))</f>
        <v>#N/A</v>
      </c>
      <c r="Y213" s="18" t="e" cm="1">
        <f t="array" aca="1" ref="Y213" ca="1">IF(INDIRECT(ADDRESS($B213+1,Y$164,1,1,"Confirmed Trend"))=0,#N/A,INDIRECT(ADDRESS($B213+1,Y$164,1,1,"Confirmed Trend")))</f>
        <v>#N/A</v>
      </c>
      <c r="Z213" s="18" t="e" cm="1">
        <f t="array" aca="1" ref="Z213" ca="1">IF(INDIRECT(ADDRESS($B213+1,Z$164,1,1,"Confirmed Trend"))=0,#N/A,INDIRECT(ADDRESS($B213+1,Z$164,1,1,"Confirmed Trend")))</f>
        <v>#N/A</v>
      </c>
      <c r="AA213" s="18" t="e" cm="1">
        <f t="array" aca="1" ref="AA213" ca="1">IF(INDIRECT(ADDRESS($B213+1,AA$164,1,1,"Confirmed Trend"))=0,#N/A,INDIRECT(ADDRESS($B213+1,AA$164,1,1,"Confirmed Trend")))</f>
        <v>#N/A</v>
      </c>
      <c r="AB213" s="18" t="e" cm="1">
        <f t="array" aca="1" ref="AB213" ca="1">IF(INDIRECT(ADDRESS($B213+1,AB$164,1,1,"Confirmed Trend"))=0,#N/A,INDIRECT(ADDRESS($B213+1,AB$164,1,1,"Confirmed Trend")))</f>
        <v>#N/A</v>
      </c>
      <c r="AC213" s="18" t="e" cm="1">
        <f t="array" aca="1" ref="AC213" ca="1">IF(INDIRECT(ADDRESS($B213+1,AC$164,1,1,"Confirmed Trend"))=0,#N/A,INDIRECT(ADDRESS($B213+1,AC$164,1,1,"Confirmed Trend")))</f>
        <v>#N/A</v>
      </c>
      <c r="AD213" s="18" t="e" cm="1">
        <f t="array" aca="1" ref="AD213" ca="1">IF(INDIRECT(ADDRESS($B213+1,AD$164,1,1,"Confirmed Trend"))=0,#N/A,INDIRECT(ADDRESS($B213+1,AD$164,1,1,"Confirmed Trend")))</f>
        <v>#N/A</v>
      </c>
      <c r="AE213" s="18" t="e" cm="1">
        <f t="array" aca="1" ref="AE213" ca="1">IF(INDIRECT(ADDRESS($B213+1,AE$164,1,1,"Confirmed Trend"))=0,#N/A,INDIRECT(ADDRESS($B213+1,AE$164,1,1,"Confirmed Trend")))</f>
        <v>#N/A</v>
      </c>
      <c r="AF213" s="18" t="e" cm="1">
        <f t="array" aca="1" ref="AF213" ca="1">IF(INDIRECT(ADDRESS($B213+1,AF$164,1,1,"Confirmed Trend"))=0,#N/A,INDIRECT(ADDRESS($B213+1,AF$164,1,1,"Confirmed Trend")))</f>
        <v>#N/A</v>
      </c>
      <c r="AG213" s="18" t="e" cm="1">
        <f t="array" aca="1" ref="AG213" ca="1">IF(INDIRECT(ADDRESS($B213+1,AG$164,1,1,"Confirmed Trend"))=0,#N/A,INDIRECT(ADDRESS($B213+1,AG$164,1,1,"Confirmed Trend")))</f>
        <v>#N/A</v>
      </c>
      <c r="AH213" s="18" t="e" cm="1">
        <f t="array" aca="1" ref="AH213" ca="1">IF(INDIRECT(ADDRESS($B213+1,AH$164,1,1,"Confirmed Trend"))=0,#N/A,INDIRECT(ADDRESS($B213+1,AH$164,1,1,"Confirmed Trend")))</f>
        <v>#N/A</v>
      </c>
      <c r="AI213" s="18" t="e" cm="1">
        <f t="array" aca="1" ref="AI213" ca="1">IF(INDIRECT(ADDRESS($B213+1,AI$164,1,1,"Confirmed Trend"))=0,#N/A,INDIRECT(ADDRESS($B213+1,AI$164,1,1,"Confirmed Trend")))</f>
        <v>#N/A</v>
      </c>
      <c r="AJ213" s="18" t="e" cm="1">
        <f t="array" aca="1" ref="AJ213" ca="1">IF(INDIRECT(ADDRESS($B213+1,AJ$164,1,1,"Confirmed Trend"))=0,#N/A,INDIRECT(ADDRESS($B213+1,AJ$164,1,1,"Confirmed Trend")))</f>
        <v>#N/A</v>
      </c>
      <c r="AK213" s="18" t="e" cm="1">
        <f t="array" aca="1" ref="AK213" ca="1">IF(INDIRECT(ADDRESS($B213+1,AK$164,1,1,"Confirmed Trend"))=0,#N/A,INDIRECT(ADDRESS($B213+1,AK$164,1,1,"Confirmed Trend")))</f>
        <v>#N/A</v>
      </c>
      <c r="AL213" s="18" t="e" cm="1">
        <f t="array" aca="1" ref="AL213" ca="1">IF(INDIRECT(ADDRESS($B213+1,AL$164,1,1,"Confirmed Trend"))=0,#N/A,INDIRECT(ADDRESS($B213+1,AL$164,1,1,"Confirmed Trend")))</f>
        <v>#N/A</v>
      </c>
      <c r="AM213" s="18" t="e" cm="1">
        <f t="array" aca="1" ref="AM213" ca="1">IF(INDIRECT(ADDRESS($B213+1,AM$164,1,1,"Confirmed Trend"))=0,#N/A,INDIRECT(ADDRESS($B213+1,AM$164,1,1,"Confirmed Trend")))</f>
        <v>#N/A</v>
      </c>
      <c r="AN213" s="18" t="e" cm="1">
        <f t="array" aca="1" ref="AN213" ca="1">IF(INDIRECT(ADDRESS($B213+1,AN$164,1,1,"Confirmed Trend"))=0,#N/A,INDIRECT(ADDRESS($B213+1,AN$164,1,1,"Confirmed Trend")))</f>
        <v>#N/A</v>
      </c>
      <c r="AO213" s="18" t="e" cm="1">
        <f t="array" aca="1" ref="AO213" ca="1">IF(INDIRECT(ADDRESS($B213+1,AO$164,1,1,"Confirmed Trend"))=0,#N/A,INDIRECT(ADDRESS($B213+1,AO$164,1,1,"Confirmed Trend")))</f>
        <v>#N/A</v>
      </c>
      <c r="AP213" s="18" t="e" cm="1">
        <f t="array" aca="1" ref="AP213" ca="1">IF(INDIRECT(ADDRESS($B213+1,AP$164,1,1,"Confirmed Trend"))=0,#N/A,INDIRECT(ADDRESS($B213+1,AP$164,1,1,"Confirmed Trend")))</f>
        <v>#N/A</v>
      </c>
      <c r="AQ213" s="18" t="e" cm="1">
        <f t="array" aca="1" ref="AQ213" ca="1">IF(INDIRECT(ADDRESS($B213+1,AQ$164,1,1,"Confirmed Trend"))=0,#N/A,INDIRECT(ADDRESS($B213+1,AQ$164,1,1,"Confirmed Trend")))</f>
        <v>#N/A</v>
      </c>
      <c r="AR213" s="18" t="e" cm="1">
        <f t="array" aca="1" ref="AR213" ca="1">IF(INDIRECT(ADDRESS($B213+1,AR$164,1,1,"Confirmed Trend"))=0,#N/A,INDIRECT(ADDRESS($B213+1,AR$164,1,1,"Confirmed Trend")))</f>
        <v>#N/A</v>
      </c>
      <c r="AS213" s="18" t="e" cm="1">
        <f t="array" aca="1" ref="AS213" ca="1">IF(INDIRECT(ADDRESS($B213+1,AS$164,1,1,"Confirmed Trend"))=0,#N/A,INDIRECT(ADDRESS($B213+1,AS$164,1,1,"Confirmed Trend")))</f>
        <v>#N/A</v>
      </c>
      <c r="AT213" s="18" t="e" cm="1">
        <f t="array" aca="1" ref="AT213" ca="1">IF(INDIRECT(ADDRESS($B213+1,AT$164,1,1,"Confirmed Trend"))=0,#N/A,INDIRECT(ADDRESS($B213+1,AT$164,1,1,"Confirmed Trend")))</f>
        <v>#N/A</v>
      </c>
      <c r="AU213" s="18" t="e" cm="1">
        <f t="array" aca="1" ref="AU213" ca="1">IF(INDIRECT(ADDRESS($B213+1,AU$164,1,1,"Confirmed Trend"))=0,#N/A,INDIRECT(ADDRESS($B213+1,AU$164,1,1,"Confirmed Trend")))</f>
        <v>#N/A</v>
      </c>
      <c r="AV213" s="18" t="e" cm="1">
        <f t="array" aca="1" ref="AV213" ca="1">IF(INDIRECT(ADDRESS($B213+1,AV$164,1,1,"Confirmed Trend"))=0,#N/A,INDIRECT(ADDRESS($B213+1,AV$164,1,1,"Confirmed Trend")))</f>
        <v>#N/A</v>
      </c>
      <c r="AW213" s="18" t="e" cm="1">
        <f t="array" aca="1" ref="AW213" ca="1">IF(INDIRECT(ADDRESS($B213+1,AW$164,1,1,"Confirmed Trend"))=0,#N/A,INDIRECT(ADDRESS($B213+1,AW$164,1,1,"Confirmed Trend")))</f>
        <v>#N/A</v>
      </c>
      <c r="AX213" s="18" t="e" cm="1">
        <f t="array" aca="1" ref="AX213" ca="1">IF(INDIRECT(ADDRESS($B213+1,AX$164,1,1,"Confirmed Trend"))=0,#N/A,INDIRECT(ADDRESS($B213+1,AX$164,1,1,"Confirmed Trend")))</f>
        <v>#N/A</v>
      </c>
      <c r="AY213" s="18" t="e" cm="1">
        <f t="array" aca="1" ref="AY213" ca="1">IF(INDIRECT(ADDRESS($B213+1,AY$164,1,1,"Confirmed Trend"))=0,#N/A,INDIRECT(ADDRESS($B213+1,AY$164,1,1,"Confirmed Trend")))</f>
        <v>#N/A</v>
      </c>
      <c r="AZ213" s="18" t="e" cm="1">
        <f t="array" aca="1" ref="AZ213" ca="1">IF(INDIRECT(ADDRESS($B213+1,AZ$164,1,1,"Confirmed Trend"))=0,#N/A,INDIRECT(ADDRESS($B213+1,AZ$164,1,1,"Confirmed Trend")))</f>
        <v>#N/A</v>
      </c>
      <c r="BA213" s="18" t="e" cm="1">
        <f t="array" aca="1" ref="BA213" ca="1">IF(INDIRECT(ADDRESS($B213+1,BA$164,1,1,"Confirmed Trend"))=0,#N/A,INDIRECT(ADDRESS($B213+1,BA$164,1,1,"Confirmed Trend")))</f>
        <v>#N/A</v>
      </c>
      <c r="BB213" s="18" t="e" cm="1">
        <f t="array" aca="1" ref="BB213" ca="1">IF(INDIRECT(ADDRESS($B213+1,BB$164,1,1,"Confirmed Trend"))=0,#N/A,INDIRECT(ADDRESS($B213+1,BB$164,1,1,"Confirmed Trend")))</f>
        <v>#N/A</v>
      </c>
      <c r="BC213" s="18" t="e" cm="1">
        <f t="array" aca="1" ref="BC213" ca="1">IF(INDIRECT(ADDRESS($B213+1,BC$164,1,1,"Confirmed Trend"))=0,#N/A,INDIRECT(ADDRESS($B213+1,BC$164,1,1,"Confirmed Trend")))</f>
        <v>#N/A</v>
      </c>
      <c r="BD213" s="18" t="e" cm="1">
        <f t="array" aca="1" ref="BD213" ca="1">IF(INDIRECT(ADDRESS($B213+1,BD$164,1,1,"Confirmed Trend"))=0,#N/A,INDIRECT(ADDRESS($B213+1,BD$164,1,1,"Confirmed Trend")))</f>
        <v>#N/A</v>
      </c>
      <c r="BE213" s="18" t="e" cm="1">
        <f t="array" aca="1" ref="BE213" ca="1">IF(INDIRECT(ADDRESS($B213+1,BE$164,1,1,"Confirmed Trend"))=0,#N/A,INDIRECT(ADDRESS($B213+1,BE$164,1,1,"Confirmed Trend")))</f>
        <v>#N/A</v>
      </c>
      <c r="BF213" s="18" t="e" cm="1">
        <f t="array" aca="1" ref="BF213" ca="1">IF(INDIRECT(ADDRESS($B213+1,BF$164,1,1,"Confirmed Trend"))=0,#N/A,INDIRECT(ADDRESS($B213+1,BF$164,1,1,"Confirmed Trend")))</f>
        <v>#N/A</v>
      </c>
      <c r="BG213" s="18" t="e" cm="1">
        <f t="array" aca="1" ref="BG213" ca="1">IF(INDIRECT(ADDRESS($B213+1,BG$164,1,1,"Confirmed Trend"))=0,#N/A,INDIRECT(ADDRESS($B213+1,BG$164,1,1,"Confirmed Trend")))</f>
        <v>#N/A</v>
      </c>
      <c r="BH213" s="18" t="e" cm="1">
        <f t="array" aca="1" ref="BH213" ca="1">IF(INDIRECT(ADDRESS($B213+1,BH$164,1,1,"Confirmed Trend"))=0,#N/A,INDIRECT(ADDRESS($B213+1,BH$164,1,1,"Confirmed Trend")))</f>
        <v>#N/A</v>
      </c>
      <c r="BI213" s="18" t="e" cm="1">
        <f t="array" aca="1" ref="BI213" ca="1">IF(INDIRECT(ADDRESS($B213+1,BI$164,1,1,"Confirmed Trend"))=0,#N/A,INDIRECT(ADDRESS($B213+1,BI$164,1,1,"Confirmed Trend")))</f>
        <v>#N/A</v>
      </c>
      <c r="BJ213" s="18" t="e" cm="1">
        <f t="array" aca="1" ref="BJ213" ca="1">IF(INDIRECT(ADDRESS($B213+1,BJ$164,1,1,"Confirmed Trend"))=0,#N/A,INDIRECT(ADDRESS($B213+1,BJ$164,1,1,"Confirmed Trend")))</f>
        <v>#N/A</v>
      </c>
      <c r="BK213" s="18" t="e" cm="1">
        <f t="array" aca="1" ref="BK213" ca="1">IF(INDIRECT(ADDRESS($B213+1,BK$164,1,1,"Confirmed Trend"))=0,#N/A,INDIRECT(ADDRESS($B213+1,BK$164,1,1,"Confirmed Trend")))</f>
        <v>#N/A</v>
      </c>
      <c r="BL213" s="18" t="e" cm="1">
        <f t="array" aca="1" ref="BL213" ca="1">IF(INDIRECT(ADDRESS($B213+1,BL$164,1,1,"Confirmed Trend"))=0,#N/A,INDIRECT(ADDRESS($B213+1,BL$164,1,1,"Confirmed Trend")))</f>
        <v>#N/A</v>
      </c>
      <c r="BM213" s="18" t="e" cm="1">
        <f t="array" aca="1" ref="BM213" ca="1">IF(INDIRECT(ADDRESS($B213+1,BM$164,1,1,"Confirmed Trend"))=0,#N/A,INDIRECT(ADDRESS($B213+1,BM$164,1,1,"Confirmed Trend")))</f>
        <v>#N/A</v>
      </c>
      <c r="BN213" s="18" t="e" cm="1">
        <f t="array" aca="1" ref="BN213" ca="1">IF(INDIRECT(ADDRESS($B213+1,BN$164,1,1,"Confirmed Trend"))=0,#N/A,INDIRECT(ADDRESS($B213+1,BN$164,1,1,"Confirmed Trend")))</f>
        <v>#N/A</v>
      </c>
      <c r="BO213" s="18" t="e" cm="1">
        <f t="array" aca="1" ref="BO213" ca="1">IF(INDIRECT(ADDRESS($B213+1,BO$164,1,1,"Confirmed Trend"))=0,#N/A,INDIRECT(ADDRESS($B213+1,BO$164,1,1,"Confirmed Trend")))</f>
        <v>#N/A</v>
      </c>
      <c r="BP213" s="18" t="e" cm="1">
        <f t="array" aca="1" ref="BP213" ca="1">IF(INDIRECT(ADDRESS($B213+1,BP$164,1,1,"Confirmed Trend"))=0,#N/A,INDIRECT(ADDRESS($B213+1,BP$164,1,1,"Confirmed Trend")))</f>
        <v>#N/A</v>
      </c>
      <c r="BQ213" s="18" t="e" cm="1">
        <f t="array" aca="1" ref="BQ213" ca="1">IF(INDIRECT(ADDRESS($B213+1,BQ$164,1,1,"Confirmed Trend"))=0,#N/A,INDIRECT(ADDRESS($B213+1,BQ$164,1,1,"Confirmed Trend")))</f>
        <v>#N/A</v>
      </c>
      <c r="BR213" s="18" t="e" cm="1">
        <f t="array" aca="1" ref="BR213" ca="1">IF(INDIRECT(ADDRESS($B213+1,BR$164,1,1,"Confirmed Trend"))=0,#N/A,INDIRECT(ADDRESS($B213+1,BR$164,1,1,"Confirmed Trend")))</f>
        <v>#N/A</v>
      </c>
      <c r="BS213" s="18" t="e" cm="1">
        <f t="array" aca="1" ref="BS213" ca="1">IF(INDIRECT(ADDRESS($B213+1,BS$164,1,1,"Confirmed Trend"))=0,#N/A,INDIRECT(ADDRESS($B213+1,BS$164,1,1,"Confirmed Trend")))</f>
        <v>#N/A</v>
      </c>
      <c r="BT213" s="18" t="e" cm="1">
        <f t="array" aca="1" ref="BT213" ca="1">IF(INDIRECT(ADDRESS($B213+1,BT$164,1,1,"Confirmed Trend"))=0,#N/A,INDIRECT(ADDRESS($B213+1,BT$164,1,1,"Confirmed Trend")))</f>
        <v>#N/A</v>
      </c>
      <c r="BU213" s="18" t="e" cm="1">
        <f t="array" aca="1" ref="BU213" ca="1">IF(INDIRECT(ADDRESS($B213+1,BU$164,1,1,"Confirmed Trend"))=0,#N/A,INDIRECT(ADDRESS($B213+1,BU$164,1,1,"Confirmed Trend")))</f>
        <v>#N/A</v>
      </c>
      <c r="BV213" s="18" t="e" cm="1">
        <f t="array" aca="1" ref="BV213" ca="1">IF(INDIRECT(ADDRESS($B213+1,BV$164,1,1,"Confirmed Trend"))=0,#N/A,INDIRECT(ADDRESS($B213+1,BV$164,1,1,"Confirmed Trend")))</f>
        <v>#N/A</v>
      </c>
    </row>
    <row r="214" spans="2:74" x14ac:dyDescent="0.25">
      <c r="B214">
        <f t="shared" si="132"/>
        <v>49</v>
      </c>
      <c r="C214" cm="1">
        <f t="array" aca="1" ref="C214" ca="1">INDIRECT(ADDRESS($B214+1,1,1,1,"Confirmed Trend"))</f>
        <v>0</v>
      </c>
      <c r="E214" s="18" t="e" cm="1">
        <f t="array" aca="1" ref="E214" ca="1">IF(INDIRECT(ADDRESS($B214+1,E$164,1,1,"Confirmed Trend"))=0,#N/A,INDIRECT(ADDRESS($B214+1,E$164,1,1,"Confirmed Trend")))</f>
        <v>#N/A</v>
      </c>
      <c r="F214" s="18" t="e" cm="1">
        <f t="array" aca="1" ref="F214" ca="1">IF(INDIRECT(ADDRESS($B214+1,F$164,1,1,"Confirmed Trend"))=0,#N/A,INDIRECT(ADDRESS($B214+1,F$164,1,1,"Confirmed Trend")))</f>
        <v>#N/A</v>
      </c>
      <c r="G214" s="18" t="e" cm="1">
        <f t="array" aca="1" ref="G214" ca="1">IF(INDIRECT(ADDRESS($B214+1,G$164,1,1,"Confirmed Trend"))=0,#N/A,INDIRECT(ADDRESS($B214+1,G$164,1,1,"Confirmed Trend")))</f>
        <v>#N/A</v>
      </c>
      <c r="H214" s="18" t="e" cm="1">
        <f t="array" aca="1" ref="H214" ca="1">IF(INDIRECT(ADDRESS($B214+1,H$164,1,1,"Confirmed Trend"))=0,#N/A,INDIRECT(ADDRESS($B214+1,H$164,1,1,"Confirmed Trend")))</f>
        <v>#N/A</v>
      </c>
      <c r="I214" s="18" t="e" cm="1">
        <f t="array" aca="1" ref="I214" ca="1">IF(INDIRECT(ADDRESS($B214+1,I$164,1,1,"Confirmed Trend"))=0,#N/A,INDIRECT(ADDRESS($B214+1,I$164,1,1,"Confirmed Trend")))</f>
        <v>#N/A</v>
      </c>
      <c r="J214" s="18" t="e" cm="1">
        <f t="array" aca="1" ref="J214" ca="1">IF(INDIRECT(ADDRESS($B214+1,J$164,1,1,"Confirmed Trend"))=0,#N/A,INDIRECT(ADDRESS($B214+1,J$164,1,1,"Confirmed Trend")))</f>
        <v>#N/A</v>
      </c>
      <c r="K214" s="18" t="e" cm="1">
        <f t="array" aca="1" ref="K214" ca="1">IF(INDIRECT(ADDRESS($B214+1,K$164,1,1,"Confirmed Trend"))=0,#N/A,INDIRECT(ADDRESS($B214+1,K$164,1,1,"Confirmed Trend")))</f>
        <v>#N/A</v>
      </c>
      <c r="L214" s="18" t="e" cm="1">
        <f t="array" aca="1" ref="L214" ca="1">IF(INDIRECT(ADDRESS($B214+1,L$164,1,1,"Confirmed Trend"))=0,#N/A,INDIRECT(ADDRESS($B214+1,L$164,1,1,"Confirmed Trend")))</f>
        <v>#N/A</v>
      </c>
      <c r="M214" s="18" t="e" cm="1">
        <f t="array" aca="1" ref="M214" ca="1">IF(INDIRECT(ADDRESS($B214+1,M$164,1,1,"Confirmed Trend"))=0,#N/A,INDIRECT(ADDRESS($B214+1,M$164,1,1,"Confirmed Trend")))</f>
        <v>#N/A</v>
      </c>
      <c r="N214" s="18" t="e" cm="1">
        <f t="array" aca="1" ref="N214" ca="1">IF(INDIRECT(ADDRESS($B214+1,N$164,1,1,"Confirmed Trend"))=0,#N/A,INDIRECT(ADDRESS($B214+1,N$164,1,1,"Confirmed Trend")))</f>
        <v>#N/A</v>
      </c>
      <c r="O214" s="18" t="e" cm="1">
        <f t="array" aca="1" ref="O214" ca="1">IF(INDIRECT(ADDRESS($B214+1,O$164,1,1,"Confirmed Trend"))=0,#N/A,INDIRECT(ADDRESS($B214+1,O$164,1,1,"Confirmed Trend")))</f>
        <v>#N/A</v>
      </c>
      <c r="P214" s="18" t="e" cm="1">
        <f t="array" aca="1" ref="P214" ca="1">IF(INDIRECT(ADDRESS($B214+1,P$164,1,1,"Confirmed Trend"))=0,#N/A,INDIRECT(ADDRESS($B214+1,P$164,1,1,"Confirmed Trend")))</f>
        <v>#N/A</v>
      </c>
      <c r="Q214" s="18" t="e" cm="1">
        <f t="array" aca="1" ref="Q214" ca="1">IF(INDIRECT(ADDRESS($B214+1,Q$164,1,1,"Confirmed Trend"))=0,#N/A,INDIRECT(ADDRESS($B214+1,Q$164,1,1,"Confirmed Trend")))</f>
        <v>#N/A</v>
      </c>
      <c r="R214" s="18" t="e" cm="1">
        <f t="array" aca="1" ref="R214" ca="1">IF(INDIRECT(ADDRESS($B214+1,R$164,1,1,"Confirmed Trend"))=0,#N/A,INDIRECT(ADDRESS($B214+1,R$164,1,1,"Confirmed Trend")))</f>
        <v>#N/A</v>
      </c>
      <c r="S214" s="18" t="e" cm="1">
        <f t="array" aca="1" ref="S214" ca="1">IF(INDIRECT(ADDRESS($B214+1,S$164,1,1,"Confirmed Trend"))=0,#N/A,INDIRECT(ADDRESS($B214+1,S$164,1,1,"Confirmed Trend")))</f>
        <v>#N/A</v>
      </c>
      <c r="T214" s="18" t="e" cm="1">
        <f t="array" aca="1" ref="T214" ca="1">IF(INDIRECT(ADDRESS($B214+1,T$164,1,1,"Confirmed Trend"))=0,#N/A,INDIRECT(ADDRESS($B214+1,T$164,1,1,"Confirmed Trend")))</f>
        <v>#N/A</v>
      </c>
      <c r="U214" s="18" t="e" cm="1">
        <f t="array" aca="1" ref="U214" ca="1">IF(INDIRECT(ADDRESS($B214+1,U$164,1,1,"Confirmed Trend"))=0,#N/A,INDIRECT(ADDRESS($B214+1,U$164,1,1,"Confirmed Trend")))</f>
        <v>#N/A</v>
      </c>
      <c r="V214" s="18" t="e" cm="1">
        <f t="array" aca="1" ref="V214" ca="1">IF(INDIRECT(ADDRESS($B214+1,V$164,1,1,"Confirmed Trend"))=0,#N/A,INDIRECT(ADDRESS($B214+1,V$164,1,1,"Confirmed Trend")))</f>
        <v>#N/A</v>
      </c>
      <c r="W214" s="18" t="e" cm="1">
        <f t="array" aca="1" ref="W214" ca="1">IF(INDIRECT(ADDRESS($B214+1,W$164,1,1,"Confirmed Trend"))=0,#N/A,INDIRECT(ADDRESS($B214+1,W$164,1,1,"Confirmed Trend")))</f>
        <v>#N/A</v>
      </c>
      <c r="X214" s="18" t="e" cm="1">
        <f t="array" aca="1" ref="X214" ca="1">IF(INDIRECT(ADDRESS($B214+1,X$164,1,1,"Confirmed Trend"))=0,#N/A,INDIRECT(ADDRESS($B214+1,X$164,1,1,"Confirmed Trend")))</f>
        <v>#N/A</v>
      </c>
      <c r="Y214" s="18" t="e" cm="1">
        <f t="array" aca="1" ref="Y214" ca="1">IF(INDIRECT(ADDRESS($B214+1,Y$164,1,1,"Confirmed Trend"))=0,#N/A,INDIRECT(ADDRESS($B214+1,Y$164,1,1,"Confirmed Trend")))</f>
        <v>#N/A</v>
      </c>
      <c r="Z214" s="18" t="e" cm="1">
        <f t="array" aca="1" ref="Z214" ca="1">IF(INDIRECT(ADDRESS($B214+1,Z$164,1,1,"Confirmed Trend"))=0,#N/A,INDIRECT(ADDRESS($B214+1,Z$164,1,1,"Confirmed Trend")))</f>
        <v>#N/A</v>
      </c>
      <c r="AA214" s="18" t="e" cm="1">
        <f t="array" aca="1" ref="AA214" ca="1">IF(INDIRECT(ADDRESS($B214+1,AA$164,1,1,"Confirmed Trend"))=0,#N/A,INDIRECT(ADDRESS($B214+1,AA$164,1,1,"Confirmed Trend")))</f>
        <v>#N/A</v>
      </c>
      <c r="AB214" s="18" t="e" cm="1">
        <f t="array" aca="1" ref="AB214" ca="1">IF(INDIRECT(ADDRESS($B214+1,AB$164,1,1,"Confirmed Trend"))=0,#N/A,INDIRECT(ADDRESS($B214+1,AB$164,1,1,"Confirmed Trend")))</f>
        <v>#N/A</v>
      </c>
      <c r="AC214" s="18" t="e" cm="1">
        <f t="array" aca="1" ref="AC214" ca="1">IF(INDIRECT(ADDRESS($B214+1,AC$164,1,1,"Confirmed Trend"))=0,#N/A,INDIRECT(ADDRESS($B214+1,AC$164,1,1,"Confirmed Trend")))</f>
        <v>#N/A</v>
      </c>
      <c r="AD214" s="18" t="e" cm="1">
        <f t="array" aca="1" ref="AD214" ca="1">IF(INDIRECT(ADDRESS($B214+1,AD$164,1,1,"Confirmed Trend"))=0,#N/A,INDIRECT(ADDRESS($B214+1,AD$164,1,1,"Confirmed Trend")))</f>
        <v>#N/A</v>
      </c>
      <c r="AE214" s="18" t="e" cm="1">
        <f t="array" aca="1" ref="AE214" ca="1">IF(INDIRECT(ADDRESS($B214+1,AE$164,1,1,"Confirmed Trend"))=0,#N/A,INDIRECT(ADDRESS($B214+1,AE$164,1,1,"Confirmed Trend")))</f>
        <v>#N/A</v>
      </c>
      <c r="AF214" s="18" t="e" cm="1">
        <f t="array" aca="1" ref="AF214" ca="1">IF(INDIRECT(ADDRESS($B214+1,AF$164,1,1,"Confirmed Trend"))=0,#N/A,INDIRECT(ADDRESS($B214+1,AF$164,1,1,"Confirmed Trend")))</f>
        <v>#N/A</v>
      </c>
      <c r="AG214" s="18" t="e" cm="1">
        <f t="array" aca="1" ref="AG214" ca="1">IF(INDIRECT(ADDRESS($B214+1,AG$164,1,1,"Confirmed Trend"))=0,#N/A,INDIRECT(ADDRESS($B214+1,AG$164,1,1,"Confirmed Trend")))</f>
        <v>#N/A</v>
      </c>
      <c r="AH214" s="18" t="e" cm="1">
        <f t="array" aca="1" ref="AH214" ca="1">IF(INDIRECT(ADDRESS($B214+1,AH$164,1,1,"Confirmed Trend"))=0,#N/A,INDIRECT(ADDRESS($B214+1,AH$164,1,1,"Confirmed Trend")))</f>
        <v>#N/A</v>
      </c>
      <c r="AI214" s="18" t="e" cm="1">
        <f t="array" aca="1" ref="AI214" ca="1">IF(INDIRECT(ADDRESS($B214+1,AI$164,1,1,"Confirmed Trend"))=0,#N/A,INDIRECT(ADDRESS($B214+1,AI$164,1,1,"Confirmed Trend")))</f>
        <v>#N/A</v>
      </c>
      <c r="AJ214" s="18" t="e" cm="1">
        <f t="array" aca="1" ref="AJ214" ca="1">IF(INDIRECT(ADDRESS($B214+1,AJ$164,1,1,"Confirmed Trend"))=0,#N/A,INDIRECT(ADDRESS($B214+1,AJ$164,1,1,"Confirmed Trend")))</f>
        <v>#N/A</v>
      </c>
      <c r="AK214" s="18" t="e" cm="1">
        <f t="array" aca="1" ref="AK214" ca="1">IF(INDIRECT(ADDRESS($B214+1,AK$164,1,1,"Confirmed Trend"))=0,#N/A,INDIRECT(ADDRESS($B214+1,AK$164,1,1,"Confirmed Trend")))</f>
        <v>#N/A</v>
      </c>
      <c r="AL214" s="18" t="e" cm="1">
        <f t="array" aca="1" ref="AL214" ca="1">IF(INDIRECT(ADDRESS($B214+1,AL$164,1,1,"Confirmed Trend"))=0,#N/A,INDIRECT(ADDRESS($B214+1,AL$164,1,1,"Confirmed Trend")))</f>
        <v>#N/A</v>
      </c>
      <c r="AM214" s="18" t="e" cm="1">
        <f t="array" aca="1" ref="AM214" ca="1">IF(INDIRECT(ADDRESS($B214+1,AM$164,1,1,"Confirmed Trend"))=0,#N/A,INDIRECT(ADDRESS($B214+1,AM$164,1,1,"Confirmed Trend")))</f>
        <v>#N/A</v>
      </c>
      <c r="AN214" s="18" t="e" cm="1">
        <f t="array" aca="1" ref="AN214" ca="1">IF(INDIRECT(ADDRESS($B214+1,AN$164,1,1,"Confirmed Trend"))=0,#N/A,INDIRECT(ADDRESS($B214+1,AN$164,1,1,"Confirmed Trend")))</f>
        <v>#N/A</v>
      </c>
      <c r="AO214" s="18" t="e" cm="1">
        <f t="array" aca="1" ref="AO214" ca="1">IF(INDIRECT(ADDRESS($B214+1,AO$164,1,1,"Confirmed Trend"))=0,#N/A,INDIRECT(ADDRESS($B214+1,AO$164,1,1,"Confirmed Trend")))</f>
        <v>#N/A</v>
      </c>
      <c r="AP214" s="18" t="e" cm="1">
        <f t="array" aca="1" ref="AP214" ca="1">IF(INDIRECT(ADDRESS($B214+1,AP$164,1,1,"Confirmed Trend"))=0,#N/A,INDIRECT(ADDRESS($B214+1,AP$164,1,1,"Confirmed Trend")))</f>
        <v>#N/A</v>
      </c>
      <c r="AQ214" s="18" t="e" cm="1">
        <f t="array" aca="1" ref="AQ214" ca="1">IF(INDIRECT(ADDRESS($B214+1,AQ$164,1,1,"Confirmed Trend"))=0,#N/A,INDIRECT(ADDRESS($B214+1,AQ$164,1,1,"Confirmed Trend")))</f>
        <v>#N/A</v>
      </c>
      <c r="AR214" s="18" t="e" cm="1">
        <f t="array" aca="1" ref="AR214" ca="1">IF(INDIRECT(ADDRESS($B214+1,AR$164,1,1,"Confirmed Trend"))=0,#N/A,INDIRECT(ADDRESS($B214+1,AR$164,1,1,"Confirmed Trend")))</f>
        <v>#N/A</v>
      </c>
      <c r="AS214" s="18" t="e" cm="1">
        <f t="array" aca="1" ref="AS214" ca="1">IF(INDIRECT(ADDRESS($B214+1,AS$164,1,1,"Confirmed Trend"))=0,#N/A,INDIRECT(ADDRESS($B214+1,AS$164,1,1,"Confirmed Trend")))</f>
        <v>#N/A</v>
      </c>
      <c r="AT214" s="18" t="e" cm="1">
        <f t="array" aca="1" ref="AT214" ca="1">IF(INDIRECT(ADDRESS($B214+1,AT$164,1,1,"Confirmed Trend"))=0,#N/A,INDIRECT(ADDRESS($B214+1,AT$164,1,1,"Confirmed Trend")))</f>
        <v>#N/A</v>
      </c>
      <c r="AU214" s="18" t="e" cm="1">
        <f t="array" aca="1" ref="AU214" ca="1">IF(INDIRECT(ADDRESS($B214+1,AU$164,1,1,"Confirmed Trend"))=0,#N/A,INDIRECT(ADDRESS($B214+1,AU$164,1,1,"Confirmed Trend")))</f>
        <v>#N/A</v>
      </c>
      <c r="AV214" s="18" t="e" cm="1">
        <f t="array" aca="1" ref="AV214" ca="1">IF(INDIRECT(ADDRESS($B214+1,AV$164,1,1,"Confirmed Trend"))=0,#N/A,INDIRECT(ADDRESS($B214+1,AV$164,1,1,"Confirmed Trend")))</f>
        <v>#N/A</v>
      </c>
      <c r="AW214" s="18" t="e" cm="1">
        <f t="array" aca="1" ref="AW214" ca="1">IF(INDIRECT(ADDRESS($B214+1,AW$164,1,1,"Confirmed Trend"))=0,#N/A,INDIRECT(ADDRESS($B214+1,AW$164,1,1,"Confirmed Trend")))</f>
        <v>#N/A</v>
      </c>
      <c r="AX214" s="18" t="e" cm="1">
        <f t="array" aca="1" ref="AX214" ca="1">IF(INDIRECT(ADDRESS($B214+1,AX$164,1,1,"Confirmed Trend"))=0,#N/A,INDIRECT(ADDRESS($B214+1,AX$164,1,1,"Confirmed Trend")))</f>
        <v>#N/A</v>
      </c>
      <c r="AY214" s="18" t="e" cm="1">
        <f t="array" aca="1" ref="AY214" ca="1">IF(INDIRECT(ADDRESS($B214+1,AY$164,1,1,"Confirmed Trend"))=0,#N/A,INDIRECT(ADDRESS($B214+1,AY$164,1,1,"Confirmed Trend")))</f>
        <v>#N/A</v>
      </c>
      <c r="AZ214" s="18" t="e" cm="1">
        <f t="array" aca="1" ref="AZ214" ca="1">IF(INDIRECT(ADDRESS($B214+1,AZ$164,1,1,"Confirmed Trend"))=0,#N/A,INDIRECT(ADDRESS($B214+1,AZ$164,1,1,"Confirmed Trend")))</f>
        <v>#N/A</v>
      </c>
      <c r="BA214" s="18" t="e" cm="1">
        <f t="array" aca="1" ref="BA214" ca="1">IF(INDIRECT(ADDRESS($B214+1,BA$164,1,1,"Confirmed Trend"))=0,#N/A,INDIRECT(ADDRESS($B214+1,BA$164,1,1,"Confirmed Trend")))</f>
        <v>#N/A</v>
      </c>
      <c r="BB214" s="18" t="e" cm="1">
        <f t="array" aca="1" ref="BB214" ca="1">IF(INDIRECT(ADDRESS($B214+1,BB$164,1,1,"Confirmed Trend"))=0,#N/A,INDIRECT(ADDRESS($B214+1,BB$164,1,1,"Confirmed Trend")))</f>
        <v>#N/A</v>
      </c>
      <c r="BC214" s="18" t="e" cm="1">
        <f t="array" aca="1" ref="BC214" ca="1">IF(INDIRECT(ADDRESS($B214+1,BC$164,1,1,"Confirmed Trend"))=0,#N/A,INDIRECT(ADDRESS($B214+1,BC$164,1,1,"Confirmed Trend")))</f>
        <v>#N/A</v>
      </c>
      <c r="BD214" s="18" t="e" cm="1">
        <f t="array" aca="1" ref="BD214" ca="1">IF(INDIRECT(ADDRESS($B214+1,BD$164,1,1,"Confirmed Trend"))=0,#N/A,INDIRECT(ADDRESS($B214+1,BD$164,1,1,"Confirmed Trend")))</f>
        <v>#N/A</v>
      </c>
      <c r="BE214" s="18" t="e" cm="1">
        <f t="array" aca="1" ref="BE214" ca="1">IF(INDIRECT(ADDRESS($B214+1,BE$164,1,1,"Confirmed Trend"))=0,#N/A,INDIRECT(ADDRESS($B214+1,BE$164,1,1,"Confirmed Trend")))</f>
        <v>#N/A</v>
      </c>
      <c r="BF214" s="18" t="e" cm="1">
        <f t="array" aca="1" ref="BF214" ca="1">IF(INDIRECT(ADDRESS($B214+1,BF$164,1,1,"Confirmed Trend"))=0,#N/A,INDIRECT(ADDRESS($B214+1,BF$164,1,1,"Confirmed Trend")))</f>
        <v>#N/A</v>
      </c>
      <c r="BG214" s="18" t="e" cm="1">
        <f t="array" aca="1" ref="BG214" ca="1">IF(INDIRECT(ADDRESS($B214+1,BG$164,1,1,"Confirmed Trend"))=0,#N/A,INDIRECT(ADDRESS($B214+1,BG$164,1,1,"Confirmed Trend")))</f>
        <v>#N/A</v>
      </c>
      <c r="BH214" s="18" t="e" cm="1">
        <f t="array" aca="1" ref="BH214" ca="1">IF(INDIRECT(ADDRESS($B214+1,BH$164,1,1,"Confirmed Trend"))=0,#N/A,INDIRECT(ADDRESS($B214+1,BH$164,1,1,"Confirmed Trend")))</f>
        <v>#N/A</v>
      </c>
      <c r="BI214" s="18" t="e" cm="1">
        <f t="array" aca="1" ref="BI214" ca="1">IF(INDIRECT(ADDRESS($B214+1,BI$164,1,1,"Confirmed Trend"))=0,#N/A,INDIRECT(ADDRESS($B214+1,BI$164,1,1,"Confirmed Trend")))</f>
        <v>#N/A</v>
      </c>
      <c r="BJ214" s="18" t="e" cm="1">
        <f t="array" aca="1" ref="BJ214" ca="1">IF(INDIRECT(ADDRESS($B214+1,BJ$164,1,1,"Confirmed Trend"))=0,#N/A,INDIRECT(ADDRESS($B214+1,BJ$164,1,1,"Confirmed Trend")))</f>
        <v>#N/A</v>
      </c>
      <c r="BK214" s="18" t="e" cm="1">
        <f t="array" aca="1" ref="BK214" ca="1">IF(INDIRECT(ADDRESS($B214+1,BK$164,1,1,"Confirmed Trend"))=0,#N/A,INDIRECT(ADDRESS($B214+1,BK$164,1,1,"Confirmed Trend")))</f>
        <v>#N/A</v>
      </c>
      <c r="BL214" s="18" t="e" cm="1">
        <f t="array" aca="1" ref="BL214" ca="1">IF(INDIRECT(ADDRESS($B214+1,BL$164,1,1,"Confirmed Trend"))=0,#N/A,INDIRECT(ADDRESS($B214+1,BL$164,1,1,"Confirmed Trend")))</f>
        <v>#N/A</v>
      </c>
      <c r="BM214" s="18" t="e" cm="1">
        <f t="array" aca="1" ref="BM214" ca="1">IF(INDIRECT(ADDRESS($B214+1,BM$164,1,1,"Confirmed Trend"))=0,#N/A,INDIRECT(ADDRESS($B214+1,BM$164,1,1,"Confirmed Trend")))</f>
        <v>#N/A</v>
      </c>
      <c r="BN214" s="18" t="e" cm="1">
        <f t="array" aca="1" ref="BN214" ca="1">IF(INDIRECT(ADDRESS($B214+1,BN$164,1,1,"Confirmed Trend"))=0,#N/A,INDIRECT(ADDRESS($B214+1,BN$164,1,1,"Confirmed Trend")))</f>
        <v>#N/A</v>
      </c>
      <c r="BO214" s="18" t="e" cm="1">
        <f t="array" aca="1" ref="BO214" ca="1">IF(INDIRECT(ADDRESS($B214+1,BO$164,1,1,"Confirmed Trend"))=0,#N/A,INDIRECT(ADDRESS($B214+1,BO$164,1,1,"Confirmed Trend")))</f>
        <v>#N/A</v>
      </c>
      <c r="BP214" s="18" t="e" cm="1">
        <f t="array" aca="1" ref="BP214" ca="1">IF(INDIRECT(ADDRESS($B214+1,BP$164,1,1,"Confirmed Trend"))=0,#N/A,INDIRECT(ADDRESS($B214+1,BP$164,1,1,"Confirmed Trend")))</f>
        <v>#N/A</v>
      </c>
      <c r="BQ214" s="18" t="e" cm="1">
        <f t="array" aca="1" ref="BQ214" ca="1">IF(INDIRECT(ADDRESS($B214+1,BQ$164,1,1,"Confirmed Trend"))=0,#N/A,INDIRECT(ADDRESS($B214+1,BQ$164,1,1,"Confirmed Trend")))</f>
        <v>#N/A</v>
      </c>
      <c r="BR214" s="18" t="e" cm="1">
        <f t="array" aca="1" ref="BR214" ca="1">IF(INDIRECT(ADDRESS($B214+1,BR$164,1,1,"Confirmed Trend"))=0,#N/A,INDIRECT(ADDRESS($B214+1,BR$164,1,1,"Confirmed Trend")))</f>
        <v>#N/A</v>
      </c>
      <c r="BS214" s="18" t="e" cm="1">
        <f t="array" aca="1" ref="BS214" ca="1">IF(INDIRECT(ADDRESS($B214+1,BS$164,1,1,"Confirmed Trend"))=0,#N/A,INDIRECT(ADDRESS($B214+1,BS$164,1,1,"Confirmed Trend")))</f>
        <v>#N/A</v>
      </c>
      <c r="BT214" s="18" t="e" cm="1">
        <f t="array" aca="1" ref="BT214" ca="1">IF(INDIRECT(ADDRESS($B214+1,BT$164,1,1,"Confirmed Trend"))=0,#N/A,INDIRECT(ADDRESS($B214+1,BT$164,1,1,"Confirmed Trend")))</f>
        <v>#N/A</v>
      </c>
      <c r="BU214" s="18" t="e" cm="1">
        <f t="array" aca="1" ref="BU214" ca="1">IF(INDIRECT(ADDRESS($B214+1,BU$164,1,1,"Confirmed Trend"))=0,#N/A,INDIRECT(ADDRESS($B214+1,BU$164,1,1,"Confirmed Trend")))</f>
        <v>#N/A</v>
      </c>
      <c r="BV214" s="18" t="e" cm="1">
        <f t="array" aca="1" ref="BV214" ca="1">IF(INDIRECT(ADDRESS($B214+1,BV$164,1,1,"Confirmed Trend"))=0,#N/A,INDIRECT(ADDRESS($B214+1,BV$164,1,1,"Confirmed Trend")))</f>
        <v>#N/A</v>
      </c>
    </row>
    <row r="215" spans="2:74" x14ac:dyDescent="0.25">
      <c r="B215">
        <f t="shared" si="132"/>
        <v>50</v>
      </c>
      <c r="C215" cm="1">
        <f t="array" aca="1" ref="C215" ca="1">INDIRECT(ADDRESS($B215+1,1,1,1,"Confirmed Trend"))</f>
        <v>0</v>
      </c>
      <c r="E215" s="18" t="e" cm="1">
        <f t="array" aca="1" ref="E215" ca="1">IF(INDIRECT(ADDRESS($B215+1,E$164,1,1,"Confirmed Trend"))=0,#N/A,INDIRECT(ADDRESS($B215+1,E$164,1,1,"Confirmed Trend")))</f>
        <v>#N/A</v>
      </c>
      <c r="F215" s="18" t="e" cm="1">
        <f t="array" aca="1" ref="F215" ca="1">IF(INDIRECT(ADDRESS($B215+1,F$164,1,1,"Confirmed Trend"))=0,#N/A,INDIRECT(ADDRESS($B215+1,F$164,1,1,"Confirmed Trend")))</f>
        <v>#N/A</v>
      </c>
      <c r="G215" s="18" t="e" cm="1">
        <f t="array" aca="1" ref="G215" ca="1">IF(INDIRECT(ADDRESS($B215+1,G$164,1,1,"Confirmed Trend"))=0,#N/A,INDIRECT(ADDRESS($B215+1,G$164,1,1,"Confirmed Trend")))</f>
        <v>#N/A</v>
      </c>
      <c r="H215" s="18" t="e" cm="1">
        <f t="array" aca="1" ref="H215" ca="1">IF(INDIRECT(ADDRESS($B215+1,H$164,1,1,"Confirmed Trend"))=0,#N/A,INDIRECT(ADDRESS($B215+1,H$164,1,1,"Confirmed Trend")))</f>
        <v>#N/A</v>
      </c>
      <c r="I215" s="18" t="e" cm="1">
        <f t="array" aca="1" ref="I215" ca="1">IF(INDIRECT(ADDRESS($B215+1,I$164,1,1,"Confirmed Trend"))=0,#N/A,INDIRECT(ADDRESS($B215+1,I$164,1,1,"Confirmed Trend")))</f>
        <v>#N/A</v>
      </c>
      <c r="J215" s="18" t="e" cm="1">
        <f t="array" aca="1" ref="J215" ca="1">IF(INDIRECT(ADDRESS($B215+1,J$164,1,1,"Confirmed Trend"))=0,#N/A,INDIRECT(ADDRESS($B215+1,J$164,1,1,"Confirmed Trend")))</f>
        <v>#N/A</v>
      </c>
      <c r="K215" s="18" t="e" cm="1">
        <f t="array" aca="1" ref="K215" ca="1">IF(INDIRECT(ADDRESS($B215+1,K$164,1,1,"Confirmed Trend"))=0,#N/A,INDIRECT(ADDRESS($B215+1,K$164,1,1,"Confirmed Trend")))</f>
        <v>#N/A</v>
      </c>
      <c r="L215" s="18" t="e" cm="1">
        <f t="array" aca="1" ref="L215" ca="1">IF(INDIRECT(ADDRESS($B215+1,L$164,1,1,"Confirmed Trend"))=0,#N/A,INDIRECT(ADDRESS($B215+1,L$164,1,1,"Confirmed Trend")))</f>
        <v>#N/A</v>
      </c>
      <c r="M215" s="18" t="e" cm="1">
        <f t="array" aca="1" ref="M215" ca="1">IF(INDIRECT(ADDRESS($B215+1,M$164,1,1,"Confirmed Trend"))=0,#N/A,INDIRECT(ADDRESS($B215+1,M$164,1,1,"Confirmed Trend")))</f>
        <v>#N/A</v>
      </c>
      <c r="N215" s="18" t="e" cm="1">
        <f t="array" aca="1" ref="N215" ca="1">IF(INDIRECT(ADDRESS($B215+1,N$164,1,1,"Confirmed Trend"))=0,#N/A,INDIRECT(ADDRESS($B215+1,N$164,1,1,"Confirmed Trend")))</f>
        <v>#N/A</v>
      </c>
      <c r="O215" s="18" t="e" cm="1">
        <f t="array" aca="1" ref="O215" ca="1">IF(INDIRECT(ADDRESS($B215+1,O$164,1,1,"Confirmed Trend"))=0,#N/A,INDIRECT(ADDRESS($B215+1,O$164,1,1,"Confirmed Trend")))</f>
        <v>#N/A</v>
      </c>
      <c r="P215" s="18" t="e" cm="1">
        <f t="array" aca="1" ref="P215" ca="1">IF(INDIRECT(ADDRESS($B215+1,P$164,1,1,"Confirmed Trend"))=0,#N/A,INDIRECT(ADDRESS($B215+1,P$164,1,1,"Confirmed Trend")))</f>
        <v>#N/A</v>
      </c>
      <c r="Q215" s="18" t="e" cm="1">
        <f t="array" aca="1" ref="Q215" ca="1">IF(INDIRECT(ADDRESS($B215+1,Q$164,1,1,"Confirmed Trend"))=0,#N/A,INDIRECT(ADDRESS($B215+1,Q$164,1,1,"Confirmed Trend")))</f>
        <v>#N/A</v>
      </c>
      <c r="R215" s="18" t="e" cm="1">
        <f t="array" aca="1" ref="R215" ca="1">IF(INDIRECT(ADDRESS($B215+1,R$164,1,1,"Confirmed Trend"))=0,#N/A,INDIRECT(ADDRESS($B215+1,R$164,1,1,"Confirmed Trend")))</f>
        <v>#N/A</v>
      </c>
      <c r="S215" s="18" t="e" cm="1">
        <f t="array" aca="1" ref="S215" ca="1">IF(INDIRECT(ADDRESS($B215+1,S$164,1,1,"Confirmed Trend"))=0,#N/A,INDIRECT(ADDRESS($B215+1,S$164,1,1,"Confirmed Trend")))</f>
        <v>#N/A</v>
      </c>
      <c r="T215" s="18" t="e" cm="1">
        <f t="array" aca="1" ref="T215" ca="1">IF(INDIRECT(ADDRESS($B215+1,T$164,1,1,"Confirmed Trend"))=0,#N/A,INDIRECT(ADDRESS($B215+1,T$164,1,1,"Confirmed Trend")))</f>
        <v>#N/A</v>
      </c>
      <c r="U215" s="18" t="e" cm="1">
        <f t="array" aca="1" ref="U215" ca="1">IF(INDIRECT(ADDRESS($B215+1,U$164,1,1,"Confirmed Trend"))=0,#N/A,INDIRECT(ADDRESS($B215+1,U$164,1,1,"Confirmed Trend")))</f>
        <v>#N/A</v>
      </c>
      <c r="V215" s="18" t="e" cm="1">
        <f t="array" aca="1" ref="V215" ca="1">IF(INDIRECT(ADDRESS($B215+1,V$164,1,1,"Confirmed Trend"))=0,#N/A,INDIRECT(ADDRESS($B215+1,V$164,1,1,"Confirmed Trend")))</f>
        <v>#N/A</v>
      </c>
      <c r="W215" s="18" t="e" cm="1">
        <f t="array" aca="1" ref="W215" ca="1">IF(INDIRECT(ADDRESS($B215+1,W$164,1,1,"Confirmed Trend"))=0,#N/A,INDIRECT(ADDRESS($B215+1,W$164,1,1,"Confirmed Trend")))</f>
        <v>#N/A</v>
      </c>
      <c r="X215" s="18" t="e" cm="1">
        <f t="array" aca="1" ref="X215" ca="1">IF(INDIRECT(ADDRESS($B215+1,X$164,1,1,"Confirmed Trend"))=0,#N/A,INDIRECT(ADDRESS($B215+1,X$164,1,1,"Confirmed Trend")))</f>
        <v>#N/A</v>
      </c>
      <c r="Y215" s="18" t="e" cm="1">
        <f t="array" aca="1" ref="Y215" ca="1">IF(INDIRECT(ADDRESS($B215+1,Y$164,1,1,"Confirmed Trend"))=0,#N/A,INDIRECT(ADDRESS($B215+1,Y$164,1,1,"Confirmed Trend")))</f>
        <v>#N/A</v>
      </c>
      <c r="Z215" s="18" t="e" cm="1">
        <f t="array" aca="1" ref="Z215" ca="1">IF(INDIRECT(ADDRESS($B215+1,Z$164,1,1,"Confirmed Trend"))=0,#N/A,INDIRECT(ADDRESS($B215+1,Z$164,1,1,"Confirmed Trend")))</f>
        <v>#N/A</v>
      </c>
      <c r="AA215" s="18" t="e" cm="1">
        <f t="array" aca="1" ref="AA215" ca="1">IF(INDIRECT(ADDRESS($B215+1,AA$164,1,1,"Confirmed Trend"))=0,#N/A,INDIRECT(ADDRESS($B215+1,AA$164,1,1,"Confirmed Trend")))</f>
        <v>#N/A</v>
      </c>
      <c r="AB215" s="18" t="e" cm="1">
        <f t="array" aca="1" ref="AB215" ca="1">IF(INDIRECT(ADDRESS($B215+1,AB$164,1,1,"Confirmed Trend"))=0,#N/A,INDIRECT(ADDRESS($B215+1,AB$164,1,1,"Confirmed Trend")))</f>
        <v>#N/A</v>
      </c>
      <c r="AC215" s="18" t="e" cm="1">
        <f t="array" aca="1" ref="AC215" ca="1">IF(INDIRECT(ADDRESS($B215+1,AC$164,1,1,"Confirmed Trend"))=0,#N/A,INDIRECT(ADDRESS($B215+1,AC$164,1,1,"Confirmed Trend")))</f>
        <v>#N/A</v>
      </c>
      <c r="AD215" s="18" t="e" cm="1">
        <f t="array" aca="1" ref="AD215" ca="1">IF(INDIRECT(ADDRESS($B215+1,AD$164,1,1,"Confirmed Trend"))=0,#N/A,INDIRECT(ADDRESS($B215+1,AD$164,1,1,"Confirmed Trend")))</f>
        <v>#N/A</v>
      </c>
      <c r="AE215" s="18" t="e" cm="1">
        <f t="array" aca="1" ref="AE215" ca="1">IF(INDIRECT(ADDRESS($B215+1,AE$164,1,1,"Confirmed Trend"))=0,#N/A,INDIRECT(ADDRESS($B215+1,AE$164,1,1,"Confirmed Trend")))</f>
        <v>#N/A</v>
      </c>
      <c r="AF215" s="18" t="e" cm="1">
        <f t="array" aca="1" ref="AF215" ca="1">IF(INDIRECT(ADDRESS($B215+1,AF$164,1,1,"Confirmed Trend"))=0,#N/A,INDIRECT(ADDRESS($B215+1,AF$164,1,1,"Confirmed Trend")))</f>
        <v>#N/A</v>
      </c>
      <c r="AG215" s="18" t="e" cm="1">
        <f t="array" aca="1" ref="AG215" ca="1">IF(INDIRECT(ADDRESS($B215+1,AG$164,1,1,"Confirmed Trend"))=0,#N/A,INDIRECT(ADDRESS($B215+1,AG$164,1,1,"Confirmed Trend")))</f>
        <v>#N/A</v>
      </c>
      <c r="AH215" s="18" t="e" cm="1">
        <f t="array" aca="1" ref="AH215" ca="1">IF(INDIRECT(ADDRESS($B215+1,AH$164,1,1,"Confirmed Trend"))=0,#N/A,INDIRECT(ADDRESS($B215+1,AH$164,1,1,"Confirmed Trend")))</f>
        <v>#N/A</v>
      </c>
      <c r="AI215" s="18" t="e" cm="1">
        <f t="array" aca="1" ref="AI215" ca="1">IF(INDIRECT(ADDRESS($B215+1,AI$164,1,1,"Confirmed Trend"))=0,#N/A,INDIRECT(ADDRESS($B215+1,AI$164,1,1,"Confirmed Trend")))</f>
        <v>#N/A</v>
      </c>
      <c r="AJ215" s="18" t="e" cm="1">
        <f t="array" aca="1" ref="AJ215" ca="1">IF(INDIRECT(ADDRESS($B215+1,AJ$164,1,1,"Confirmed Trend"))=0,#N/A,INDIRECT(ADDRESS($B215+1,AJ$164,1,1,"Confirmed Trend")))</f>
        <v>#N/A</v>
      </c>
      <c r="AK215" s="18" t="e" cm="1">
        <f t="array" aca="1" ref="AK215" ca="1">IF(INDIRECT(ADDRESS($B215+1,AK$164,1,1,"Confirmed Trend"))=0,#N/A,INDIRECT(ADDRESS($B215+1,AK$164,1,1,"Confirmed Trend")))</f>
        <v>#N/A</v>
      </c>
      <c r="AL215" s="18" t="e" cm="1">
        <f t="array" aca="1" ref="AL215" ca="1">IF(INDIRECT(ADDRESS($B215+1,AL$164,1,1,"Confirmed Trend"))=0,#N/A,INDIRECT(ADDRESS($B215+1,AL$164,1,1,"Confirmed Trend")))</f>
        <v>#N/A</v>
      </c>
      <c r="AM215" s="18" t="e" cm="1">
        <f t="array" aca="1" ref="AM215" ca="1">IF(INDIRECT(ADDRESS($B215+1,AM$164,1,1,"Confirmed Trend"))=0,#N/A,INDIRECT(ADDRESS($B215+1,AM$164,1,1,"Confirmed Trend")))</f>
        <v>#N/A</v>
      </c>
      <c r="AN215" s="18" t="e" cm="1">
        <f t="array" aca="1" ref="AN215" ca="1">IF(INDIRECT(ADDRESS($B215+1,AN$164,1,1,"Confirmed Trend"))=0,#N/A,INDIRECT(ADDRESS($B215+1,AN$164,1,1,"Confirmed Trend")))</f>
        <v>#N/A</v>
      </c>
      <c r="AO215" s="18" t="e" cm="1">
        <f t="array" aca="1" ref="AO215" ca="1">IF(INDIRECT(ADDRESS($B215+1,AO$164,1,1,"Confirmed Trend"))=0,#N/A,INDIRECT(ADDRESS($B215+1,AO$164,1,1,"Confirmed Trend")))</f>
        <v>#N/A</v>
      </c>
      <c r="AP215" s="18" t="e" cm="1">
        <f t="array" aca="1" ref="AP215" ca="1">IF(INDIRECT(ADDRESS($B215+1,AP$164,1,1,"Confirmed Trend"))=0,#N/A,INDIRECT(ADDRESS($B215+1,AP$164,1,1,"Confirmed Trend")))</f>
        <v>#N/A</v>
      </c>
      <c r="AQ215" s="18" t="e" cm="1">
        <f t="array" aca="1" ref="AQ215" ca="1">IF(INDIRECT(ADDRESS($B215+1,AQ$164,1,1,"Confirmed Trend"))=0,#N/A,INDIRECT(ADDRESS($B215+1,AQ$164,1,1,"Confirmed Trend")))</f>
        <v>#N/A</v>
      </c>
      <c r="AR215" s="18" t="e" cm="1">
        <f t="array" aca="1" ref="AR215" ca="1">IF(INDIRECT(ADDRESS($B215+1,AR$164,1,1,"Confirmed Trend"))=0,#N/A,INDIRECT(ADDRESS($B215+1,AR$164,1,1,"Confirmed Trend")))</f>
        <v>#N/A</v>
      </c>
      <c r="AS215" s="18" t="e" cm="1">
        <f t="array" aca="1" ref="AS215" ca="1">IF(INDIRECT(ADDRESS($B215+1,AS$164,1,1,"Confirmed Trend"))=0,#N/A,INDIRECT(ADDRESS($B215+1,AS$164,1,1,"Confirmed Trend")))</f>
        <v>#N/A</v>
      </c>
      <c r="AT215" s="18" t="e" cm="1">
        <f t="array" aca="1" ref="AT215" ca="1">IF(INDIRECT(ADDRESS($B215+1,AT$164,1,1,"Confirmed Trend"))=0,#N/A,INDIRECT(ADDRESS($B215+1,AT$164,1,1,"Confirmed Trend")))</f>
        <v>#N/A</v>
      </c>
      <c r="AU215" s="18" t="e" cm="1">
        <f t="array" aca="1" ref="AU215" ca="1">IF(INDIRECT(ADDRESS($B215+1,AU$164,1,1,"Confirmed Trend"))=0,#N/A,INDIRECT(ADDRESS($B215+1,AU$164,1,1,"Confirmed Trend")))</f>
        <v>#N/A</v>
      </c>
      <c r="AV215" s="18" t="e" cm="1">
        <f t="array" aca="1" ref="AV215" ca="1">IF(INDIRECT(ADDRESS($B215+1,AV$164,1,1,"Confirmed Trend"))=0,#N/A,INDIRECT(ADDRESS($B215+1,AV$164,1,1,"Confirmed Trend")))</f>
        <v>#N/A</v>
      </c>
      <c r="AW215" s="18" t="e" cm="1">
        <f t="array" aca="1" ref="AW215" ca="1">IF(INDIRECT(ADDRESS($B215+1,AW$164,1,1,"Confirmed Trend"))=0,#N/A,INDIRECT(ADDRESS($B215+1,AW$164,1,1,"Confirmed Trend")))</f>
        <v>#N/A</v>
      </c>
      <c r="AX215" s="18" t="e" cm="1">
        <f t="array" aca="1" ref="AX215" ca="1">IF(INDIRECT(ADDRESS($B215+1,AX$164,1,1,"Confirmed Trend"))=0,#N/A,INDIRECT(ADDRESS($B215+1,AX$164,1,1,"Confirmed Trend")))</f>
        <v>#N/A</v>
      </c>
      <c r="AY215" s="18" t="e" cm="1">
        <f t="array" aca="1" ref="AY215" ca="1">IF(INDIRECT(ADDRESS($B215+1,AY$164,1,1,"Confirmed Trend"))=0,#N/A,INDIRECT(ADDRESS($B215+1,AY$164,1,1,"Confirmed Trend")))</f>
        <v>#N/A</v>
      </c>
      <c r="AZ215" s="18" t="e" cm="1">
        <f t="array" aca="1" ref="AZ215" ca="1">IF(INDIRECT(ADDRESS($B215+1,AZ$164,1,1,"Confirmed Trend"))=0,#N/A,INDIRECT(ADDRESS($B215+1,AZ$164,1,1,"Confirmed Trend")))</f>
        <v>#N/A</v>
      </c>
      <c r="BA215" s="18" t="e" cm="1">
        <f t="array" aca="1" ref="BA215" ca="1">IF(INDIRECT(ADDRESS($B215+1,BA$164,1,1,"Confirmed Trend"))=0,#N/A,INDIRECT(ADDRESS($B215+1,BA$164,1,1,"Confirmed Trend")))</f>
        <v>#N/A</v>
      </c>
      <c r="BB215" s="18" t="e" cm="1">
        <f t="array" aca="1" ref="BB215" ca="1">IF(INDIRECT(ADDRESS($B215+1,BB$164,1,1,"Confirmed Trend"))=0,#N/A,INDIRECT(ADDRESS($B215+1,BB$164,1,1,"Confirmed Trend")))</f>
        <v>#N/A</v>
      </c>
      <c r="BC215" s="18" t="e" cm="1">
        <f t="array" aca="1" ref="BC215" ca="1">IF(INDIRECT(ADDRESS($B215+1,BC$164,1,1,"Confirmed Trend"))=0,#N/A,INDIRECT(ADDRESS($B215+1,BC$164,1,1,"Confirmed Trend")))</f>
        <v>#N/A</v>
      </c>
      <c r="BD215" s="18" t="e" cm="1">
        <f t="array" aca="1" ref="BD215" ca="1">IF(INDIRECT(ADDRESS($B215+1,BD$164,1,1,"Confirmed Trend"))=0,#N/A,INDIRECT(ADDRESS($B215+1,BD$164,1,1,"Confirmed Trend")))</f>
        <v>#N/A</v>
      </c>
      <c r="BE215" s="18" t="e" cm="1">
        <f t="array" aca="1" ref="BE215" ca="1">IF(INDIRECT(ADDRESS($B215+1,BE$164,1,1,"Confirmed Trend"))=0,#N/A,INDIRECT(ADDRESS($B215+1,BE$164,1,1,"Confirmed Trend")))</f>
        <v>#N/A</v>
      </c>
      <c r="BF215" s="18" t="e" cm="1">
        <f t="array" aca="1" ref="BF215" ca="1">IF(INDIRECT(ADDRESS($B215+1,BF$164,1,1,"Confirmed Trend"))=0,#N/A,INDIRECT(ADDRESS($B215+1,BF$164,1,1,"Confirmed Trend")))</f>
        <v>#N/A</v>
      </c>
      <c r="BG215" s="18" t="e" cm="1">
        <f t="array" aca="1" ref="BG215" ca="1">IF(INDIRECT(ADDRESS($B215+1,BG$164,1,1,"Confirmed Trend"))=0,#N/A,INDIRECT(ADDRESS($B215+1,BG$164,1,1,"Confirmed Trend")))</f>
        <v>#N/A</v>
      </c>
      <c r="BH215" s="18" t="e" cm="1">
        <f t="array" aca="1" ref="BH215" ca="1">IF(INDIRECT(ADDRESS($B215+1,BH$164,1,1,"Confirmed Trend"))=0,#N/A,INDIRECT(ADDRESS($B215+1,BH$164,1,1,"Confirmed Trend")))</f>
        <v>#N/A</v>
      </c>
      <c r="BI215" s="18" t="e" cm="1">
        <f t="array" aca="1" ref="BI215" ca="1">IF(INDIRECT(ADDRESS($B215+1,BI$164,1,1,"Confirmed Trend"))=0,#N/A,INDIRECT(ADDRESS($B215+1,BI$164,1,1,"Confirmed Trend")))</f>
        <v>#N/A</v>
      </c>
      <c r="BJ215" s="18" t="e" cm="1">
        <f t="array" aca="1" ref="BJ215" ca="1">IF(INDIRECT(ADDRESS($B215+1,BJ$164,1,1,"Confirmed Trend"))=0,#N/A,INDIRECT(ADDRESS($B215+1,BJ$164,1,1,"Confirmed Trend")))</f>
        <v>#N/A</v>
      </c>
      <c r="BK215" s="18" t="e" cm="1">
        <f t="array" aca="1" ref="BK215" ca="1">IF(INDIRECT(ADDRESS($B215+1,BK$164,1,1,"Confirmed Trend"))=0,#N/A,INDIRECT(ADDRESS($B215+1,BK$164,1,1,"Confirmed Trend")))</f>
        <v>#N/A</v>
      </c>
      <c r="BL215" s="18" t="e" cm="1">
        <f t="array" aca="1" ref="BL215" ca="1">IF(INDIRECT(ADDRESS($B215+1,BL$164,1,1,"Confirmed Trend"))=0,#N/A,INDIRECT(ADDRESS($B215+1,BL$164,1,1,"Confirmed Trend")))</f>
        <v>#N/A</v>
      </c>
      <c r="BM215" s="18" t="e" cm="1">
        <f t="array" aca="1" ref="BM215" ca="1">IF(INDIRECT(ADDRESS($B215+1,BM$164,1,1,"Confirmed Trend"))=0,#N/A,INDIRECT(ADDRESS($B215+1,BM$164,1,1,"Confirmed Trend")))</f>
        <v>#N/A</v>
      </c>
      <c r="BN215" s="18" t="e" cm="1">
        <f t="array" aca="1" ref="BN215" ca="1">IF(INDIRECT(ADDRESS($B215+1,BN$164,1,1,"Confirmed Trend"))=0,#N/A,INDIRECT(ADDRESS($B215+1,BN$164,1,1,"Confirmed Trend")))</f>
        <v>#N/A</v>
      </c>
      <c r="BO215" s="18" t="e" cm="1">
        <f t="array" aca="1" ref="BO215" ca="1">IF(INDIRECT(ADDRESS($B215+1,BO$164,1,1,"Confirmed Trend"))=0,#N/A,INDIRECT(ADDRESS($B215+1,BO$164,1,1,"Confirmed Trend")))</f>
        <v>#N/A</v>
      </c>
      <c r="BP215" s="18" t="e" cm="1">
        <f t="array" aca="1" ref="BP215" ca="1">IF(INDIRECT(ADDRESS($B215+1,BP$164,1,1,"Confirmed Trend"))=0,#N/A,INDIRECT(ADDRESS($B215+1,BP$164,1,1,"Confirmed Trend")))</f>
        <v>#N/A</v>
      </c>
      <c r="BQ215" s="18" t="e" cm="1">
        <f t="array" aca="1" ref="BQ215" ca="1">IF(INDIRECT(ADDRESS($B215+1,BQ$164,1,1,"Confirmed Trend"))=0,#N/A,INDIRECT(ADDRESS($B215+1,BQ$164,1,1,"Confirmed Trend")))</f>
        <v>#N/A</v>
      </c>
      <c r="BR215" s="18" t="e" cm="1">
        <f t="array" aca="1" ref="BR215" ca="1">IF(INDIRECT(ADDRESS($B215+1,BR$164,1,1,"Confirmed Trend"))=0,#N/A,INDIRECT(ADDRESS($B215+1,BR$164,1,1,"Confirmed Trend")))</f>
        <v>#N/A</v>
      </c>
      <c r="BS215" s="18" t="e" cm="1">
        <f t="array" aca="1" ref="BS215" ca="1">IF(INDIRECT(ADDRESS($B215+1,BS$164,1,1,"Confirmed Trend"))=0,#N/A,INDIRECT(ADDRESS($B215+1,BS$164,1,1,"Confirmed Trend")))</f>
        <v>#N/A</v>
      </c>
      <c r="BT215" s="18" t="e" cm="1">
        <f t="array" aca="1" ref="BT215" ca="1">IF(INDIRECT(ADDRESS($B215+1,BT$164,1,1,"Confirmed Trend"))=0,#N/A,INDIRECT(ADDRESS($B215+1,BT$164,1,1,"Confirmed Trend")))</f>
        <v>#N/A</v>
      </c>
      <c r="BU215" s="18" t="e" cm="1">
        <f t="array" aca="1" ref="BU215" ca="1">IF(INDIRECT(ADDRESS($B215+1,BU$164,1,1,"Confirmed Trend"))=0,#N/A,INDIRECT(ADDRESS($B215+1,BU$164,1,1,"Confirmed Trend")))</f>
        <v>#N/A</v>
      </c>
      <c r="BV215" s="18" t="e" cm="1">
        <f t="array" aca="1" ref="BV215" ca="1">IF(INDIRECT(ADDRESS($B215+1,BV$164,1,1,"Confirmed Trend"))=0,#N/A,INDIRECT(ADDRESS($B215+1,BV$164,1,1,"Confirmed Trend")))</f>
        <v>#N/A</v>
      </c>
    </row>
    <row r="216" spans="2:74" x14ac:dyDescent="0.25">
      <c r="B216">
        <f t="shared" si="132"/>
        <v>51</v>
      </c>
      <c r="C216" cm="1">
        <f t="array" aca="1" ref="C216" ca="1">INDIRECT(ADDRESS($B216+1,1,1,1,"Confirmed Trend"))</f>
        <v>0</v>
      </c>
      <c r="E216" s="18" t="e" cm="1">
        <f t="array" aca="1" ref="E216" ca="1">IF(INDIRECT(ADDRESS($B216+1,E$164,1,1,"Confirmed Trend"))=0,#N/A,INDIRECT(ADDRESS($B216+1,E$164,1,1,"Confirmed Trend")))</f>
        <v>#N/A</v>
      </c>
      <c r="F216" s="18" t="e" cm="1">
        <f t="array" aca="1" ref="F216" ca="1">IF(INDIRECT(ADDRESS($B216+1,F$164,1,1,"Confirmed Trend"))=0,#N/A,INDIRECT(ADDRESS($B216+1,F$164,1,1,"Confirmed Trend")))</f>
        <v>#N/A</v>
      </c>
      <c r="G216" s="18" t="e" cm="1">
        <f t="array" aca="1" ref="G216" ca="1">IF(INDIRECT(ADDRESS($B216+1,G$164,1,1,"Confirmed Trend"))=0,#N/A,INDIRECT(ADDRESS($B216+1,G$164,1,1,"Confirmed Trend")))</f>
        <v>#N/A</v>
      </c>
      <c r="H216" s="18" t="e" cm="1">
        <f t="array" aca="1" ref="H216" ca="1">IF(INDIRECT(ADDRESS($B216+1,H$164,1,1,"Confirmed Trend"))=0,#N/A,INDIRECT(ADDRESS($B216+1,H$164,1,1,"Confirmed Trend")))</f>
        <v>#N/A</v>
      </c>
      <c r="I216" s="18" t="e" cm="1">
        <f t="array" aca="1" ref="I216" ca="1">IF(INDIRECT(ADDRESS($B216+1,I$164,1,1,"Confirmed Trend"))=0,#N/A,INDIRECT(ADDRESS($B216+1,I$164,1,1,"Confirmed Trend")))</f>
        <v>#N/A</v>
      </c>
      <c r="J216" s="18" t="e" cm="1">
        <f t="array" aca="1" ref="J216" ca="1">IF(INDIRECT(ADDRESS($B216+1,J$164,1,1,"Confirmed Trend"))=0,#N/A,INDIRECT(ADDRESS($B216+1,J$164,1,1,"Confirmed Trend")))</f>
        <v>#N/A</v>
      </c>
      <c r="K216" s="18" t="e" cm="1">
        <f t="array" aca="1" ref="K216" ca="1">IF(INDIRECT(ADDRESS($B216+1,K$164,1,1,"Confirmed Trend"))=0,#N/A,INDIRECT(ADDRESS($B216+1,K$164,1,1,"Confirmed Trend")))</f>
        <v>#N/A</v>
      </c>
      <c r="L216" s="18" t="e" cm="1">
        <f t="array" aca="1" ref="L216" ca="1">IF(INDIRECT(ADDRESS($B216+1,L$164,1,1,"Confirmed Trend"))=0,#N/A,INDIRECT(ADDRESS($B216+1,L$164,1,1,"Confirmed Trend")))</f>
        <v>#N/A</v>
      </c>
      <c r="M216" s="18" t="e" cm="1">
        <f t="array" aca="1" ref="M216" ca="1">IF(INDIRECT(ADDRESS($B216+1,M$164,1,1,"Confirmed Trend"))=0,#N/A,INDIRECT(ADDRESS($B216+1,M$164,1,1,"Confirmed Trend")))</f>
        <v>#N/A</v>
      </c>
      <c r="N216" s="18" t="e" cm="1">
        <f t="array" aca="1" ref="N216" ca="1">IF(INDIRECT(ADDRESS($B216+1,N$164,1,1,"Confirmed Trend"))=0,#N/A,INDIRECT(ADDRESS($B216+1,N$164,1,1,"Confirmed Trend")))</f>
        <v>#N/A</v>
      </c>
      <c r="O216" s="18" t="e" cm="1">
        <f t="array" aca="1" ref="O216" ca="1">IF(INDIRECT(ADDRESS($B216+1,O$164,1,1,"Confirmed Trend"))=0,#N/A,INDIRECT(ADDRESS($B216+1,O$164,1,1,"Confirmed Trend")))</f>
        <v>#N/A</v>
      </c>
      <c r="P216" s="18" t="e" cm="1">
        <f t="array" aca="1" ref="P216" ca="1">IF(INDIRECT(ADDRESS($B216+1,P$164,1,1,"Confirmed Trend"))=0,#N/A,INDIRECT(ADDRESS($B216+1,P$164,1,1,"Confirmed Trend")))</f>
        <v>#N/A</v>
      </c>
      <c r="Q216" s="18" t="e" cm="1">
        <f t="array" aca="1" ref="Q216" ca="1">IF(INDIRECT(ADDRESS($B216+1,Q$164,1,1,"Confirmed Trend"))=0,#N/A,INDIRECT(ADDRESS($B216+1,Q$164,1,1,"Confirmed Trend")))</f>
        <v>#N/A</v>
      </c>
      <c r="R216" s="18" t="e" cm="1">
        <f t="array" aca="1" ref="R216" ca="1">IF(INDIRECT(ADDRESS($B216+1,R$164,1,1,"Confirmed Trend"))=0,#N/A,INDIRECT(ADDRESS($B216+1,R$164,1,1,"Confirmed Trend")))</f>
        <v>#N/A</v>
      </c>
      <c r="S216" s="18" t="e" cm="1">
        <f t="array" aca="1" ref="S216" ca="1">IF(INDIRECT(ADDRESS($B216+1,S$164,1,1,"Confirmed Trend"))=0,#N/A,INDIRECT(ADDRESS($B216+1,S$164,1,1,"Confirmed Trend")))</f>
        <v>#N/A</v>
      </c>
      <c r="T216" s="18" t="e" cm="1">
        <f t="array" aca="1" ref="T216" ca="1">IF(INDIRECT(ADDRESS($B216+1,T$164,1,1,"Confirmed Trend"))=0,#N/A,INDIRECT(ADDRESS($B216+1,T$164,1,1,"Confirmed Trend")))</f>
        <v>#N/A</v>
      </c>
      <c r="U216" s="18" t="e" cm="1">
        <f t="array" aca="1" ref="U216" ca="1">IF(INDIRECT(ADDRESS($B216+1,U$164,1,1,"Confirmed Trend"))=0,#N/A,INDIRECT(ADDRESS($B216+1,U$164,1,1,"Confirmed Trend")))</f>
        <v>#N/A</v>
      </c>
      <c r="V216" s="18" t="e" cm="1">
        <f t="array" aca="1" ref="V216" ca="1">IF(INDIRECT(ADDRESS($B216+1,V$164,1,1,"Confirmed Trend"))=0,#N/A,INDIRECT(ADDRESS($B216+1,V$164,1,1,"Confirmed Trend")))</f>
        <v>#N/A</v>
      </c>
      <c r="W216" s="18" t="e" cm="1">
        <f t="array" aca="1" ref="W216" ca="1">IF(INDIRECT(ADDRESS($B216+1,W$164,1,1,"Confirmed Trend"))=0,#N/A,INDIRECT(ADDRESS($B216+1,W$164,1,1,"Confirmed Trend")))</f>
        <v>#N/A</v>
      </c>
      <c r="X216" s="18" t="e" cm="1">
        <f t="array" aca="1" ref="X216" ca="1">IF(INDIRECT(ADDRESS($B216+1,X$164,1,1,"Confirmed Trend"))=0,#N/A,INDIRECT(ADDRESS($B216+1,X$164,1,1,"Confirmed Trend")))</f>
        <v>#N/A</v>
      </c>
      <c r="Y216" s="18" t="e" cm="1">
        <f t="array" aca="1" ref="Y216" ca="1">IF(INDIRECT(ADDRESS($B216+1,Y$164,1,1,"Confirmed Trend"))=0,#N/A,INDIRECT(ADDRESS($B216+1,Y$164,1,1,"Confirmed Trend")))</f>
        <v>#N/A</v>
      </c>
      <c r="Z216" s="18" t="e" cm="1">
        <f t="array" aca="1" ref="Z216" ca="1">IF(INDIRECT(ADDRESS($B216+1,Z$164,1,1,"Confirmed Trend"))=0,#N/A,INDIRECT(ADDRESS($B216+1,Z$164,1,1,"Confirmed Trend")))</f>
        <v>#N/A</v>
      </c>
      <c r="AA216" s="18" t="e" cm="1">
        <f t="array" aca="1" ref="AA216" ca="1">IF(INDIRECT(ADDRESS($B216+1,AA$164,1,1,"Confirmed Trend"))=0,#N/A,INDIRECT(ADDRESS($B216+1,AA$164,1,1,"Confirmed Trend")))</f>
        <v>#N/A</v>
      </c>
      <c r="AB216" s="18" t="e" cm="1">
        <f t="array" aca="1" ref="AB216" ca="1">IF(INDIRECT(ADDRESS($B216+1,AB$164,1,1,"Confirmed Trend"))=0,#N/A,INDIRECT(ADDRESS($B216+1,AB$164,1,1,"Confirmed Trend")))</f>
        <v>#N/A</v>
      </c>
      <c r="AC216" s="18" t="e" cm="1">
        <f t="array" aca="1" ref="AC216" ca="1">IF(INDIRECT(ADDRESS($B216+1,AC$164,1,1,"Confirmed Trend"))=0,#N/A,INDIRECT(ADDRESS($B216+1,AC$164,1,1,"Confirmed Trend")))</f>
        <v>#N/A</v>
      </c>
      <c r="AD216" s="18" t="e" cm="1">
        <f t="array" aca="1" ref="AD216" ca="1">IF(INDIRECT(ADDRESS($B216+1,AD$164,1,1,"Confirmed Trend"))=0,#N/A,INDIRECT(ADDRESS($B216+1,AD$164,1,1,"Confirmed Trend")))</f>
        <v>#N/A</v>
      </c>
      <c r="AE216" s="18" t="e" cm="1">
        <f t="array" aca="1" ref="AE216" ca="1">IF(INDIRECT(ADDRESS($B216+1,AE$164,1,1,"Confirmed Trend"))=0,#N/A,INDIRECT(ADDRESS($B216+1,AE$164,1,1,"Confirmed Trend")))</f>
        <v>#N/A</v>
      </c>
      <c r="AF216" s="18" t="e" cm="1">
        <f t="array" aca="1" ref="AF216" ca="1">IF(INDIRECT(ADDRESS($B216+1,AF$164,1,1,"Confirmed Trend"))=0,#N/A,INDIRECT(ADDRESS($B216+1,AF$164,1,1,"Confirmed Trend")))</f>
        <v>#N/A</v>
      </c>
      <c r="AG216" s="18" t="e" cm="1">
        <f t="array" aca="1" ref="AG216" ca="1">IF(INDIRECT(ADDRESS($B216+1,AG$164,1,1,"Confirmed Trend"))=0,#N/A,INDIRECT(ADDRESS($B216+1,AG$164,1,1,"Confirmed Trend")))</f>
        <v>#N/A</v>
      </c>
      <c r="AH216" s="18" t="e" cm="1">
        <f t="array" aca="1" ref="AH216" ca="1">IF(INDIRECT(ADDRESS($B216+1,AH$164,1,1,"Confirmed Trend"))=0,#N/A,INDIRECT(ADDRESS($B216+1,AH$164,1,1,"Confirmed Trend")))</f>
        <v>#N/A</v>
      </c>
      <c r="AI216" s="18" t="e" cm="1">
        <f t="array" aca="1" ref="AI216" ca="1">IF(INDIRECT(ADDRESS($B216+1,AI$164,1,1,"Confirmed Trend"))=0,#N/A,INDIRECT(ADDRESS($B216+1,AI$164,1,1,"Confirmed Trend")))</f>
        <v>#N/A</v>
      </c>
      <c r="AJ216" s="18" t="e" cm="1">
        <f t="array" aca="1" ref="AJ216" ca="1">IF(INDIRECT(ADDRESS($B216+1,AJ$164,1,1,"Confirmed Trend"))=0,#N/A,INDIRECT(ADDRESS($B216+1,AJ$164,1,1,"Confirmed Trend")))</f>
        <v>#N/A</v>
      </c>
      <c r="AK216" s="18" t="e" cm="1">
        <f t="array" aca="1" ref="AK216" ca="1">IF(INDIRECT(ADDRESS($B216+1,AK$164,1,1,"Confirmed Trend"))=0,#N/A,INDIRECT(ADDRESS($B216+1,AK$164,1,1,"Confirmed Trend")))</f>
        <v>#N/A</v>
      </c>
      <c r="AL216" s="18" t="e" cm="1">
        <f t="array" aca="1" ref="AL216" ca="1">IF(INDIRECT(ADDRESS($B216+1,AL$164,1,1,"Confirmed Trend"))=0,#N/A,INDIRECT(ADDRESS($B216+1,AL$164,1,1,"Confirmed Trend")))</f>
        <v>#N/A</v>
      </c>
      <c r="AM216" s="18" t="e" cm="1">
        <f t="array" aca="1" ref="AM216" ca="1">IF(INDIRECT(ADDRESS($B216+1,AM$164,1,1,"Confirmed Trend"))=0,#N/A,INDIRECT(ADDRESS($B216+1,AM$164,1,1,"Confirmed Trend")))</f>
        <v>#N/A</v>
      </c>
      <c r="AN216" s="18" t="e" cm="1">
        <f t="array" aca="1" ref="AN216" ca="1">IF(INDIRECT(ADDRESS($B216+1,AN$164,1,1,"Confirmed Trend"))=0,#N/A,INDIRECT(ADDRESS($B216+1,AN$164,1,1,"Confirmed Trend")))</f>
        <v>#N/A</v>
      </c>
      <c r="AO216" s="18" t="e" cm="1">
        <f t="array" aca="1" ref="AO216" ca="1">IF(INDIRECT(ADDRESS($B216+1,AO$164,1,1,"Confirmed Trend"))=0,#N/A,INDIRECT(ADDRESS($B216+1,AO$164,1,1,"Confirmed Trend")))</f>
        <v>#N/A</v>
      </c>
      <c r="AP216" s="18" t="e" cm="1">
        <f t="array" aca="1" ref="AP216" ca="1">IF(INDIRECT(ADDRESS($B216+1,AP$164,1,1,"Confirmed Trend"))=0,#N/A,INDIRECT(ADDRESS($B216+1,AP$164,1,1,"Confirmed Trend")))</f>
        <v>#N/A</v>
      </c>
      <c r="AQ216" s="18" t="e" cm="1">
        <f t="array" aca="1" ref="AQ216" ca="1">IF(INDIRECT(ADDRESS($B216+1,AQ$164,1,1,"Confirmed Trend"))=0,#N/A,INDIRECT(ADDRESS($B216+1,AQ$164,1,1,"Confirmed Trend")))</f>
        <v>#N/A</v>
      </c>
      <c r="AR216" s="18" t="e" cm="1">
        <f t="array" aca="1" ref="AR216" ca="1">IF(INDIRECT(ADDRESS($B216+1,AR$164,1,1,"Confirmed Trend"))=0,#N/A,INDIRECT(ADDRESS($B216+1,AR$164,1,1,"Confirmed Trend")))</f>
        <v>#N/A</v>
      </c>
      <c r="AS216" s="18" t="e" cm="1">
        <f t="array" aca="1" ref="AS216" ca="1">IF(INDIRECT(ADDRESS($B216+1,AS$164,1,1,"Confirmed Trend"))=0,#N/A,INDIRECT(ADDRESS($B216+1,AS$164,1,1,"Confirmed Trend")))</f>
        <v>#N/A</v>
      </c>
      <c r="AT216" s="18" t="e" cm="1">
        <f t="array" aca="1" ref="AT216" ca="1">IF(INDIRECT(ADDRESS($B216+1,AT$164,1,1,"Confirmed Trend"))=0,#N/A,INDIRECT(ADDRESS($B216+1,AT$164,1,1,"Confirmed Trend")))</f>
        <v>#N/A</v>
      </c>
      <c r="AU216" s="18" t="e" cm="1">
        <f t="array" aca="1" ref="AU216" ca="1">IF(INDIRECT(ADDRESS($B216+1,AU$164,1,1,"Confirmed Trend"))=0,#N/A,INDIRECT(ADDRESS($B216+1,AU$164,1,1,"Confirmed Trend")))</f>
        <v>#N/A</v>
      </c>
      <c r="AV216" s="18" t="e" cm="1">
        <f t="array" aca="1" ref="AV216" ca="1">IF(INDIRECT(ADDRESS($B216+1,AV$164,1,1,"Confirmed Trend"))=0,#N/A,INDIRECT(ADDRESS($B216+1,AV$164,1,1,"Confirmed Trend")))</f>
        <v>#N/A</v>
      </c>
      <c r="AW216" s="18" t="e" cm="1">
        <f t="array" aca="1" ref="AW216" ca="1">IF(INDIRECT(ADDRESS($B216+1,AW$164,1,1,"Confirmed Trend"))=0,#N/A,INDIRECT(ADDRESS($B216+1,AW$164,1,1,"Confirmed Trend")))</f>
        <v>#N/A</v>
      </c>
      <c r="AX216" s="18" t="e" cm="1">
        <f t="array" aca="1" ref="AX216" ca="1">IF(INDIRECT(ADDRESS($B216+1,AX$164,1,1,"Confirmed Trend"))=0,#N/A,INDIRECT(ADDRESS($B216+1,AX$164,1,1,"Confirmed Trend")))</f>
        <v>#N/A</v>
      </c>
      <c r="AY216" s="18" t="e" cm="1">
        <f t="array" aca="1" ref="AY216" ca="1">IF(INDIRECT(ADDRESS($B216+1,AY$164,1,1,"Confirmed Trend"))=0,#N/A,INDIRECT(ADDRESS($B216+1,AY$164,1,1,"Confirmed Trend")))</f>
        <v>#N/A</v>
      </c>
      <c r="AZ216" s="18" t="e" cm="1">
        <f t="array" aca="1" ref="AZ216" ca="1">IF(INDIRECT(ADDRESS($B216+1,AZ$164,1,1,"Confirmed Trend"))=0,#N/A,INDIRECT(ADDRESS($B216+1,AZ$164,1,1,"Confirmed Trend")))</f>
        <v>#N/A</v>
      </c>
      <c r="BA216" s="18" t="e" cm="1">
        <f t="array" aca="1" ref="BA216" ca="1">IF(INDIRECT(ADDRESS($B216+1,BA$164,1,1,"Confirmed Trend"))=0,#N/A,INDIRECT(ADDRESS($B216+1,BA$164,1,1,"Confirmed Trend")))</f>
        <v>#N/A</v>
      </c>
      <c r="BB216" s="18" t="e" cm="1">
        <f t="array" aca="1" ref="BB216" ca="1">IF(INDIRECT(ADDRESS($B216+1,BB$164,1,1,"Confirmed Trend"))=0,#N/A,INDIRECT(ADDRESS($B216+1,BB$164,1,1,"Confirmed Trend")))</f>
        <v>#N/A</v>
      </c>
      <c r="BC216" s="18" t="e" cm="1">
        <f t="array" aca="1" ref="BC216" ca="1">IF(INDIRECT(ADDRESS($B216+1,BC$164,1,1,"Confirmed Trend"))=0,#N/A,INDIRECT(ADDRESS($B216+1,BC$164,1,1,"Confirmed Trend")))</f>
        <v>#N/A</v>
      </c>
      <c r="BD216" s="18" t="e" cm="1">
        <f t="array" aca="1" ref="BD216" ca="1">IF(INDIRECT(ADDRESS($B216+1,BD$164,1,1,"Confirmed Trend"))=0,#N/A,INDIRECT(ADDRESS($B216+1,BD$164,1,1,"Confirmed Trend")))</f>
        <v>#N/A</v>
      </c>
      <c r="BE216" s="18" t="e" cm="1">
        <f t="array" aca="1" ref="BE216" ca="1">IF(INDIRECT(ADDRESS($B216+1,BE$164,1,1,"Confirmed Trend"))=0,#N/A,INDIRECT(ADDRESS($B216+1,BE$164,1,1,"Confirmed Trend")))</f>
        <v>#N/A</v>
      </c>
      <c r="BF216" s="18" t="e" cm="1">
        <f t="array" aca="1" ref="BF216" ca="1">IF(INDIRECT(ADDRESS($B216+1,BF$164,1,1,"Confirmed Trend"))=0,#N/A,INDIRECT(ADDRESS($B216+1,BF$164,1,1,"Confirmed Trend")))</f>
        <v>#N/A</v>
      </c>
      <c r="BG216" s="18" t="e" cm="1">
        <f t="array" aca="1" ref="BG216" ca="1">IF(INDIRECT(ADDRESS($B216+1,BG$164,1,1,"Confirmed Trend"))=0,#N/A,INDIRECT(ADDRESS($B216+1,BG$164,1,1,"Confirmed Trend")))</f>
        <v>#N/A</v>
      </c>
      <c r="BH216" s="18" t="e" cm="1">
        <f t="array" aca="1" ref="BH216" ca="1">IF(INDIRECT(ADDRESS($B216+1,BH$164,1,1,"Confirmed Trend"))=0,#N/A,INDIRECT(ADDRESS($B216+1,BH$164,1,1,"Confirmed Trend")))</f>
        <v>#N/A</v>
      </c>
      <c r="BI216" s="18" t="e" cm="1">
        <f t="array" aca="1" ref="BI216" ca="1">IF(INDIRECT(ADDRESS($B216+1,BI$164,1,1,"Confirmed Trend"))=0,#N/A,INDIRECT(ADDRESS($B216+1,BI$164,1,1,"Confirmed Trend")))</f>
        <v>#N/A</v>
      </c>
      <c r="BJ216" s="18" t="e" cm="1">
        <f t="array" aca="1" ref="BJ216" ca="1">IF(INDIRECT(ADDRESS($B216+1,BJ$164,1,1,"Confirmed Trend"))=0,#N/A,INDIRECT(ADDRESS($B216+1,BJ$164,1,1,"Confirmed Trend")))</f>
        <v>#N/A</v>
      </c>
      <c r="BK216" s="18" t="e" cm="1">
        <f t="array" aca="1" ref="BK216" ca="1">IF(INDIRECT(ADDRESS($B216+1,BK$164,1,1,"Confirmed Trend"))=0,#N/A,INDIRECT(ADDRESS($B216+1,BK$164,1,1,"Confirmed Trend")))</f>
        <v>#N/A</v>
      </c>
      <c r="BL216" s="18" t="e" cm="1">
        <f t="array" aca="1" ref="BL216" ca="1">IF(INDIRECT(ADDRESS($B216+1,BL$164,1,1,"Confirmed Trend"))=0,#N/A,INDIRECT(ADDRESS($B216+1,BL$164,1,1,"Confirmed Trend")))</f>
        <v>#N/A</v>
      </c>
      <c r="BM216" s="18" t="e" cm="1">
        <f t="array" aca="1" ref="BM216" ca="1">IF(INDIRECT(ADDRESS($B216+1,BM$164,1,1,"Confirmed Trend"))=0,#N/A,INDIRECT(ADDRESS($B216+1,BM$164,1,1,"Confirmed Trend")))</f>
        <v>#N/A</v>
      </c>
      <c r="BN216" s="18" t="e" cm="1">
        <f t="array" aca="1" ref="BN216" ca="1">IF(INDIRECT(ADDRESS($B216+1,BN$164,1,1,"Confirmed Trend"))=0,#N/A,INDIRECT(ADDRESS($B216+1,BN$164,1,1,"Confirmed Trend")))</f>
        <v>#N/A</v>
      </c>
      <c r="BO216" s="18" t="e" cm="1">
        <f t="array" aca="1" ref="BO216" ca="1">IF(INDIRECT(ADDRESS($B216+1,BO$164,1,1,"Confirmed Trend"))=0,#N/A,INDIRECT(ADDRESS($B216+1,BO$164,1,1,"Confirmed Trend")))</f>
        <v>#N/A</v>
      </c>
      <c r="BP216" s="18" t="e" cm="1">
        <f t="array" aca="1" ref="BP216" ca="1">IF(INDIRECT(ADDRESS($B216+1,BP$164,1,1,"Confirmed Trend"))=0,#N/A,INDIRECT(ADDRESS($B216+1,BP$164,1,1,"Confirmed Trend")))</f>
        <v>#N/A</v>
      </c>
      <c r="BQ216" s="18" t="e" cm="1">
        <f t="array" aca="1" ref="BQ216" ca="1">IF(INDIRECT(ADDRESS($B216+1,BQ$164,1,1,"Confirmed Trend"))=0,#N/A,INDIRECT(ADDRESS($B216+1,BQ$164,1,1,"Confirmed Trend")))</f>
        <v>#N/A</v>
      </c>
      <c r="BR216" s="18" t="e" cm="1">
        <f t="array" aca="1" ref="BR216" ca="1">IF(INDIRECT(ADDRESS($B216+1,BR$164,1,1,"Confirmed Trend"))=0,#N/A,INDIRECT(ADDRESS($B216+1,BR$164,1,1,"Confirmed Trend")))</f>
        <v>#N/A</v>
      </c>
      <c r="BS216" s="18" t="e" cm="1">
        <f t="array" aca="1" ref="BS216" ca="1">IF(INDIRECT(ADDRESS($B216+1,BS$164,1,1,"Confirmed Trend"))=0,#N/A,INDIRECT(ADDRESS($B216+1,BS$164,1,1,"Confirmed Trend")))</f>
        <v>#N/A</v>
      </c>
      <c r="BT216" s="18" t="e" cm="1">
        <f t="array" aca="1" ref="BT216" ca="1">IF(INDIRECT(ADDRESS($B216+1,BT$164,1,1,"Confirmed Trend"))=0,#N/A,INDIRECT(ADDRESS($B216+1,BT$164,1,1,"Confirmed Trend")))</f>
        <v>#N/A</v>
      </c>
      <c r="BU216" s="18" t="e" cm="1">
        <f t="array" aca="1" ref="BU216" ca="1">IF(INDIRECT(ADDRESS($B216+1,BU$164,1,1,"Confirmed Trend"))=0,#N/A,INDIRECT(ADDRESS($B216+1,BU$164,1,1,"Confirmed Trend")))</f>
        <v>#N/A</v>
      </c>
      <c r="BV216" s="18" t="e" cm="1">
        <f t="array" aca="1" ref="BV216" ca="1">IF(INDIRECT(ADDRESS($B216+1,BV$164,1,1,"Confirmed Trend"))=0,#N/A,INDIRECT(ADDRESS($B216+1,BV$164,1,1,"Confirmed Trend")))</f>
        <v>#N/A</v>
      </c>
    </row>
    <row r="217" spans="2:74" x14ac:dyDescent="0.25">
      <c r="B217">
        <f t="shared" si="132"/>
        <v>52</v>
      </c>
      <c r="C217" cm="1">
        <f t="array" aca="1" ref="C217" ca="1">INDIRECT(ADDRESS($B217+1,1,1,1,"Confirmed Trend"))</f>
        <v>0</v>
      </c>
      <c r="E217" s="18" t="e" cm="1">
        <f t="array" aca="1" ref="E217" ca="1">IF(INDIRECT(ADDRESS($B217+1,E$164,1,1,"Confirmed Trend"))=0,#N/A,INDIRECT(ADDRESS($B217+1,E$164,1,1,"Confirmed Trend")))</f>
        <v>#N/A</v>
      </c>
      <c r="F217" s="18" t="e" cm="1">
        <f t="array" aca="1" ref="F217" ca="1">IF(INDIRECT(ADDRESS($B217+1,F$164,1,1,"Confirmed Trend"))=0,#N/A,INDIRECT(ADDRESS($B217+1,F$164,1,1,"Confirmed Trend")))</f>
        <v>#N/A</v>
      </c>
      <c r="G217" s="18" t="e" cm="1">
        <f t="array" aca="1" ref="G217" ca="1">IF(INDIRECT(ADDRESS($B217+1,G$164,1,1,"Confirmed Trend"))=0,#N/A,INDIRECT(ADDRESS($B217+1,G$164,1,1,"Confirmed Trend")))</f>
        <v>#N/A</v>
      </c>
      <c r="H217" s="18" t="e" cm="1">
        <f t="array" aca="1" ref="H217" ca="1">IF(INDIRECT(ADDRESS($B217+1,H$164,1,1,"Confirmed Trend"))=0,#N/A,INDIRECT(ADDRESS($B217+1,H$164,1,1,"Confirmed Trend")))</f>
        <v>#N/A</v>
      </c>
      <c r="I217" s="18" t="e" cm="1">
        <f t="array" aca="1" ref="I217" ca="1">IF(INDIRECT(ADDRESS($B217+1,I$164,1,1,"Confirmed Trend"))=0,#N/A,INDIRECT(ADDRESS($B217+1,I$164,1,1,"Confirmed Trend")))</f>
        <v>#N/A</v>
      </c>
      <c r="J217" s="18" t="e" cm="1">
        <f t="array" aca="1" ref="J217" ca="1">IF(INDIRECT(ADDRESS($B217+1,J$164,1,1,"Confirmed Trend"))=0,#N/A,INDIRECT(ADDRESS($B217+1,J$164,1,1,"Confirmed Trend")))</f>
        <v>#N/A</v>
      </c>
      <c r="K217" s="18" t="e" cm="1">
        <f t="array" aca="1" ref="K217" ca="1">IF(INDIRECT(ADDRESS($B217+1,K$164,1,1,"Confirmed Trend"))=0,#N/A,INDIRECT(ADDRESS($B217+1,K$164,1,1,"Confirmed Trend")))</f>
        <v>#N/A</v>
      </c>
      <c r="L217" s="18" t="e" cm="1">
        <f t="array" aca="1" ref="L217" ca="1">IF(INDIRECT(ADDRESS($B217+1,L$164,1,1,"Confirmed Trend"))=0,#N/A,INDIRECT(ADDRESS($B217+1,L$164,1,1,"Confirmed Trend")))</f>
        <v>#N/A</v>
      </c>
      <c r="M217" s="18" t="e" cm="1">
        <f t="array" aca="1" ref="M217" ca="1">IF(INDIRECT(ADDRESS($B217+1,M$164,1,1,"Confirmed Trend"))=0,#N/A,INDIRECT(ADDRESS($B217+1,M$164,1,1,"Confirmed Trend")))</f>
        <v>#N/A</v>
      </c>
      <c r="N217" s="18" t="e" cm="1">
        <f t="array" aca="1" ref="N217" ca="1">IF(INDIRECT(ADDRESS($B217+1,N$164,1,1,"Confirmed Trend"))=0,#N/A,INDIRECT(ADDRESS($B217+1,N$164,1,1,"Confirmed Trend")))</f>
        <v>#N/A</v>
      </c>
      <c r="O217" s="18" t="e" cm="1">
        <f t="array" aca="1" ref="O217" ca="1">IF(INDIRECT(ADDRESS($B217+1,O$164,1,1,"Confirmed Trend"))=0,#N/A,INDIRECT(ADDRESS($B217+1,O$164,1,1,"Confirmed Trend")))</f>
        <v>#N/A</v>
      </c>
      <c r="P217" s="18" t="e" cm="1">
        <f t="array" aca="1" ref="P217" ca="1">IF(INDIRECT(ADDRESS($B217+1,P$164,1,1,"Confirmed Trend"))=0,#N/A,INDIRECT(ADDRESS($B217+1,P$164,1,1,"Confirmed Trend")))</f>
        <v>#N/A</v>
      </c>
      <c r="Q217" s="18" t="e" cm="1">
        <f t="array" aca="1" ref="Q217" ca="1">IF(INDIRECT(ADDRESS($B217+1,Q$164,1,1,"Confirmed Trend"))=0,#N/A,INDIRECT(ADDRESS($B217+1,Q$164,1,1,"Confirmed Trend")))</f>
        <v>#N/A</v>
      </c>
      <c r="R217" s="18" t="e" cm="1">
        <f t="array" aca="1" ref="R217" ca="1">IF(INDIRECT(ADDRESS($B217+1,R$164,1,1,"Confirmed Trend"))=0,#N/A,INDIRECT(ADDRESS($B217+1,R$164,1,1,"Confirmed Trend")))</f>
        <v>#N/A</v>
      </c>
      <c r="S217" s="18" t="e" cm="1">
        <f t="array" aca="1" ref="S217" ca="1">IF(INDIRECT(ADDRESS($B217+1,S$164,1,1,"Confirmed Trend"))=0,#N/A,INDIRECT(ADDRESS($B217+1,S$164,1,1,"Confirmed Trend")))</f>
        <v>#N/A</v>
      </c>
      <c r="T217" s="18" t="e" cm="1">
        <f t="array" aca="1" ref="T217" ca="1">IF(INDIRECT(ADDRESS($B217+1,T$164,1,1,"Confirmed Trend"))=0,#N/A,INDIRECT(ADDRESS($B217+1,T$164,1,1,"Confirmed Trend")))</f>
        <v>#N/A</v>
      </c>
      <c r="U217" s="18" t="e" cm="1">
        <f t="array" aca="1" ref="U217" ca="1">IF(INDIRECT(ADDRESS($B217+1,U$164,1,1,"Confirmed Trend"))=0,#N/A,INDIRECT(ADDRESS($B217+1,U$164,1,1,"Confirmed Trend")))</f>
        <v>#N/A</v>
      </c>
      <c r="V217" s="18" t="e" cm="1">
        <f t="array" aca="1" ref="V217" ca="1">IF(INDIRECT(ADDRESS($B217+1,V$164,1,1,"Confirmed Trend"))=0,#N/A,INDIRECT(ADDRESS($B217+1,V$164,1,1,"Confirmed Trend")))</f>
        <v>#N/A</v>
      </c>
      <c r="W217" s="18" t="e" cm="1">
        <f t="array" aca="1" ref="W217" ca="1">IF(INDIRECT(ADDRESS($B217+1,W$164,1,1,"Confirmed Trend"))=0,#N/A,INDIRECT(ADDRESS($B217+1,W$164,1,1,"Confirmed Trend")))</f>
        <v>#N/A</v>
      </c>
      <c r="X217" s="18" t="e" cm="1">
        <f t="array" aca="1" ref="X217" ca="1">IF(INDIRECT(ADDRESS($B217+1,X$164,1,1,"Confirmed Trend"))=0,#N/A,INDIRECT(ADDRESS($B217+1,X$164,1,1,"Confirmed Trend")))</f>
        <v>#N/A</v>
      </c>
      <c r="Y217" s="18" t="e" cm="1">
        <f t="array" aca="1" ref="Y217" ca="1">IF(INDIRECT(ADDRESS($B217+1,Y$164,1,1,"Confirmed Trend"))=0,#N/A,INDIRECT(ADDRESS($B217+1,Y$164,1,1,"Confirmed Trend")))</f>
        <v>#N/A</v>
      </c>
      <c r="Z217" s="18" t="e" cm="1">
        <f t="array" aca="1" ref="Z217" ca="1">IF(INDIRECT(ADDRESS($B217+1,Z$164,1,1,"Confirmed Trend"))=0,#N/A,INDIRECT(ADDRESS($B217+1,Z$164,1,1,"Confirmed Trend")))</f>
        <v>#N/A</v>
      </c>
      <c r="AA217" s="18" t="e" cm="1">
        <f t="array" aca="1" ref="AA217" ca="1">IF(INDIRECT(ADDRESS($B217+1,AA$164,1,1,"Confirmed Trend"))=0,#N/A,INDIRECT(ADDRESS($B217+1,AA$164,1,1,"Confirmed Trend")))</f>
        <v>#N/A</v>
      </c>
      <c r="AB217" s="18" t="e" cm="1">
        <f t="array" aca="1" ref="AB217" ca="1">IF(INDIRECT(ADDRESS($B217+1,AB$164,1,1,"Confirmed Trend"))=0,#N/A,INDIRECT(ADDRESS($B217+1,AB$164,1,1,"Confirmed Trend")))</f>
        <v>#N/A</v>
      </c>
      <c r="AC217" s="18" t="e" cm="1">
        <f t="array" aca="1" ref="AC217" ca="1">IF(INDIRECT(ADDRESS($B217+1,AC$164,1,1,"Confirmed Trend"))=0,#N/A,INDIRECT(ADDRESS($B217+1,AC$164,1,1,"Confirmed Trend")))</f>
        <v>#N/A</v>
      </c>
      <c r="AD217" s="18" t="e" cm="1">
        <f t="array" aca="1" ref="AD217" ca="1">IF(INDIRECT(ADDRESS($B217+1,AD$164,1,1,"Confirmed Trend"))=0,#N/A,INDIRECT(ADDRESS($B217+1,AD$164,1,1,"Confirmed Trend")))</f>
        <v>#N/A</v>
      </c>
      <c r="AE217" s="18" t="e" cm="1">
        <f t="array" aca="1" ref="AE217" ca="1">IF(INDIRECT(ADDRESS($B217+1,AE$164,1,1,"Confirmed Trend"))=0,#N/A,INDIRECT(ADDRESS($B217+1,AE$164,1,1,"Confirmed Trend")))</f>
        <v>#N/A</v>
      </c>
      <c r="AF217" s="18" t="e" cm="1">
        <f t="array" aca="1" ref="AF217" ca="1">IF(INDIRECT(ADDRESS($B217+1,AF$164,1,1,"Confirmed Trend"))=0,#N/A,INDIRECT(ADDRESS($B217+1,AF$164,1,1,"Confirmed Trend")))</f>
        <v>#N/A</v>
      </c>
      <c r="AG217" s="18" t="e" cm="1">
        <f t="array" aca="1" ref="AG217" ca="1">IF(INDIRECT(ADDRESS($B217+1,AG$164,1,1,"Confirmed Trend"))=0,#N/A,INDIRECT(ADDRESS($B217+1,AG$164,1,1,"Confirmed Trend")))</f>
        <v>#N/A</v>
      </c>
      <c r="AH217" s="18" t="e" cm="1">
        <f t="array" aca="1" ref="AH217" ca="1">IF(INDIRECT(ADDRESS($B217+1,AH$164,1,1,"Confirmed Trend"))=0,#N/A,INDIRECT(ADDRESS($B217+1,AH$164,1,1,"Confirmed Trend")))</f>
        <v>#N/A</v>
      </c>
      <c r="AI217" s="18" t="e" cm="1">
        <f t="array" aca="1" ref="AI217" ca="1">IF(INDIRECT(ADDRESS($B217+1,AI$164,1,1,"Confirmed Trend"))=0,#N/A,INDIRECT(ADDRESS($B217+1,AI$164,1,1,"Confirmed Trend")))</f>
        <v>#N/A</v>
      </c>
      <c r="AJ217" s="18" t="e" cm="1">
        <f t="array" aca="1" ref="AJ217" ca="1">IF(INDIRECT(ADDRESS($B217+1,AJ$164,1,1,"Confirmed Trend"))=0,#N/A,INDIRECT(ADDRESS($B217+1,AJ$164,1,1,"Confirmed Trend")))</f>
        <v>#N/A</v>
      </c>
      <c r="AK217" s="18" t="e" cm="1">
        <f t="array" aca="1" ref="AK217" ca="1">IF(INDIRECT(ADDRESS($B217+1,AK$164,1,1,"Confirmed Trend"))=0,#N/A,INDIRECT(ADDRESS($B217+1,AK$164,1,1,"Confirmed Trend")))</f>
        <v>#N/A</v>
      </c>
      <c r="AL217" s="18" t="e" cm="1">
        <f t="array" aca="1" ref="AL217" ca="1">IF(INDIRECT(ADDRESS($B217+1,AL$164,1,1,"Confirmed Trend"))=0,#N/A,INDIRECT(ADDRESS($B217+1,AL$164,1,1,"Confirmed Trend")))</f>
        <v>#N/A</v>
      </c>
      <c r="AM217" s="18" t="e" cm="1">
        <f t="array" aca="1" ref="AM217" ca="1">IF(INDIRECT(ADDRESS($B217+1,AM$164,1,1,"Confirmed Trend"))=0,#N/A,INDIRECT(ADDRESS($B217+1,AM$164,1,1,"Confirmed Trend")))</f>
        <v>#N/A</v>
      </c>
      <c r="AN217" s="18" t="e" cm="1">
        <f t="array" aca="1" ref="AN217" ca="1">IF(INDIRECT(ADDRESS($B217+1,AN$164,1,1,"Confirmed Trend"))=0,#N/A,INDIRECT(ADDRESS($B217+1,AN$164,1,1,"Confirmed Trend")))</f>
        <v>#N/A</v>
      </c>
      <c r="AO217" s="18" t="e" cm="1">
        <f t="array" aca="1" ref="AO217" ca="1">IF(INDIRECT(ADDRESS($B217+1,AO$164,1,1,"Confirmed Trend"))=0,#N/A,INDIRECT(ADDRESS($B217+1,AO$164,1,1,"Confirmed Trend")))</f>
        <v>#N/A</v>
      </c>
      <c r="AP217" s="18" t="e" cm="1">
        <f t="array" aca="1" ref="AP217" ca="1">IF(INDIRECT(ADDRESS($B217+1,AP$164,1,1,"Confirmed Trend"))=0,#N/A,INDIRECT(ADDRESS($B217+1,AP$164,1,1,"Confirmed Trend")))</f>
        <v>#N/A</v>
      </c>
      <c r="AQ217" s="18" t="e" cm="1">
        <f t="array" aca="1" ref="AQ217" ca="1">IF(INDIRECT(ADDRESS($B217+1,AQ$164,1,1,"Confirmed Trend"))=0,#N/A,INDIRECT(ADDRESS($B217+1,AQ$164,1,1,"Confirmed Trend")))</f>
        <v>#N/A</v>
      </c>
      <c r="AR217" s="18" t="e" cm="1">
        <f t="array" aca="1" ref="AR217" ca="1">IF(INDIRECT(ADDRESS($B217+1,AR$164,1,1,"Confirmed Trend"))=0,#N/A,INDIRECT(ADDRESS($B217+1,AR$164,1,1,"Confirmed Trend")))</f>
        <v>#N/A</v>
      </c>
      <c r="AS217" s="18" t="e" cm="1">
        <f t="array" aca="1" ref="AS217" ca="1">IF(INDIRECT(ADDRESS($B217+1,AS$164,1,1,"Confirmed Trend"))=0,#N/A,INDIRECT(ADDRESS($B217+1,AS$164,1,1,"Confirmed Trend")))</f>
        <v>#N/A</v>
      </c>
      <c r="AT217" s="18" t="e" cm="1">
        <f t="array" aca="1" ref="AT217" ca="1">IF(INDIRECT(ADDRESS($B217+1,AT$164,1,1,"Confirmed Trend"))=0,#N/A,INDIRECT(ADDRESS($B217+1,AT$164,1,1,"Confirmed Trend")))</f>
        <v>#N/A</v>
      </c>
      <c r="AU217" s="18" t="e" cm="1">
        <f t="array" aca="1" ref="AU217" ca="1">IF(INDIRECT(ADDRESS($B217+1,AU$164,1,1,"Confirmed Trend"))=0,#N/A,INDIRECT(ADDRESS($B217+1,AU$164,1,1,"Confirmed Trend")))</f>
        <v>#N/A</v>
      </c>
      <c r="AV217" s="18" t="e" cm="1">
        <f t="array" aca="1" ref="AV217" ca="1">IF(INDIRECT(ADDRESS($B217+1,AV$164,1,1,"Confirmed Trend"))=0,#N/A,INDIRECT(ADDRESS($B217+1,AV$164,1,1,"Confirmed Trend")))</f>
        <v>#N/A</v>
      </c>
      <c r="AW217" s="18" t="e" cm="1">
        <f t="array" aca="1" ref="AW217" ca="1">IF(INDIRECT(ADDRESS($B217+1,AW$164,1,1,"Confirmed Trend"))=0,#N/A,INDIRECT(ADDRESS($B217+1,AW$164,1,1,"Confirmed Trend")))</f>
        <v>#N/A</v>
      </c>
      <c r="AX217" s="18" t="e" cm="1">
        <f t="array" aca="1" ref="AX217" ca="1">IF(INDIRECT(ADDRESS($B217+1,AX$164,1,1,"Confirmed Trend"))=0,#N/A,INDIRECT(ADDRESS($B217+1,AX$164,1,1,"Confirmed Trend")))</f>
        <v>#N/A</v>
      </c>
      <c r="AY217" s="18" t="e" cm="1">
        <f t="array" aca="1" ref="AY217" ca="1">IF(INDIRECT(ADDRESS($B217+1,AY$164,1,1,"Confirmed Trend"))=0,#N/A,INDIRECT(ADDRESS($B217+1,AY$164,1,1,"Confirmed Trend")))</f>
        <v>#N/A</v>
      </c>
      <c r="AZ217" s="18" t="e" cm="1">
        <f t="array" aca="1" ref="AZ217" ca="1">IF(INDIRECT(ADDRESS($B217+1,AZ$164,1,1,"Confirmed Trend"))=0,#N/A,INDIRECT(ADDRESS($B217+1,AZ$164,1,1,"Confirmed Trend")))</f>
        <v>#N/A</v>
      </c>
      <c r="BA217" s="18" t="e" cm="1">
        <f t="array" aca="1" ref="BA217" ca="1">IF(INDIRECT(ADDRESS($B217+1,BA$164,1,1,"Confirmed Trend"))=0,#N/A,INDIRECT(ADDRESS($B217+1,BA$164,1,1,"Confirmed Trend")))</f>
        <v>#N/A</v>
      </c>
      <c r="BB217" s="18" t="e" cm="1">
        <f t="array" aca="1" ref="BB217" ca="1">IF(INDIRECT(ADDRESS($B217+1,BB$164,1,1,"Confirmed Trend"))=0,#N/A,INDIRECT(ADDRESS($B217+1,BB$164,1,1,"Confirmed Trend")))</f>
        <v>#N/A</v>
      </c>
      <c r="BC217" s="18" t="e" cm="1">
        <f t="array" aca="1" ref="BC217" ca="1">IF(INDIRECT(ADDRESS($B217+1,BC$164,1,1,"Confirmed Trend"))=0,#N/A,INDIRECT(ADDRESS($B217+1,BC$164,1,1,"Confirmed Trend")))</f>
        <v>#N/A</v>
      </c>
      <c r="BD217" s="18" t="e" cm="1">
        <f t="array" aca="1" ref="BD217" ca="1">IF(INDIRECT(ADDRESS($B217+1,BD$164,1,1,"Confirmed Trend"))=0,#N/A,INDIRECT(ADDRESS($B217+1,BD$164,1,1,"Confirmed Trend")))</f>
        <v>#N/A</v>
      </c>
      <c r="BE217" s="18" t="e" cm="1">
        <f t="array" aca="1" ref="BE217" ca="1">IF(INDIRECT(ADDRESS($B217+1,BE$164,1,1,"Confirmed Trend"))=0,#N/A,INDIRECT(ADDRESS($B217+1,BE$164,1,1,"Confirmed Trend")))</f>
        <v>#N/A</v>
      </c>
      <c r="BF217" s="18" t="e" cm="1">
        <f t="array" aca="1" ref="BF217" ca="1">IF(INDIRECT(ADDRESS($B217+1,BF$164,1,1,"Confirmed Trend"))=0,#N/A,INDIRECT(ADDRESS($B217+1,BF$164,1,1,"Confirmed Trend")))</f>
        <v>#N/A</v>
      </c>
      <c r="BG217" s="18" t="e" cm="1">
        <f t="array" aca="1" ref="BG217" ca="1">IF(INDIRECT(ADDRESS($B217+1,BG$164,1,1,"Confirmed Trend"))=0,#N/A,INDIRECT(ADDRESS($B217+1,BG$164,1,1,"Confirmed Trend")))</f>
        <v>#N/A</v>
      </c>
      <c r="BH217" s="18" t="e" cm="1">
        <f t="array" aca="1" ref="BH217" ca="1">IF(INDIRECT(ADDRESS($B217+1,BH$164,1,1,"Confirmed Trend"))=0,#N/A,INDIRECT(ADDRESS($B217+1,BH$164,1,1,"Confirmed Trend")))</f>
        <v>#N/A</v>
      </c>
      <c r="BI217" s="18" t="e" cm="1">
        <f t="array" aca="1" ref="BI217" ca="1">IF(INDIRECT(ADDRESS($B217+1,BI$164,1,1,"Confirmed Trend"))=0,#N/A,INDIRECT(ADDRESS($B217+1,BI$164,1,1,"Confirmed Trend")))</f>
        <v>#N/A</v>
      </c>
      <c r="BJ217" s="18" t="e" cm="1">
        <f t="array" aca="1" ref="BJ217" ca="1">IF(INDIRECT(ADDRESS($B217+1,BJ$164,1,1,"Confirmed Trend"))=0,#N/A,INDIRECT(ADDRESS($B217+1,BJ$164,1,1,"Confirmed Trend")))</f>
        <v>#N/A</v>
      </c>
      <c r="BK217" s="18" t="e" cm="1">
        <f t="array" aca="1" ref="BK217" ca="1">IF(INDIRECT(ADDRESS($B217+1,BK$164,1,1,"Confirmed Trend"))=0,#N/A,INDIRECT(ADDRESS($B217+1,BK$164,1,1,"Confirmed Trend")))</f>
        <v>#N/A</v>
      </c>
      <c r="BL217" s="18" t="e" cm="1">
        <f t="array" aca="1" ref="BL217" ca="1">IF(INDIRECT(ADDRESS($B217+1,BL$164,1,1,"Confirmed Trend"))=0,#N/A,INDIRECT(ADDRESS($B217+1,BL$164,1,1,"Confirmed Trend")))</f>
        <v>#N/A</v>
      </c>
      <c r="BM217" s="18" t="e" cm="1">
        <f t="array" aca="1" ref="BM217" ca="1">IF(INDIRECT(ADDRESS($B217+1,BM$164,1,1,"Confirmed Trend"))=0,#N/A,INDIRECT(ADDRESS($B217+1,BM$164,1,1,"Confirmed Trend")))</f>
        <v>#N/A</v>
      </c>
      <c r="BN217" s="18" t="e" cm="1">
        <f t="array" aca="1" ref="BN217" ca="1">IF(INDIRECT(ADDRESS($B217+1,BN$164,1,1,"Confirmed Trend"))=0,#N/A,INDIRECT(ADDRESS($B217+1,BN$164,1,1,"Confirmed Trend")))</f>
        <v>#N/A</v>
      </c>
      <c r="BO217" s="18" t="e" cm="1">
        <f t="array" aca="1" ref="BO217" ca="1">IF(INDIRECT(ADDRESS($B217+1,BO$164,1,1,"Confirmed Trend"))=0,#N/A,INDIRECT(ADDRESS($B217+1,BO$164,1,1,"Confirmed Trend")))</f>
        <v>#N/A</v>
      </c>
      <c r="BP217" s="18" t="e" cm="1">
        <f t="array" aca="1" ref="BP217" ca="1">IF(INDIRECT(ADDRESS($B217+1,BP$164,1,1,"Confirmed Trend"))=0,#N/A,INDIRECT(ADDRESS($B217+1,BP$164,1,1,"Confirmed Trend")))</f>
        <v>#N/A</v>
      </c>
      <c r="BQ217" s="18" t="e" cm="1">
        <f t="array" aca="1" ref="BQ217" ca="1">IF(INDIRECT(ADDRESS($B217+1,BQ$164,1,1,"Confirmed Trend"))=0,#N/A,INDIRECT(ADDRESS($B217+1,BQ$164,1,1,"Confirmed Trend")))</f>
        <v>#N/A</v>
      </c>
      <c r="BR217" s="18" t="e" cm="1">
        <f t="array" aca="1" ref="BR217" ca="1">IF(INDIRECT(ADDRESS($B217+1,BR$164,1,1,"Confirmed Trend"))=0,#N/A,INDIRECT(ADDRESS($B217+1,BR$164,1,1,"Confirmed Trend")))</f>
        <v>#N/A</v>
      </c>
      <c r="BS217" s="18" t="e" cm="1">
        <f t="array" aca="1" ref="BS217" ca="1">IF(INDIRECT(ADDRESS($B217+1,BS$164,1,1,"Confirmed Trend"))=0,#N/A,INDIRECT(ADDRESS($B217+1,BS$164,1,1,"Confirmed Trend")))</f>
        <v>#N/A</v>
      </c>
      <c r="BT217" s="18" t="e" cm="1">
        <f t="array" aca="1" ref="BT217" ca="1">IF(INDIRECT(ADDRESS($B217+1,BT$164,1,1,"Confirmed Trend"))=0,#N/A,INDIRECT(ADDRESS($B217+1,BT$164,1,1,"Confirmed Trend")))</f>
        <v>#N/A</v>
      </c>
      <c r="BU217" s="18" t="e" cm="1">
        <f t="array" aca="1" ref="BU217" ca="1">IF(INDIRECT(ADDRESS($B217+1,BU$164,1,1,"Confirmed Trend"))=0,#N/A,INDIRECT(ADDRESS($B217+1,BU$164,1,1,"Confirmed Trend")))</f>
        <v>#N/A</v>
      </c>
      <c r="BV217" s="18" t="e" cm="1">
        <f t="array" aca="1" ref="BV217" ca="1">IF(INDIRECT(ADDRESS($B217+1,BV$164,1,1,"Confirmed Trend"))=0,#N/A,INDIRECT(ADDRESS($B217+1,BV$164,1,1,"Confirmed Trend")))</f>
        <v>#N/A</v>
      </c>
    </row>
    <row r="218" spans="2:74" x14ac:dyDescent="0.25">
      <c r="B218">
        <f t="shared" si="132"/>
        <v>53</v>
      </c>
      <c r="C218" cm="1">
        <f t="array" aca="1" ref="C218" ca="1">INDIRECT(ADDRESS($B218+1,1,1,1,"Confirmed Trend"))</f>
        <v>0</v>
      </c>
      <c r="E218" s="18" t="e" cm="1">
        <f t="array" aca="1" ref="E218" ca="1">IF(INDIRECT(ADDRESS($B218+1,E$164,1,1,"Confirmed Trend"))=0,#N/A,INDIRECT(ADDRESS($B218+1,E$164,1,1,"Confirmed Trend")))</f>
        <v>#N/A</v>
      </c>
      <c r="F218" s="18" t="e" cm="1">
        <f t="array" aca="1" ref="F218" ca="1">IF(INDIRECT(ADDRESS($B218+1,F$164,1,1,"Confirmed Trend"))=0,#N/A,INDIRECT(ADDRESS($B218+1,F$164,1,1,"Confirmed Trend")))</f>
        <v>#N/A</v>
      </c>
      <c r="G218" s="18" t="e" cm="1">
        <f t="array" aca="1" ref="G218" ca="1">IF(INDIRECT(ADDRESS($B218+1,G$164,1,1,"Confirmed Trend"))=0,#N/A,INDIRECT(ADDRESS($B218+1,G$164,1,1,"Confirmed Trend")))</f>
        <v>#N/A</v>
      </c>
      <c r="H218" s="18" t="e" cm="1">
        <f t="array" aca="1" ref="H218" ca="1">IF(INDIRECT(ADDRESS($B218+1,H$164,1,1,"Confirmed Trend"))=0,#N/A,INDIRECT(ADDRESS($B218+1,H$164,1,1,"Confirmed Trend")))</f>
        <v>#N/A</v>
      </c>
      <c r="I218" s="18" t="e" cm="1">
        <f t="array" aca="1" ref="I218" ca="1">IF(INDIRECT(ADDRESS($B218+1,I$164,1,1,"Confirmed Trend"))=0,#N/A,INDIRECT(ADDRESS($B218+1,I$164,1,1,"Confirmed Trend")))</f>
        <v>#N/A</v>
      </c>
      <c r="J218" s="18" t="e" cm="1">
        <f t="array" aca="1" ref="J218" ca="1">IF(INDIRECT(ADDRESS($B218+1,J$164,1,1,"Confirmed Trend"))=0,#N/A,INDIRECT(ADDRESS($B218+1,J$164,1,1,"Confirmed Trend")))</f>
        <v>#N/A</v>
      </c>
      <c r="K218" s="18" t="e" cm="1">
        <f t="array" aca="1" ref="K218" ca="1">IF(INDIRECT(ADDRESS($B218+1,K$164,1,1,"Confirmed Trend"))=0,#N/A,INDIRECT(ADDRESS($B218+1,K$164,1,1,"Confirmed Trend")))</f>
        <v>#N/A</v>
      </c>
      <c r="L218" s="18" t="e" cm="1">
        <f t="array" aca="1" ref="L218" ca="1">IF(INDIRECT(ADDRESS($B218+1,L$164,1,1,"Confirmed Trend"))=0,#N/A,INDIRECT(ADDRESS($B218+1,L$164,1,1,"Confirmed Trend")))</f>
        <v>#N/A</v>
      </c>
      <c r="M218" s="18" t="e" cm="1">
        <f t="array" aca="1" ref="M218" ca="1">IF(INDIRECT(ADDRESS($B218+1,M$164,1,1,"Confirmed Trend"))=0,#N/A,INDIRECT(ADDRESS($B218+1,M$164,1,1,"Confirmed Trend")))</f>
        <v>#N/A</v>
      </c>
      <c r="N218" s="18" t="e" cm="1">
        <f t="array" aca="1" ref="N218" ca="1">IF(INDIRECT(ADDRESS($B218+1,N$164,1,1,"Confirmed Trend"))=0,#N/A,INDIRECT(ADDRESS($B218+1,N$164,1,1,"Confirmed Trend")))</f>
        <v>#N/A</v>
      </c>
      <c r="O218" s="18" t="e" cm="1">
        <f t="array" aca="1" ref="O218" ca="1">IF(INDIRECT(ADDRESS($B218+1,O$164,1,1,"Confirmed Trend"))=0,#N/A,INDIRECT(ADDRESS($B218+1,O$164,1,1,"Confirmed Trend")))</f>
        <v>#N/A</v>
      </c>
      <c r="P218" s="18" t="e" cm="1">
        <f t="array" aca="1" ref="P218" ca="1">IF(INDIRECT(ADDRESS($B218+1,P$164,1,1,"Confirmed Trend"))=0,#N/A,INDIRECT(ADDRESS($B218+1,P$164,1,1,"Confirmed Trend")))</f>
        <v>#N/A</v>
      </c>
      <c r="Q218" s="18" t="e" cm="1">
        <f t="array" aca="1" ref="Q218" ca="1">IF(INDIRECT(ADDRESS($B218+1,Q$164,1,1,"Confirmed Trend"))=0,#N/A,INDIRECT(ADDRESS($B218+1,Q$164,1,1,"Confirmed Trend")))</f>
        <v>#N/A</v>
      </c>
      <c r="R218" s="18" t="e" cm="1">
        <f t="array" aca="1" ref="R218" ca="1">IF(INDIRECT(ADDRESS($B218+1,R$164,1,1,"Confirmed Trend"))=0,#N/A,INDIRECT(ADDRESS($B218+1,R$164,1,1,"Confirmed Trend")))</f>
        <v>#N/A</v>
      </c>
      <c r="S218" s="18" t="e" cm="1">
        <f t="array" aca="1" ref="S218" ca="1">IF(INDIRECT(ADDRESS($B218+1,S$164,1,1,"Confirmed Trend"))=0,#N/A,INDIRECT(ADDRESS($B218+1,S$164,1,1,"Confirmed Trend")))</f>
        <v>#N/A</v>
      </c>
      <c r="T218" s="18" t="e" cm="1">
        <f t="array" aca="1" ref="T218" ca="1">IF(INDIRECT(ADDRESS($B218+1,T$164,1,1,"Confirmed Trend"))=0,#N/A,INDIRECT(ADDRESS($B218+1,T$164,1,1,"Confirmed Trend")))</f>
        <v>#N/A</v>
      </c>
      <c r="U218" s="18" t="e" cm="1">
        <f t="array" aca="1" ref="U218" ca="1">IF(INDIRECT(ADDRESS($B218+1,U$164,1,1,"Confirmed Trend"))=0,#N/A,INDIRECT(ADDRESS($B218+1,U$164,1,1,"Confirmed Trend")))</f>
        <v>#N/A</v>
      </c>
      <c r="V218" s="18" t="e" cm="1">
        <f t="array" aca="1" ref="V218" ca="1">IF(INDIRECT(ADDRESS($B218+1,V$164,1,1,"Confirmed Trend"))=0,#N/A,INDIRECT(ADDRESS($B218+1,V$164,1,1,"Confirmed Trend")))</f>
        <v>#N/A</v>
      </c>
      <c r="W218" s="18" t="e" cm="1">
        <f t="array" aca="1" ref="W218" ca="1">IF(INDIRECT(ADDRESS($B218+1,W$164,1,1,"Confirmed Trend"))=0,#N/A,INDIRECT(ADDRESS($B218+1,W$164,1,1,"Confirmed Trend")))</f>
        <v>#N/A</v>
      </c>
      <c r="X218" s="18" t="e" cm="1">
        <f t="array" aca="1" ref="X218" ca="1">IF(INDIRECT(ADDRESS($B218+1,X$164,1,1,"Confirmed Trend"))=0,#N/A,INDIRECT(ADDRESS($B218+1,X$164,1,1,"Confirmed Trend")))</f>
        <v>#N/A</v>
      </c>
      <c r="Y218" s="18" t="e" cm="1">
        <f t="array" aca="1" ref="Y218" ca="1">IF(INDIRECT(ADDRESS($B218+1,Y$164,1,1,"Confirmed Trend"))=0,#N/A,INDIRECT(ADDRESS($B218+1,Y$164,1,1,"Confirmed Trend")))</f>
        <v>#N/A</v>
      </c>
      <c r="Z218" s="18" t="e" cm="1">
        <f t="array" aca="1" ref="Z218" ca="1">IF(INDIRECT(ADDRESS($B218+1,Z$164,1,1,"Confirmed Trend"))=0,#N/A,INDIRECT(ADDRESS($B218+1,Z$164,1,1,"Confirmed Trend")))</f>
        <v>#N/A</v>
      </c>
      <c r="AA218" s="18" t="e" cm="1">
        <f t="array" aca="1" ref="AA218" ca="1">IF(INDIRECT(ADDRESS($B218+1,AA$164,1,1,"Confirmed Trend"))=0,#N/A,INDIRECT(ADDRESS($B218+1,AA$164,1,1,"Confirmed Trend")))</f>
        <v>#N/A</v>
      </c>
      <c r="AB218" s="18" t="e" cm="1">
        <f t="array" aca="1" ref="AB218" ca="1">IF(INDIRECT(ADDRESS($B218+1,AB$164,1,1,"Confirmed Trend"))=0,#N/A,INDIRECT(ADDRESS($B218+1,AB$164,1,1,"Confirmed Trend")))</f>
        <v>#N/A</v>
      </c>
      <c r="AC218" s="18" t="e" cm="1">
        <f t="array" aca="1" ref="AC218" ca="1">IF(INDIRECT(ADDRESS($B218+1,AC$164,1,1,"Confirmed Trend"))=0,#N/A,INDIRECT(ADDRESS($B218+1,AC$164,1,1,"Confirmed Trend")))</f>
        <v>#N/A</v>
      </c>
      <c r="AD218" s="18" t="e" cm="1">
        <f t="array" aca="1" ref="AD218" ca="1">IF(INDIRECT(ADDRESS($B218+1,AD$164,1,1,"Confirmed Trend"))=0,#N/A,INDIRECT(ADDRESS($B218+1,AD$164,1,1,"Confirmed Trend")))</f>
        <v>#N/A</v>
      </c>
      <c r="AE218" s="18" t="e" cm="1">
        <f t="array" aca="1" ref="AE218" ca="1">IF(INDIRECT(ADDRESS($B218+1,AE$164,1,1,"Confirmed Trend"))=0,#N/A,INDIRECT(ADDRESS($B218+1,AE$164,1,1,"Confirmed Trend")))</f>
        <v>#N/A</v>
      </c>
      <c r="AF218" s="18" t="e" cm="1">
        <f t="array" aca="1" ref="AF218" ca="1">IF(INDIRECT(ADDRESS($B218+1,AF$164,1,1,"Confirmed Trend"))=0,#N/A,INDIRECT(ADDRESS($B218+1,AF$164,1,1,"Confirmed Trend")))</f>
        <v>#N/A</v>
      </c>
      <c r="AG218" s="18" t="e" cm="1">
        <f t="array" aca="1" ref="AG218" ca="1">IF(INDIRECT(ADDRESS($B218+1,AG$164,1,1,"Confirmed Trend"))=0,#N/A,INDIRECT(ADDRESS($B218+1,AG$164,1,1,"Confirmed Trend")))</f>
        <v>#N/A</v>
      </c>
      <c r="AH218" s="18" t="e" cm="1">
        <f t="array" aca="1" ref="AH218" ca="1">IF(INDIRECT(ADDRESS($B218+1,AH$164,1,1,"Confirmed Trend"))=0,#N/A,INDIRECT(ADDRESS($B218+1,AH$164,1,1,"Confirmed Trend")))</f>
        <v>#N/A</v>
      </c>
      <c r="AI218" s="18" t="e" cm="1">
        <f t="array" aca="1" ref="AI218" ca="1">IF(INDIRECT(ADDRESS($B218+1,AI$164,1,1,"Confirmed Trend"))=0,#N/A,INDIRECT(ADDRESS($B218+1,AI$164,1,1,"Confirmed Trend")))</f>
        <v>#N/A</v>
      </c>
      <c r="AJ218" s="18" t="e" cm="1">
        <f t="array" aca="1" ref="AJ218" ca="1">IF(INDIRECT(ADDRESS($B218+1,AJ$164,1,1,"Confirmed Trend"))=0,#N/A,INDIRECT(ADDRESS($B218+1,AJ$164,1,1,"Confirmed Trend")))</f>
        <v>#N/A</v>
      </c>
      <c r="AK218" s="18" t="e" cm="1">
        <f t="array" aca="1" ref="AK218" ca="1">IF(INDIRECT(ADDRESS($B218+1,AK$164,1,1,"Confirmed Trend"))=0,#N/A,INDIRECT(ADDRESS($B218+1,AK$164,1,1,"Confirmed Trend")))</f>
        <v>#N/A</v>
      </c>
      <c r="AL218" s="18" t="e" cm="1">
        <f t="array" aca="1" ref="AL218" ca="1">IF(INDIRECT(ADDRESS($B218+1,AL$164,1,1,"Confirmed Trend"))=0,#N/A,INDIRECT(ADDRESS($B218+1,AL$164,1,1,"Confirmed Trend")))</f>
        <v>#N/A</v>
      </c>
      <c r="AM218" s="18" t="e" cm="1">
        <f t="array" aca="1" ref="AM218" ca="1">IF(INDIRECT(ADDRESS($B218+1,AM$164,1,1,"Confirmed Trend"))=0,#N/A,INDIRECT(ADDRESS($B218+1,AM$164,1,1,"Confirmed Trend")))</f>
        <v>#N/A</v>
      </c>
      <c r="AN218" s="18" t="e" cm="1">
        <f t="array" aca="1" ref="AN218" ca="1">IF(INDIRECT(ADDRESS($B218+1,AN$164,1,1,"Confirmed Trend"))=0,#N/A,INDIRECT(ADDRESS($B218+1,AN$164,1,1,"Confirmed Trend")))</f>
        <v>#N/A</v>
      </c>
      <c r="AO218" s="18" t="e" cm="1">
        <f t="array" aca="1" ref="AO218" ca="1">IF(INDIRECT(ADDRESS($B218+1,AO$164,1,1,"Confirmed Trend"))=0,#N/A,INDIRECT(ADDRESS($B218+1,AO$164,1,1,"Confirmed Trend")))</f>
        <v>#N/A</v>
      </c>
      <c r="AP218" s="18" t="e" cm="1">
        <f t="array" aca="1" ref="AP218" ca="1">IF(INDIRECT(ADDRESS($B218+1,AP$164,1,1,"Confirmed Trend"))=0,#N/A,INDIRECT(ADDRESS($B218+1,AP$164,1,1,"Confirmed Trend")))</f>
        <v>#N/A</v>
      </c>
      <c r="AQ218" s="18" t="e" cm="1">
        <f t="array" aca="1" ref="AQ218" ca="1">IF(INDIRECT(ADDRESS($B218+1,AQ$164,1,1,"Confirmed Trend"))=0,#N/A,INDIRECT(ADDRESS($B218+1,AQ$164,1,1,"Confirmed Trend")))</f>
        <v>#N/A</v>
      </c>
      <c r="AR218" s="18" t="e" cm="1">
        <f t="array" aca="1" ref="AR218" ca="1">IF(INDIRECT(ADDRESS($B218+1,AR$164,1,1,"Confirmed Trend"))=0,#N/A,INDIRECT(ADDRESS($B218+1,AR$164,1,1,"Confirmed Trend")))</f>
        <v>#N/A</v>
      </c>
      <c r="AS218" s="18" t="e" cm="1">
        <f t="array" aca="1" ref="AS218" ca="1">IF(INDIRECT(ADDRESS($B218+1,AS$164,1,1,"Confirmed Trend"))=0,#N/A,INDIRECT(ADDRESS($B218+1,AS$164,1,1,"Confirmed Trend")))</f>
        <v>#N/A</v>
      </c>
      <c r="AT218" s="18" t="e" cm="1">
        <f t="array" aca="1" ref="AT218" ca="1">IF(INDIRECT(ADDRESS($B218+1,AT$164,1,1,"Confirmed Trend"))=0,#N/A,INDIRECT(ADDRESS($B218+1,AT$164,1,1,"Confirmed Trend")))</f>
        <v>#N/A</v>
      </c>
      <c r="AU218" s="18" t="e" cm="1">
        <f t="array" aca="1" ref="AU218" ca="1">IF(INDIRECT(ADDRESS($B218+1,AU$164,1,1,"Confirmed Trend"))=0,#N/A,INDIRECT(ADDRESS($B218+1,AU$164,1,1,"Confirmed Trend")))</f>
        <v>#N/A</v>
      </c>
      <c r="AV218" s="18" t="e" cm="1">
        <f t="array" aca="1" ref="AV218" ca="1">IF(INDIRECT(ADDRESS($B218+1,AV$164,1,1,"Confirmed Trend"))=0,#N/A,INDIRECT(ADDRESS($B218+1,AV$164,1,1,"Confirmed Trend")))</f>
        <v>#N/A</v>
      </c>
      <c r="AW218" s="18" t="e" cm="1">
        <f t="array" aca="1" ref="AW218" ca="1">IF(INDIRECT(ADDRESS($B218+1,AW$164,1,1,"Confirmed Trend"))=0,#N/A,INDIRECT(ADDRESS($B218+1,AW$164,1,1,"Confirmed Trend")))</f>
        <v>#N/A</v>
      </c>
      <c r="AX218" s="18" t="e" cm="1">
        <f t="array" aca="1" ref="AX218" ca="1">IF(INDIRECT(ADDRESS($B218+1,AX$164,1,1,"Confirmed Trend"))=0,#N/A,INDIRECT(ADDRESS($B218+1,AX$164,1,1,"Confirmed Trend")))</f>
        <v>#N/A</v>
      </c>
      <c r="AY218" s="18" t="e" cm="1">
        <f t="array" aca="1" ref="AY218" ca="1">IF(INDIRECT(ADDRESS($B218+1,AY$164,1,1,"Confirmed Trend"))=0,#N/A,INDIRECT(ADDRESS($B218+1,AY$164,1,1,"Confirmed Trend")))</f>
        <v>#N/A</v>
      </c>
      <c r="AZ218" s="18" t="e" cm="1">
        <f t="array" aca="1" ref="AZ218" ca="1">IF(INDIRECT(ADDRESS($B218+1,AZ$164,1,1,"Confirmed Trend"))=0,#N/A,INDIRECT(ADDRESS($B218+1,AZ$164,1,1,"Confirmed Trend")))</f>
        <v>#N/A</v>
      </c>
      <c r="BA218" s="18" t="e" cm="1">
        <f t="array" aca="1" ref="BA218" ca="1">IF(INDIRECT(ADDRESS($B218+1,BA$164,1,1,"Confirmed Trend"))=0,#N/A,INDIRECT(ADDRESS($B218+1,BA$164,1,1,"Confirmed Trend")))</f>
        <v>#N/A</v>
      </c>
      <c r="BB218" s="18" t="e" cm="1">
        <f t="array" aca="1" ref="BB218" ca="1">IF(INDIRECT(ADDRESS($B218+1,BB$164,1,1,"Confirmed Trend"))=0,#N/A,INDIRECT(ADDRESS($B218+1,BB$164,1,1,"Confirmed Trend")))</f>
        <v>#N/A</v>
      </c>
      <c r="BC218" s="18" t="e" cm="1">
        <f t="array" aca="1" ref="BC218" ca="1">IF(INDIRECT(ADDRESS($B218+1,BC$164,1,1,"Confirmed Trend"))=0,#N/A,INDIRECT(ADDRESS($B218+1,BC$164,1,1,"Confirmed Trend")))</f>
        <v>#N/A</v>
      </c>
      <c r="BD218" s="18" t="e" cm="1">
        <f t="array" aca="1" ref="BD218" ca="1">IF(INDIRECT(ADDRESS($B218+1,BD$164,1,1,"Confirmed Trend"))=0,#N/A,INDIRECT(ADDRESS($B218+1,BD$164,1,1,"Confirmed Trend")))</f>
        <v>#N/A</v>
      </c>
      <c r="BE218" s="18" t="e" cm="1">
        <f t="array" aca="1" ref="BE218" ca="1">IF(INDIRECT(ADDRESS($B218+1,BE$164,1,1,"Confirmed Trend"))=0,#N/A,INDIRECT(ADDRESS($B218+1,BE$164,1,1,"Confirmed Trend")))</f>
        <v>#N/A</v>
      </c>
      <c r="BF218" s="18" t="e" cm="1">
        <f t="array" aca="1" ref="BF218" ca="1">IF(INDIRECT(ADDRESS($B218+1,BF$164,1,1,"Confirmed Trend"))=0,#N/A,INDIRECT(ADDRESS($B218+1,BF$164,1,1,"Confirmed Trend")))</f>
        <v>#N/A</v>
      </c>
      <c r="BG218" s="18" t="e" cm="1">
        <f t="array" aca="1" ref="BG218" ca="1">IF(INDIRECT(ADDRESS($B218+1,BG$164,1,1,"Confirmed Trend"))=0,#N/A,INDIRECT(ADDRESS($B218+1,BG$164,1,1,"Confirmed Trend")))</f>
        <v>#N/A</v>
      </c>
      <c r="BH218" s="18" t="e" cm="1">
        <f t="array" aca="1" ref="BH218" ca="1">IF(INDIRECT(ADDRESS($B218+1,BH$164,1,1,"Confirmed Trend"))=0,#N/A,INDIRECT(ADDRESS($B218+1,BH$164,1,1,"Confirmed Trend")))</f>
        <v>#N/A</v>
      </c>
      <c r="BI218" s="18" t="e" cm="1">
        <f t="array" aca="1" ref="BI218" ca="1">IF(INDIRECT(ADDRESS($B218+1,BI$164,1,1,"Confirmed Trend"))=0,#N/A,INDIRECT(ADDRESS($B218+1,BI$164,1,1,"Confirmed Trend")))</f>
        <v>#N/A</v>
      </c>
      <c r="BJ218" s="18" t="e" cm="1">
        <f t="array" aca="1" ref="BJ218" ca="1">IF(INDIRECT(ADDRESS($B218+1,BJ$164,1,1,"Confirmed Trend"))=0,#N/A,INDIRECT(ADDRESS($B218+1,BJ$164,1,1,"Confirmed Trend")))</f>
        <v>#N/A</v>
      </c>
      <c r="BK218" s="18" t="e" cm="1">
        <f t="array" aca="1" ref="BK218" ca="1">IF(INDIRECT(ADDRESS($B218+1,BK$164,1,1,"Confirmed Trend"))=0,#N/A,INDIRECT(ADDRESS($B218+1,BK$164,1,1,"Confirmed Trend")))</f>
        <v>#N/A</v>
      </c>
      <c r="BL218" s="18" t="e" cm="1">
        <f t="array" aca="1" ref="BL218" ca="1">IF(INDIRECT(ADDRESS($B218+1,BL$164,1,1,"Confirmed Trend"))=0,#N/A,INDIRECT(ADDRESS($B218+1,BL$164,1,1,"Confirmed Trend")))</f>
        <v>#N/A</v>
      </c>
      <c r="BM218" s="18" t="e" cm="1">
        <f t="array" aca="1" ref="BM218" ca="1">IF(INDIRECT(ADDRESS($B218+1,BM$164,1,1,"Confirmed Trend"))=0,#N/A,INDIRECT(ADDRESS($B218+1,BM$164,1,1,"Confirmed Trend")))</f>
        <v>#N/A</v>
      </c>
      <c r="BN218" s="18" t="e" cm="1">
        <f t="array" aca="1" ref="BN218" ca="1">IF(INDIRECT(ADDRESS($B218+1,BN$164,1,1,"Confirmed Trend"))=0,#N/A,INDIRECT(ADDRESS($B218+1,BN$164,1,1,"Confirmed Trend")))</f>
        <v>#N/A</v>
      </c>
      <c r="BO218" s="18" t="e" cm="1">
        <f t="array" aca="1" ref="BO218" ca="1">IF(INDIRECT(ADDRESS($B218+1,BO$164,1,1,"Confirmed Trend"))=0,#N/A,INDIRECT(ADDRESS($B218+1,BO$164,1,1,"Confirmed Trend")))</f>
        <v>#N/A</v>
      </c>
      <c r="BP218" s="18" t="e" cm="1">
        <f t="array" aca="1" ref="BP218" ca="1">IF(INDIRECT(ADDRESS($B218+1,BP$164,1,1,"Confirmed Trend"))=0,#N/A,INDIRECT(ADDRESS($B218+1,BP$164,1,1,"Confirmed Trend")))</f>
        <v>#N/A</v>
      </c>
      <c r="BQ218" s="18" t="e" cm="1">
        <f t="array" aca="1" ref="BQ218" ca="1">IF(INDIRECT(ADDRESS($B218+1,BQ$164,1,1,"Confirmed Trend"))=0,#N/A,INDIRECT(ADDRESS($B218+1,BQ$164,1,1,"Confirmed Trend")))</f>
        <v>#N/A</v>
      </c>
      <c r="BR218" s="18" t="e" cm="1">
        <f t="array" aca="1" ref="BR218" ca="1">IF(INDIRECT(ADDRESS($B218+1,BR$164,1,1,"Confirmed Trend"))=0,#N/A,INDIRECT(ADDRESS($B218+1,BR$164,1,1,"Confirmed Trend")))</f>
        <v>#N/A</v>
      </c>
      <c r="BS218" s="18" t="e" cm="1">
        <f t="array" aca="1" ref="BS218" ca="1">IF(INDIRECT(ADDRESS($B218+1,BS$164,1,1,"Confirmed Trend"))=0,#N/A,INDIRECT(ADDRESS($B218+1,BS$164,1,1,"Confirmed Trend")))</f>
        <v>#N/A</v>
      </c>
      <c r="BT218" s="18" t="e" cm="1">
        <f t="array" aca="1" ref="BT218" ca="1">IF(INDIRECT(ADDRESS($B218+1,BT$164,1,1,"Confirmed Trend"))=0,#N/A,INDIRECT(ADDRESS($B218+1,BT$164,1,1,"Confirmed Trend")))</f>
        <v>#N/A</v>
      </c>
      <c r="BU218" s="18" t="e" cm="1">
        <f t="array" aca="1" ref="BU218" ca="1">IF(INDIRECT(ADDRESS($B218+1,BU$164,1,1,"Confirmed Trend"))=0,#N/A,INDIRECT(ADDRESS($B218+1,BU$164,1,1,"Confirmed Trend")))</f>
        <v>#N/A</v>
      </c>
      <c r="BV218" s="18" t="e" cm="1">
        <f t="array" aca="1" ref="BV218" ca="1">IF(INDIRECT(ADDRESS($B218+1,BV$164,1,1,"Confirmed Trend"))=0,#N/A,INDIRECT(ADDRESS($B218+1,BV$164,1,1,"Confirmed Trend")))</f>
        <v>#N/A</v>
      </c>
    </row>
    <row r="219" spans="2:74" x14ac:dyDescent="0.25">
      <c r="B219">
        <f t="shared" si="132"/>
        <v>54</v>
      </c>
      <c r="C219" cm="1">
        <f t="array" aca="1" ref="C219" ca="1">INDIRECT(ADDRESS($B219+1,1,1,1,"Confirmed Trend"))</f>
        <v>0</v>
      </c>
      <c r="E219" s="18" t="e" cm="1">
        <f t="array" aca="1" ref="E219" ca="1">IF(INDIRECT(ADDRESS($B219+1,E$164,1,1,"Confirmed Trend"))=0,#N/A,INDIRECT(ADDRESS($B219+1,E$164,1,1,"Confirmed Trend")))</f>
        <v>#N/A</v>
      </c>
      <c r="F219" s="18" t="e" cm="1">
        <f t="array" aca="1" ref="F219" ca="1">IF(INDIRECT(ADDRESS($B219+1,F$164,1,1,"Confirmed Trend"))=0,#N/A,INDIRECT(ADDRESS($B219+1,F$164,1,1,"Confirmed Trend")))</f>
        <v>#N/A</v>
      </c>
      <c r="G219" s="18" t="e" cm="1">
        <f t="array" aca="1" ref="G219" ca="1">IF(INDIRECT(ADDRESS($B219+1,G$164,1,1,"Confirmed Trend"))=0,#N/A,INDIRECT(ADDRESS($B219+1,G$164,1,1,"Confirmed Trend")))</f>
        <v>#N/A</v>
      </c>
      <c r="H219" s="18" t="e" cm="1">
        <f t="array" aca="1" ref="H219" ca="1">IF(INDIRECT(ADDRESS($B219+1,H$164,1,1,"Confirmed Trend"))=0,#N/A,INDIRECT(ADDRESS($B219+1,H$164,1,1,"Confirmed Trend")))</f>
        <v>#N/A</v>
      </c>
      <c r="I219" s="18" t="e" cm="1">
        <f t="array" aca="1" ref="I219" ca="1">IF(INDIRECT(ADDRESS($B219+1,I$164,1,1,"Confirmed Trend"))=0,#N/A,INDIRECT(ADDRESS($B219+1,I$164,1,1,"Confirmed Trend")))</f>
        <v>#N/A</v>
      </c>
      <c r="J219" s="18" t="e" cm="1">
        <f t="array" aca="1" ref="J219" ca="1">IF(INDIRECT(ADDRESS($B219+1,J$164,1,1,"Confirmed Trend"))=0,#N/A,INDIRECT(ADDRESS($B219+1,J$164,1,1,"Confirmed Trend")))</f>
        <v>#N/A</v>
      </c>
      <c r="K219" s="18" t="e" cm="1">
        <f t="array" aca="1" ref="K219" ca="1">IF(INDIRECT(ADDRESS($B219+1,K$164,1,1,"Confirmed Trend"))=0,#N/A,INDIRECT(ADDRESS($B219+1,K$164,1,1,"Confirmed Trend")))</f>
        <v>#N/A</v>
      </c>
      <c r="L219" s="18" t="e" cm="1">
        <f t="array" aca="1" ref="L219" ca="1">IF(INDIRECT(ADDRESS($B219+1,L$164,1,1,"Confirmed Trend"))=0,#N/A,INDIRECT(ADDRESS($B219+1,L$164,1,1,"Confirmed Trend")))</f>
        <v>#N/A</v>
      </c>
      <c r="M219" s="18" t="e" cm="1">
        <f t="array" aca="1" ref="M219" ca="1">IF(INDIRECT(ADDRESS($B219+1,M$164,1,1,"Confirmed Trend"))=0,#N/A,INDIRECT(ADDRESS($B219+1,M$164,1,1,"Confirmed Trend")))</f>
        <v>#N/A</v>
      </c>
      <c r="N219" s="18" t="e" cm="1">
        <f t="array" aca="1" ref="N219" ca="1">IF(INDIRECT(ADDRESS($B219+1,N$164,1,1,"Confirmed Trend"))=0,#N/A,INDIRECT(ADDRESS($B219+1,N$164,1,1,"Confirmed Trend")))</f>
        <v>#N/A</v>
      </c>
      <c r="O219" s="18" t="e" cm="1">
        <f t="array" aca="1" ref="O219" ca="1">IF(INDIRECT(ADDRESS($B219+1,O$164,1,1,"Confirmed Trend"))=0,#N/A,INDIRECT(ADDRESS($B219+1,O$164,1,1,"Confirmed Trend")))</f>
        <v>#N/A</v>
      </c>
      <c r="P219" s="18" t="e" cm="1">
        <f t="array" aca="1" ref="P219" ca="1">IF(INDIRECT(ADDRESS($B219+1,P$164,1,1,"Confirmed Trend"))=0,#N/A,INDIRECT(ADDRESS($B219+1,P$164,1,1,"Confirmed Trend")))</f>
        <v>#N/A</v>
      </c>
      <c r="Q219" s="18" t="e" cm="1">
        <f t="array" aca="1" ref="Q219" ca="1">IF(INDIRECT(ADDRESS($B219+1,Q$164,1,1,"Confirmed Trend"))=0,#N/A,INDIRECT(ADDRESS($B219+1,Q$164,1,1,"Confirmed Trend")))</f>
        <v>#N/A</v>
      </c>
      <c r="R219" s="18" t="e" cm="1">
        <f t="array" aca="1" ref="R219" ca="1">IF(INDIRECT(ADDRESS($B219+1,R$164,1,1,"Confirmed Trend"))=0,#N/A,INDIRECT(ADDRESS($B219+1,R$164,1,1,"Confirmed Trend")))</f>
        <v>#N/A</v>
      </c>
      <c r="S219" s="18" t="e" cm="1">
        <f t="array" aca="1" ref="S219" ca="1">IF(INDIRECT(ADDRESS($B219+1,S$164,1,1,"Confirmed Trend"))=0,#N/A,INDIRECT(ADDRESS($B219+1,S$164,1,1,"Confirmed Trend")))</f>
        <v>#N/A</v>
      </c>
      <c r="T219" s="18" t="e" cm="1">
        <f t="array" aca="1" ref="T219" ca="1">IF(INDIRECT(ADDRESS($B219+1,T$164,1,1,"Confirmed Trend"))=0,#N/A,INDIRECT(ADDRESS($B219+1,T$164,1,1,"Confirmed Trend")))</f>
        <v>#N/A</v>
      </c>
      <c r="U219" s="18" t="e" cm="1">
        <f t="array" aca="1" ref="U219" ca="1">IF(INDIRECT(ADDRESS($B219+1,U$164,1,1,"Confirmed Trend"))=0,#N/A,INDIRECT(ADDRESS($B219+1,U$164,1,1,"Confirmed Trend")))</f>
        <v>#N/A</v>
      </c>
      <c r="V219" s="18" t="e" cm="1">
        <f t="array" aca="1" ref="V219" ca="1">IF(INDIRECT(ADDRESS($B219+1,V$164,1,1,"Confirmed Trend"))=0,#N/A,INDIRECT(ADDRESS($B219+1,V$164,1,1,"Confirmed Trend")))</f>
        <v>#N/A</v>
      </c>
      <c r="W219" s="18" t="e" cm="1">
        <f t="array" aca="1" ref="W219" ca="1">IF(INDIRECT(ADDRESS($B219+1,W$164,1,1,"Confirmed Trend"))=0,#N/A,INDIRECT(ADDRESS($B219+1,W$164,1,1,"Confirmed Trend")))</f>
        <v>#N/A</v>
      </c>
      <c r="X219" s="18" t="e" cm="1">
        <f t="array" aca="1" ref="X219" ca="1">IF(INDIRECT(ADDRESS($B219+1,X$164,1,1,"Confirmed Trend"))=0,#N/A,INDIRECT(ADDRESS($B219+1,X$164,1,1,"Confirmed Trend")))</f>
        <v>#N/A</v>
      </c>
      <c r="Y219" s="18" t="e" cm="1">
        <f t="array" aca="1" ref="Y219" ca="1">IF(INDIRECT(ADDRESS($B219+1,Y$164,1,1,"Confirmed Trend"))=0,#N/A,INDIRECT(ADDRESS($B219+1,Y$164,1,1,"Confirmed Trend")))</f>
        <v>#N/A</v>
      </c>
      <c r="Z219" s="18" t="e" cm="1">
        <f t="array" aca="1" ref="Z219" ca="1">IF(INDIRECT(ADDRESS($B219+1,Z$164,1,1,"Confirmed Trend"))=0,#N/A,INDIRECT(ADDRESS($B219+1,Z$164,1,1,"Confirmed Trend")))</f>
        <v>#N/A</v>
      </c>
      <c r="AA219" s="18" t="e" cm="1">
        <f t="array" aca="1" ref="AA219" ca="1">IF(INDIRECT(ADDRESS($B219+1,AA$164,1,1,"Confirmed Trend"))=0,#N/A,INDIRECT(ADDRESS($B219+1,AA$164,1,1,"Confirmed Trend")))</f>
        <v>#N/A</v>
      </c>
      <c r="AB219" s="18" t="e" cm="1">
        <f t="array" aca="1" ref="AB219" ca="1">IF(INDIRECT(ADDRESS($B219+1,AB$164,1,1,"Confirmed Trend"))=0,#N/A,INDIRECT(ADDRESS($B219+1,AB$164,1,1,"Confirmed Trend")))</f>
        <v>#N/A</v>
      </c>
      <c r="AC219" s="18" t="e" cm="1">
        <f t="array" aca="1" ref="AC219" ca="1">IF(INDIRECT(ADDRESS($B219+1,AC$164,1,1,"Confirmed Trend"))=0,#N/A,INDIRECT(ADDRESS($B219+1,AC$164,1,1,"Confirmed Trend")))</f>
        <v>#N/A</v>
      </c>
      <c r="AD219" s="18" t="e" cm="1">
        <f t="array" aca="1" ref="AD219" ca="1">IF(INDIRECT(ADDRESS($B219+1,AD$164,1,1,"Confirmed Trend"))=0,#N/A,INDIRECT(ADDRESS($B219+1,AD$164,1,1,"Confirmed Trend")))</f>
        <v>#N/A</v>
      </c>
      <c r="AE219" s="18" t="e" cm="1">
        <f t="array" aca="1" ref="AE219" ca="1">IF(INDIRECT(ADDRESS($B219+1,AE$164,1,1,"Confirmed Trend"))=0,#N/A,INDIRECT(ADDRESS($B219+1,AE$164,1,1,"Confirmed Trend")))</f>
        <v>#N/A</v>
      </c>
      <c r="AF219" s="18" t="e" cm="1">
        <f t="array" aca="1" ref="AF219" ca="1">IF(INDIRECT(ADDRESS($B219+1,AF$164,1,1,"Confirmed Trend"))=0,#N/A,INDIRECT(ADDRESS($B219+1,AF$164,1,1,"Confirmed Trend")))</f>
        <v>#N/A</v>
      </c>
      <c r="AG219" s="18" t="e" cm="1">
        <f t="array" aca="1" ref="AG219" ca="1">IF(INDIRECT(ADDRESS($B219+1,AG$164,1,1,"Confirmed Trend"))=0,#N/A,INDIRECT(ADDRESS($B219+1,AG$164,1,1,"Confirmed Trend")))</f>
        <v>#N/A</v>
      </c>
      <c r="AH219" s="18" t="e" cm="1">
        <f t="array" aca="1" ref="AH219" ca="1">IF(INDIRECT(ADDRESS($B219+1,AH$164,1,1,"Confirmed Trend"))=0,#N/A,INDIRECT(ADDRESS($B219+1,AH$164,1,1,"Confirmed Trend")))</f>
        <v>#N/A</v>
      </c>
      <c r="AI219" s="18" t="e" cm="1">
        <f t="array" aca="1" ref="AI219" ca="1">IF(INDIRECT(ADDRESS($B219+1,AI$164,1,1,"Confirmed Trend"))=0,#N/A,INDIRECT(ADDRESS($B219+1,AI$164,1,1,"Confirmed Trend")))</f>
        <v>#N/A</v>
      </c>
      <c r="AJ219" s="18" t="e" cm="1">
        <f t="array" aca="1" ref="AJ219" ca="1">IF(INDIRECT(ADDRESS($B219+1,AJ$164,1,1,"Confirmed Trend"))=0,#N/A,INDIRECT(ADDRESS($B219+1,AJ$164,1,1,"Confirmed Trend")))</f>
        <v>#N/A</v>
      </c>
      <c r="AK219" s="18" t="e" cm="1">
        <f t="array" aca="1" ref="AK219" ca="1">IF(INDIRECT(ADDRESS($B219+1,AK$164,1,1,"Confirmed Trend"))=0,#N/A,INDIRECT(ADDRESS($B219+1,AK$164,1,1,"Confirmed Trend")))</f>
        <v>#N/A</v>
      </c>
      <c r="AL219" s="18" t="e" cm="1">
        <f t="array" aca="1" ref="AL219" ca="1">IF(INDIRECT(ADDRESS($B219+1,AL$164,1,1,"Confirmed Trend"))=0,#N/A,INDIRECT(ADDRESS($B219+1,AL$164,1,1,"Confirmed Trend")))</f>
        <v>#N/A</v>
      </c>
      <c r="AM219" s="18" t="e" cm="1">
        <f t="array" aca="1" ref="AM219" ca="1">IF(INDIRECT(ADDRESS($B219+1,AM$164,1,1,"Confirmed Trend"))=0,#N/A,INDIRECT(ADDRESS($B219+1,AM$164,1,1,"Confirmed Trend")))</f>
        <v>#N/A</v>
      </c>
      <c r="AN219" s="18" t="e" cm="1">
        <f t="array" aca="1" ref="AN219" ca="1">IF(INDIRECT(ADDRESS($B219+1,AN$164,1,1,"Confirmed Trend"))=0,#N/A,INDIRECT(ADDRESS($B219+1,AN$164,1,1,"Confirmed Trend")))</f>
        <v>#N/A</v>
      </c>
      <c r="AO219" s="18" t="e" cm="1">
        <f t="array" aca="1" ref="AO219" ca="1">IF(INDIRECT(ADDRESS($B219+1,AO$164,1,1,"Confirmed Trend"))=0,#N/A,INDIRECT(ADDRESS($B219+1,AO$164,1,1,"Confirmed Trend")))</f>
        <v>#N/A</v>
      </c>
      <c r="AP219" s="18" t="e" cm="1">
        <f t="array" aca="1" ref="AP219" ca="1">IF(INDIRECT(ADDRESS($B219+1,AP$164,1,1,"Confirmed Trend"))=0,#N/A,INDIRECT(ADDRESS($B219+1,AP$164,1,1,"Confirmed Trend")))</f>
        <v>#N/A</v>
      </c>
      <c r="AQ219" s="18" t="e" cm="1">
        <f t="array" aca="1" ref="AQ219" ca="1">IF(INDIRECT(ADDRESS($B219+1,AQ$164,1,1,"Confirmed Trend"))=0,#N/A,INDIRECT(ADDRESS($B219+1,AQ$164,1,1,"Confirmed Trend")))</f>
        <v>#N/A</v>
      </c>
      <c r="AR219" s="18" t="e" cm="1">
        <f t="array" aca="1" ref="AR219" ca="1">IF(INDIRECT(ADDRESS($B219+1,AR$164,1,1,"Confirmed Trend"))=0,#N/A,INDIRECT(ADDRESS($B219+1,AR$164,1,1,"Confirmed Trend")))</f>
        <v>#N/A</v>
      </c>
      <c r="AS219" s="18" t="e" cm="1">
        <f t="array" aca="1" ref="AS219" ca="1">IF(INDIRECT(ADDRESS($B219+1,AS$164,1,1,"Confirmed Trend"))=0,#N/A,INDIRECT(ADDRESS($B219+1,AS$164,1,1,"Confirmed Trend")))</f>
        <v>#N/A</v>
      </c>
      <c r="AT219" s="18" t="e" cm="1">
        <f t="array" aca="1" ref="AT219" ca="1">IF(INDIRECT(ADDRESS($B219+1,AT$164,1,1,"Confirmed Trend"))=0,#N/A,INDIRECT(ADDRESS($B219+1,AT$164,1,1,"Confirmed Trend")))</f>
        <v>#N/A</v>
      </c>
      <c r="AU219" s="18" t="e" cm="1">
        <f t="array" aca="1" ref="AU219" ca="1">IF(INDIRECT(ADDRESS($B219+1,AU$164,1,1,"Confirmed Trend"))=0,#N/A,INDIRECT(ADDRESS($B219+1,AU$164,1,1,"Confirmed Trend")))</f>
        <v>#N/A</v>
      </c>
      <c r="AV219" s="18" t="e" cm="1">
        <f t="array" aca="1" ref="AV219" ca="1">IF(INDIRECT(ADDRESS($B219+1,AV$164,1,1,"Confirmed Trend"))=0,#N/A,INDIRECT(ADDRESS($B219+1,AV$164,1,1,"Confirmed Trend")))</f>
        <v>#N/A</v>
      </c>
      <c r="AW219" s="18" t="e" cm="1">
        <f t="array" aca="1" ref="AW219" ca="1">IF(INDIRECT(ADDRESS($B219+1,AW$164,1,1,"Confirmed Trend"))=0,#N/A,INDIRECT(ADDRESS($B219+1,AW$164,1,1,"Confirmed Trend")))</f>
        <v>#N/A</v>
      </c>
      <c r="AX219" s="18" t="e" cm="1">
        <f t="array" aca="1" ref="AX219" ca="1">IF(INDIRECT(ADDRESS($B219+1,AX$164,1,1,"Confirmed Trend"))=0,#N/A,INDIRECT(ADDRESS($B219+1,AX$164,1,1,"Confirmed Trend")))</f>
        <v>#N/A</v>
      </c>
      <c r="AY219" s="18" t="e" cm="1">
        <f t="array" aca="1" ref="AY219" ca="1">IF(INDIRECT(ADDRESS($B219+1,AY$164,1,1,"Confirmed Trend"))=0,#N/A,INDIRECT(ADDRESS($B219+1,AY$164,1,1,"Confirmed Trend")))</f>
        <v>#N/A</v>
      </c>
      <c r="AZ219" s="18" t="e" cm="1">
        <f t="array" aca="1" ref="AZ219" ca="1">IF(INDIRECT(ADDRESS($B219+1,AZ$164,1,1,"Confirmed Trend"))=0,#N/A,INDIRECT(ADDRESS($B219+1,AZ$164,1,1,"Confirmed Trend")))</f>
        <v>#N/A</v>
      </c>
      <c r="BA219" s="18" t="e" cm="1">
        <f t="array" aca="1" ref="BA219" ca="1">IF(INDIRECT(ADDRESS($B219+1,BA$164,1,1,"Confirmed Trend"))=0,#N/A,INDIRECT(ADDRESS($B219+1,BA$164,1,1,"Confirmed Trend")))</f>
        <v>#N/A</v>
      </c>
      <c r="BB219" s="18" t="e" cm="1">
        <f t="array" aca="1" ref="BB219" ca="1">IF(INDIRECT(ADDRESS($B219+1,BB$164,1,1,"Confirmed Trend"))=0,#N/A,INDIRECT(ADDRESS($B219+1,BB$164,1,1,"Confirmed Trend")))</f>
        <v>#N/A</v>
      </c>
      <c r="BC219" s="18" t="e" cm="1">
        <f t="array" aca="1" ref="BC219" ca="1">IF(INDIRECT(ADDRESS($B219+1,BC$164,1,1,"Confirmed Trend"))=0,#N/A,INDIRECT(ADDRESS($B219+1,BC$164,1,1,"Confirmed Trend")))</f>
        <v>#N/A</v>
      </c>
      <c r="BD219" s="18" t="e" cm="1">
        <f t="array" aca="1" ref="BD219" ca="1">IF(INDIRECT(ADDRESS($B219+1,BD$164,1,1,"Confirmed Trend"))=0,#N/A,INDIRECT(ADDRESS($B219+1,BD$164,1,1,"Confirmed Trend")))</f>
        <v>#N/A</v>
      </c>
      <c r="BE219" s="18" t="e" cm="1">
        <f t="array" aca="1" ref="BE219" ca="1">IF(INDIRECT(ADDRESS($B219+1,BE$164,1,1,"Confirmed Trend"))=0,#N/A,INDIRECT(ADDRESS($B219+1,BE$164,1,1,"Confirmed Trend")))</f>
        <v>#N/A</v>
      </c>
      <c r="BF219" s="18" t="e" cm="1">
        <f t="array" aca="1" ref="BF219" ca="1">IF(INDIRECT(ADDRESS($B219+1,BF$164,1,1,"Confirmed Trend"))=0,#N/A,INDIRECT(ADDRESS($B219+1,BF$164,1,1,"Confirmed Trend")))</f>
        <v>#N/A</v>
      </c>
      <c r="BG219" s="18" t="e" cm="1">
        <f t="array" aca="1" ref="BG219" ca="1">IF(INDIRECT(ADDRESS($B219+1,BG$164,1,1,"Confirmed Trend"))=0,#N/A,INDIRECT(ADDRESS($B219+1,BG$164,1,1,"Confirmed Trend")))</f>
        <v>#N/A</v>
      </c>
      <c r="BH219" s="18" t="e" cm="1">
        <f t="array" aca="1" ref="BH219" ca="1">IF(INDIRECT(ADDRESS($B219+1,BH$164,1,1,"Confirmed Trend"))=0,#N/A,INDIRECT(ADDRESS($B219+1,BH$164,1,1,"Confirmed Trend")))</f>
        <v>#N/A</v>
      </c>
      <c r="BI219" s="18" t="e" cm="1">
        <f t="array" aca="1" ref="BI219" ca="1">IF(INDIRECT(ADDRESS($B219+1,BI$164,1,1,"Confirmed Trend"))=0,#N/A,INDIRECT(ADDRESS($B219+1,BI$164,1,1,"Confirmed Trend")))</f>
        <v>#N/A</v>
      </c>
      <c r="BJ219" s="18" t="e" cm="1">
        <f t="array" aca="1" ref="BJ219" ca="1">IF(INDIRECT(ADDRESS($B219+1,BJ$164,1,1,"Confirmed Trend"))=0,#N/A,INDIRECT(ADDRESS($B219+1,BJ$164,1,1,"Confirmed Trend")))</f>
        <v>#N/A</v>
      </c>
      <c r="BK219" s="18" t="e" cm="1">
        <f t="array" aca="1" ref="BK219" ca="1">IF(INDIRECT(ADDRESS($B219+1,BK$164,1,1,"Confirmed Trend"))=0,#N/A,INDIRECT(ADDRESS($B219+1,BK$164,1,1,"Confirmed Trend")))</f>
        <v>#N/A</v>
      </c>
      <c r="BL219" s="18" t="e" cm="1">
        <f t="array" aca="1" ref="BL219" ca="1">IF(INDIRECT(ADDRESS($B219+1,BL$164,1,1,"Confirmed Trend"))=0,#N/A,INDIRECT(ADDRESS($B219+1,BL$164,1,1,"Confirmed Trend")))</f>
        <v>#N/A</v>
      </c>
      <c r="BM219" s="18" t="e" cm="1">
        <f t="array" aca="1" ref="BM219" ca="1">IF(INDIRECT(ADDRESS($B219+1,BM$164,1,1,"Confirmed Trend"))=0,#N/A,INDIRECT(ADDRESS($B219+1,BM$164,1,1,"Confirmed Trend")))</f>
        <v>#N/A</v>
      </c>
      <c r="BN219" s="18" t="e" cm="1">
        <f t="array" aca="1" ref="BN219" ca="1">IF(INDIRECT(ADDRESS($B219+1,BN$164,1,1,"Confirmed Trend"))=0,#N/A,INDIRECT(ADDRESS($B219+1,BN$164,1,1,"Confirmed Trend")))</f>
        <v>#N/A</v>
      </c>
      <c r="BO219" s="18" t="e" cm="1">
        <f t="array" aca="1" ref="BO219" ca="1">IF(INDIRECT(ADDRESS($B219+1,BO$164,1,1,"Confirmed Trend"))=0,#N/A,INDIRECT(ADDRESS($B219+1,BO$164,1,1,"Confirmed Trend")))</f>
        <v>#N/A</v>
      </c>
      <c r="BP219" s="18" t="e" cm="1">
        <f t="array" aca="1" ref="BP219" ca="1">IF(INDIRECT(ADDRESS($B219+1,BP$164,1,1,"Confirmed Trend"))=0,#N/A,INDIRECT(ADDRESS($B219+1,BP$164,1,1,"Confirmed Trend")))</f>
        <v>#N/A</v>
      </c>
      <c r="BQ219" s="18" t="e" cm="1">
        <f t="array" aca="1" ref="BQ219" ca="1">IF(INDIRECT(ADDRESS($B219+1,BQ$164,1,1,"Confirmed Trend"))=0,#N/A,INDIRECT(ADDRESS($B219+1,BQ$164,1,1,"Confirmed Trend")))</f>
        <v>#N/A</v>
      </c>
      <c r="BR219" s="18" t="e" cm="1">
        <f t="array" aca="1" ref="BR219" ca="1">IF(INDIRECT(ADDRESS($B219+1,BR$164,1,1,"Confirmed Trend"))=0,#N/A,INDIRECT(ADDRESS($B219+1,BR$164,1,1,"Confirmed Trend")))</f>
        <v>#N/A</v>
      </c>
      <c r="BS219" s="18" t="e" cm="1">
        <f t="array" aca="1" ref="BS219" ca="1">IF(INDIRECT(ADDRESS($B219+1,BS$164,1,1,"Confirmed Trend"))=0,#N/A,INDIRECT(ADDRESS($B219+1,BS$164,1,1,"Confirmed Trend")))</f>
        <v>#N/A</v>
      </c>
      <c r="BT219" s="18" t="e" cm="1">
        <f t="array" aca="1" ref="BT219" ca="1">IF(INDIRECT(ADDRESS($B219+1,BT$164,1,1,"Confirmed Trend"))=0,#N/A,INDIRECT(ADDRESS($B219+1,BT$164,1,1,"Confirmed Trend")))</f>
        <v>#N/A</v>
      </c>
      <c r="BU219" s="18" t="e" cm="1">
        <f t="array" aca="1" ref="BU219" ca="1">IF(INDIRECT(ADDRESS($B219+1,BU$164,1,1,"Confirmed Trend"))=0,#N/A,INDIRECT(ADDRESS($B219+1,BU$164,1,1,"Confirmed Trend")))</f>
        <v>#N/A</v>
      </c>
      <c r="BV219" s="18" t="e" cm="1">
        <f t="array" aca="1" ref="BV219" ca="1">IF(INDIRECT(ADDRESS($B219+1,BV$164,1,1,"Confirmed Trend"))=0,#N/A,INDIRECT(ADDRESS($B219+1,BV$164,1,1,"Confirmed Trend")))</f>
        <v>#N/A</v>
      </c>
    </row>
    <row r="220" spans="2:74" x14ac:dyDescent="0.25">
      <c r="B220">
        <f t="shared" si="132"/>
        <v>55</v>
      </c>
      <c r="C220" cm="1">
        <f t="array" aca="1" ref="C220" ca="1">INDIRECT(ADDRESS($B220+1,1,1,1,"Confirmed Trend"))</f>
        <v>0</v>
      </c>
      <c r="E220" s="18" t="e" cm="1">
        <f t="array" aca="1" ref="E220" ca="1">IF(INDIRECT(ADDRESS($B220+1,E$164,1,1,"Confirmed Trend"))=0,#N/A,INDIRECT(ADDRESS($B220+1,E$164,1,1,"Confirmed Trend")))</f>
        <v>#N/A</v>
      </c>
      <c r="F220" s="18" t="e" cm="1">
        <f t="array" aca="1" ref="F220" ca="1">IF(INDIRECT(ADDRESS($B220+1,F$164,1,1,"Confirmed Trend"))=0,#N/A,INDIRECT(ADDRESS($B220+1,F$164,1,1,"Confirmed Trend")))</f>
        <v>#N/A</v>
      </c>
      <c r="G220" s="18" t="e" cm="1">
        <f t="array" aca="1" ref="G220" ca="1">IF(INDIRECT(ADDRESS($B220+1,G$164,1,1,"Confirmed Trend"))=0,#N/A,INDIRECT(ADDRESS($B220+1,G$164,1,1,"Confirmed Trend")))</f>
        <v>#N/A</v>
      </c>
      <c r="H220" s="18" t="e" cm="1">
        <f t="array" aca="1" ref="H220" ca="1">IF(INDIRECT(ADDRESS($B220+1,H$164,1,1,"Confirmed Trend"))=0,#N/A,INDIRECT(ADDRESS($B220+1,H$164,1,1,"Confirmed Trend")))</f>
        <v>#N/A</v>
      </c>
      <c r="I220" s="18" t="e" cm="1">
        <f t="array" aca="1" ref="I220" ca="1">IF(INDIRECT(ADDRESS($B220+1,I$164,1,1,"Confirmed Trend"))=0,#N/A,INDIRECT(ADDRESS($B220+1,I$164,1,1,"Confirmed Trend")))</f>
        <v>#N/A</v>
      </c>
      <c r="J220" s="18" t="e" cm="1">
        <f t="array" aca="1" ref="J220" ca="1">IF(INDIRECT(ADDRESS($B220+1,J$164,1,1,"Confirmed Trend"))=0,#N/A,INDIRECT(ADDRESS($B220+1,J$164,1,1,"Confirmed Trend")))</f>
        <v>#N/A</v>
      </c>
      <c r="K220" s="18" t="e" cm="1">
        <f t="array" aca="1" ref="K220" ca="1">IF(INDIRECT(ADDRESS($B220+1,K$164,1,1,"Confirmed Trend"))=0,#N/A,INDIRECT(ADDRESS($B220+1,K$164,1,1,"Confirmed Trend")))</f>
        <v>#N/A</v>
      </c>
      <c r="L220" s="18" t="e" cm="1">
        <f t="array" aca="1" ref="L220" ca="1">IF(INDIRECT(ADDRESS($B220+1,L$164,1,1,"Confirmed Trend"))=0,#N/A,INDIRECT(ADDRESS($B220+1,L$164,1,1,"Confirmed Trend")))</f>
        <v>#N/A</v>
      </c>
      <c r="M220" s="18" t="e" cm="1">
        <f t="array" aca="1" ref="M220" ca="1">IF(INDIRECT(ADDRESS($B220+1,M$164,1,1,"Confirmed Trend"))=0,#N/A,INDIRECT(ADDRESS($B220+1,M$164,1,1,"Confirmed Trend")))</f>
        <v>#N/A</v>
      </c>
      <c r="N220" s="18" t="e" cm="1">
        <f t="array" aca="1" ref="N220" ca="1">IF(INDIRECT(ADDRESS($B220+1,N$164,1,1,"Confirmed Trend"))=0,#N/A,INDIRECT(ADDRESS($B220+1,N$164,1,1,"Confirmed Trend")))</f>
        <v>#N/A</v>
      </c>
      <c r="O220" s="18" t="e" cm="1">
        <f t="array" aca="1" ref="O220" ca="1">IF(INDIRECT(ADDRESS($B220+1,O$164,1,1,"Confirmed Trend"))=0,#N/A,INDIRECT(ADDRESS($B220+1,O$164,1,1,"Confirmed Trend")))</f>
        <v>#N/A</v>
      </c>
      <c r="P220" s="18" t="e" cm="1">
        <f t="array" aca="1" ref="P220" ca="1">IF(INDIRECT(ADDRESS($B220+1,P$164,1,1,"Confirmed Trend"))=0,#N/A,INDIRECT(ADDRESS($B220+1,P$164,1,1,"Confirmed Trend")))</f>
        <v>#N/A</v>
      </c>
      <c r="Q220" s="18" t="e" cm="1">
        <f t="array" aca="1" ref="Q220" ca="1">IF(INDIRECT(ADDRESS($B220+1,Q$164,1,1,"Confirmed Trend"))=0,#N/A,INDIRECT(ADDRESS($B220+1,Q$164,1,1,"Confirmed Trend")))</f>
        <v>#N/A</v>
      </c>
      <c r="R220" s="18" t="e" cm="1">
        <f t="array" aca="1" ref="R220" ca="1">IF(INDIRECT(ADDRESS($B220+1,R$164,1,1,"Confirmed Trend"))=0,#N/A,INDIRECT(ADDRESS($B220+1,R$164,1,1,"Confirmed Trend")))</f>
        <v>#N/A</v>
      </c>
      <c r="S220" s="18" t="e" cm="1">
        <f t="array" aca="1" ref="S220" ca="1">IF(INDIRECT(ADDRESS($B220+1,S$164,1,1,"Confirmed Trend"))=0,#N/A,INDIRECT(ADDRESS($B220+1,S$164,1,1,"Confirmed Trend")))</f>
        <v>#N/A</v>
      </c>
      <c r="T220" s="18" t="e" cm="1">
        <f t="array" aca="1" ref="T220" ca="1">IF(INDIRECT(ADDRESS($B220+1,T$164,1,1,"Confirmed Trend"))=0,#N/A,INDIRECT(ADDRESS($B220+1,T$164,1,1,"Confirmed Trend")))</f>
        <v>#N/A</v>
      </c>
      <c r="U220" s="18" t="e" cm="1">
        <f t="array" aca="1" ref="U220" ca="1">IF(INDIRECT(ADDRESS($B220+1,U$164,1,1,"Confirmed Trend"))=0,#N/A,INDIRECT(ADDRESS($B220+1,U$164,1,1,"Confirmed Trend")))</f>
        <v>#N/A</v>
      </c>
      <c r="V220" s="18" t="e" cm="1">
        <f t="array" aca="1" ref="V220" ca="1">IF(INDIRECT(ADDRESS($B220+1,V$164,1,1,"Confirmed Trend"))=0,#N/A,INDIRECT(ADDRESS($B220+1,V$164,1,1,"Confirmed Trend")))</f>
        <v>#N/A</v>
      </c>
      <c r="W220" s="18" t="e" cm="1">
        <f t="array" aca="1" ref="W220" ca="1">IF(INDIRECT(ADDRESS($B220+1,W$164,1,1,"Confirmed Trend"))=0,#N/A,INDIRECT(ADDRESS($B220+1,W$164,1,1,"Confirmed Trend")))</f>
        <v>#N/A</v>
      </c>
      <c r="X220" s="18" t="e" cm="1">
        <f t="array" aca="1" ref="X220" ca="1">IF(INDIRECT(ADDRESS($B220+1,X$164,1,1,"Confirmed Trend"))=0,#N/A,INDIRECT(ADDRESS($B220+1,X$164,1,1,"Confirmed Trend")))</f>
        <v>#N/A</v>
      </c>
      <c r="Y220" s="18" t="e" cm="1">
        <f t="array" aca="1" ref="Y220" ca="1">IF(INDIRECT(ADDRESS($B220+1,Y$164,1,1,"Confirmed Trend"))=0,#N/A,INDIRECT(ADDRESS($B220+1,Y$164,1,1,"Confirmed Trend")))</f>
        <v>#N/A</v>
      </c>
      <c r="Z220" s="18" t="e" cm="1">
        <f t="array" aca="1" ref="Z220" ca="1">IF(INDIRECT(ADDRESS($B220+1,Z$164,1,1,"Confirmed Trend"))=0,#N/A,INDIRECT(ADDRESS($B220+1,Z$164,1,1,"Confirmed Trend")))</f>
        <v>#N/A</v>
      </c>
      <c r="AA220" s="18" t="e" cm="1">
        <f t="array" aca="1" ref="AA220" ca="1">IF(INDIRECT(ADDRESS($B220+1,AA$164,1,1,"Confirmed Trend"))=0,#N/A,INDIRECT(ADDRESS($B220+1,AA$164,1,1,"Confirmed Trend")))</f>
        <v>#N/A</v>
      </c>
      <c r="AB220" s="18" t="e" cm="1">
        <f t="array" aca="1" ref="AB220" ca="1">IF(INDIRECT(ADDRESS($B220+1,AB$164,1,1,"Confirmed Trend"))=0,#N/A,INDIRECT(ADDRESS($B220+1,AB$164,1,1,"Confirmed Trend")))</f>
        <v>#N/A</v>
      </c>
      <c r="AC220" s="18" t="e" cm="1">
        <f t="array" aca="1" ref="AC220" ca="1">IF(INDIRECT(ADDRESS($B220+1,AC$164,1,1,"Confirmed Trend"))=0,#N/A,INDIRECT(ADDRESS($B220+1,AC$164,1,1,"Confirmed Trend")))</f>
        <v>#N/A</v>
      </c>
      <c r="AD220" s="18" t="e" cm="1">
        <f t="array" aca="1" ref="AD220" ca="1">IF(INDIRECT(ADDRESS($B220+1,AD$164,1,1,"Confirmed Trend"))=0,#N/A,INDIRECT(ADDRESS($B220+1,AD$164,1,1,"Confirmed Trend")))</f>
        <v>#N/A</v>
      </c>
      <c r="AE220" s="18" t="e" cm="1">
        <f t="array" aca="1" ref="AE220" ca="1">IF(INDIRECT(ADDRESS($B220+1,AE$164,1,1,"Confirmed Trend"))=0,#N/A,INDIRECT(ADDRESS($B220+1,AE$164,1,1,"Confirmed Trend")))</f>
        <v>#N/A</v>
      </c>
      <c r="AF220" s="18" t="e" cm="1">
        <f t="array" aca="1" ref="AF220" ca="1">IF(INDIRECT(ADDRESS($B220+1,AF$164,1,1,"Confirmed Trend"))=0,#N/A,INDIRECT(ADDRESS($B220+1,AF$164,1,1,"Confirmed Trend")))</f>
        <v>#N/A</v>
      </c>
      <c r="AG220" s="18" t="e" cm="1">
        <f t="array" aca="1" ref="AG220" ca="1">IF(INDIRECT(ADDRESS($B220+1,AG$164,1,1,"Confirmed Trend"))=0,#N/A,INDIRECT(ADDRESS($B220+1,AG$164,1,1,"Confirmed Trend")))</f>
        <v>#N/A</v>
      </c>
      <c r="AH220" s="18" t="e" cm="1">
        <f t="array" aca="1" ref="AH220" ca="1">IF(INDIRECT(ADDRESS($B220+1,AH$164,1,1,"Confirmed Trend"))=0,#N/A,INDIRECT(ADDRESS($B220+1,AH$164,1,1,"Confirmed Trend")))</f>
        <v>#N/A</v>
      </c>
      <c r="AI220" s="18" t="e" cm="1">
        <f t="array" aca="1" ref="AI220" ca="1">IF(INDIRECT(ADDRESS($B220+1,AI$164,1,1,"Confirmed Trend"))=0,#N/A,INDIRECT(ADDRESS($B220+1,AI$164,1,1,"Confirmed Trend")))</f>
        <v>#N/A</v>
      </c>
      <c r="AJ220" s="18" t="e" cm="1">
        <f t="array" aca="1" ref="AJ220" ca="1">IF(INDIRECT(ADDRESS($B220+1,AJ$164,1,1,"Confirmed Trend"))=0,#N/A,INDIRECT(ADDRESS($B220+1,AJ$164,1,1,"Confirmed Trend")))</f>
        <v>#N/A</v>
      </c>
      <c r="AK220" s="18" t="e" cm="1">
        <f t="array" aca="1" ref="AK220" ca="1">IF(INDIRECT(ADDRESS($B220+1,AK$164,1,1,"Confirmed Trend"))=0,#N/A,INDIRECT(ADDRESS($B220+1,AK$164,1,1,"Confirmed Trend")))</f>
        <v>#N/A</v>
      </c>
      <c r="AL220" s="18" t="e" cm="1">
        <f t="array" aca="1" ref="AL220" ca="1">IF(INDIRECT(ADDRESS($B220+1,AL$164,1,1,"Confirmed Trend"))=0,#N/A,INDIRECT(ADDRESS($B220+1,AL$164,1,1,"Confirmed Trend")))</f>
        <v>#N/A</v>
      </c>
      <c r="AM220" s="18" t="e" cm="1">
        <f t="array" aca="1" ref="AM220" ca="1">IF(INDIRECT(ADDRESS($B220+1,AM$164,1,1,"Confirmed Trend"))=0,#N/A,INDIRECT(ADDRESS($B220+1,AM$164,1,1,"Confirmed Trend")))</f>
        <v>#N/A</v>
      </c>
      <c r="AN220" s="18" t="e" cm="1">
        <f t="array" aca="1" ref="AN220" ca="1">IF(INDIRECT(ADDRESS($B220+1,AN$164,1,1,"Confirmed Trend"))=0,#N/A,INDIRECT(ADDRESS($B220+1,AN$164,1,1,"Confirmed Trend")))</f>
        <v>#N/A</v>
      </c>
      <c r="AO220" s="18" t="e" cm="1">
        <f t="array" aca="1" ref="AO220" ca="1">IF(INDIRECT(ADDRESS($B220+1,AO$164,1,1,"Confirmed Trend"))=0,#N/A,INDIRECT(ADDRESS($B220+1,AO$164,1,1,"Confirmed Trend")))</f>
        <v>#N/A</v>
      </c>
      <c r="AP220" s="18" t="e" cm="1">
        <f t="array" aca="1" ref="AP220" ca="1">IF(INDIRECT(ADDRESS($B220+1,AP$164,1,1,"Confirmed Trend"))=0,#N/A,INDIRECT(ADDRESS($B220+1,AP$164,1,1,"Confirmed Trend")))</f>
        <v>#N/A</v>
      </c>
      <c r="AQ220" s="18" t="e" cm="1">
        <f t="array" aca="1" ref="AQ220" ca="1">IF(INDIRECT(ADDRESS($B220+1,AQ$164,1,1,"Confirmed Trend"))=0,#N/A,INDIRECT(ADDRESS($B220+1,AQ$164,1,1,"Confirmed Trend")))</f>
        <v>#N/A</v>
      </c>
      <c r="AR220" s="18" t="e" cm="1">
        <f t="array" aca="1" ref="AR220" ca="1">IF(INDIRECT(ADDRESS($B220+1,AR$164,1,1,"Confirmed Trend"))=0,#N/A,INDIRECT(ADDRESS($B220+1,AR$164,1,1,"Confirmed Trend")))</f>
        <v>#N/A</v>
      </c>
      <c r="AS220" s="18" t="e" cm="1">
        <f t="array" aca="1" ref="AS220" ca="1">IF(INDIRECT(ADDRESS($B220+1,AS$164,1,1,"Confirmed Trend"))=0,#N/A,INDIRECT(ADDRESS($B220+1,AS$164,1,1,"Confirmed Trend")))</f>
        <v>#N/A</v>
      </c>
      <c r="AT220" s="18" t="e" cm="1">
        <f t="array" aca="1" ref="AT220" ca="1">IF(INDIRECT(ADDRESS($B220+1,AT$164,1,1,"Confirmed Trend"))=0,#N/A,INDIRECT(ADDRESS($B220+1,AT$164,1,1,"Confirmed Trend")))</f>
        <v>#N/A</v>
      </c>
      <c r="AU220" s="18" t="e" cm="1">
        <f t="array" aca="1" ref="AU220" ca="1">IF(INDIRECT(ADDRESS($B220+1,AU$164,1,1,"Confirmed Trend"))=0,#N/A,INDIRECT(ADDRESS($B220+1,AU$164,1,1,"Confirmed Trend")))</f>
        <v>#N/A</v>
      </c>
      <c r="AV220" s="18" t="e" cm="1">
        <f t="array" aca="1" ref="AV220" ca="1">IF(INDIRECT(ADDRESS($B220+1,AV$164,1,1,"Confirmed Trend"))=0,#N/A,INDIRECT(ADDRESS($B220+1,AV$164,1,1,"Confirmed Trend")))</f>
        <v>#N/A</v>
      </c>
      <c r="AW220" s="18" t="e" cm="1">
        <f t="array" aca="1" ref="AW220" ca="1">IF(INDIRECT(ADDRESS($B220+1,AW$164,1,1,"Confirmed Trend"))=0,#N/A,INDIRECT(ADDRESS($B220+1,AW$164,1,1,"Confirmed Trend")))</f>
        <v>#N/A</v>
      </c>
      <c r="AX220" s="18" t="e" cm="1">
        <f t="array" aca="1" ref="AX220" ca="1">IF(INDIRECT(ADDRESS($B220+1,AX$164,1,1,"Confirmed Trend"))=0,#N/A,INDIRECT(ADDRESS($B220+1,AX$164,1,1,"Confirmed Trend")))</f>
        <v>#N/A</v>
      </c>
      <c r="AY220" s="18" t="e" cm="1">
        <f t="array" aca="1" ref="AY220" ca="1">IF(INDIRECT(ADDRESS($B220+1,AY$164,1,1,"Confirmed Trend"))=0,#N/A,INDIRECT(ADDRESS($B220+1,AY$164,1,1,"Confirmed Trend")))</f>
        <v>#N/A</v>
      </c>
      <c r="AZ220" s="18" t="e" cm="1">
        <f t="array" aca="1" ref="AZ220" ca="1">IF(INDIRECT(ADDRESS($B220+1,AZ$164,1,1,"Confirmed Trend"))=0,#N/A,INDIRECT(ADDRESS($B220+1,AZ$164,1,1,"Confirmed Trend")))</f>
        <v>#N/A</v>
      </c>
      <c r="BA220" s="18" t="e" cm="1">
        <f t="array" aca="1" ref="BA220" ca="1">IF(INDIRECT(ADDRESS($B220+1,BA$164,1,1,"Confirmed Trend"))=0,#N/A,INDIRECT(ADDRESS($B220+1,BA$164,1,1,"Confirmed Trend")))</f>
        <v>#N/A</v>
      </c>
      <c r="BB220" s="18" t="e" cm="1">
        <f t="array" aca="1" ref="BB220" ca="1">IF(INDIRECT(ADDRESS($B220+1,BB$164,1,1,"Confirmed Trend"))=0,#N/A,INDIRECT(ADDRESS($B220+1,BB$164,1,1,"Confirmed Trend")))</f>
        <v>#N/A</v>
      </c>
      <c r="BC220" s="18" t="e" cm="1">
        <f t="array" aca="1" ref="BC220" ca="1">IF(INDIRECT(ADDRESS($B220+1,BC$164,1,1,"Confirmed Trend"))=0,#N/A,INDIRECT(ADDRESS($B220+1,BC$164,1,1,"Confirmed Trend")))</f>
        <v>#N/A</v>
      </c>
      <c r="BD220" s="18" t="e" cm="1">
        <f t="array" aca="1" ref="BD220" ca="1">IF(INDIRECT(ADDRESS($B220+1,BD$164,1,1,"Confirmed Trend"))=0,#N/A,INDIRECT(ADDRESS($B220+1,BD$164,1,1,"Confirmed Trend")))</f>
        <v>#N/A</v>
      </c>
      <c r="BE220" s="18" t="e" cm="1">
        <f t="array" aca="1" ref="BE220" ca="1">IF(INDIRECT(ADDRESS($B220+1,BE$164,1,1,"Confirmed Trend"))=0,#N/A,INDIRECT(ADDRESS($B220+1,BE$164,1,1,"Confirmed Trend")))</f>
        <v>#N/A</v>
      </c>
      <c r="BF220" s="18" t="e" cm="1">
        <f t="array" aca="1" ref="BF220" ca="1">IF(INDIRECT(ADDRESS($B220+1,BF$164,1,1,"Confirmed Trend"))=0,#N/A,INDIRECT(ADDRESS($B220+1,BF$164,1,1,"Confirmed Trend")))</f>
        <v>#N/A</v>
      </c>
      <c r="BG220" s="18" t="e" cm="1">
        <f t="array" aca="1" ref="BG220" ca="1">IF(INDIRECT(ADDRESS($B220+1,BG$164,1,1,"Confirmed Trend"))=0,#N/A,INDIRECT(ADDRESS($B220+1,BG$164,1,1,"Confirmed Trend")))</f>
        <v>#N/A</v>
      </c>
      <c r="BH220" s="18" t="e" cm="1">
        <f t="array" aca="1" ref="BH220" ca="1">IF(INDIRECT(ADDRESS($B220+1,BH$164,1,1,"Confirmed Trend"))=0,#N/A,INDIRECT(ADDRESS($B220+1,BH$164,1,1,"Confirmed Trend")))</f>
        <v>#N/A</v>
      </c>
      <c r="BI220" s="18" t="e" cm="1">
        <f t="array" aca="1" ref="BI220" ca="1">IF(INDIRECT(ADDRESS($B220+1,BI$164,1,1,"Confirmed Trend"))=0,#N/A,INDIRECT(ADDRESS($B220+1,BI$164,1,1,"Confirmed Trend")))</f>
        <v>#N/A</v>
      </c>
      <c r="BJ220" s="18" t="e" cm="1">
        <f t="array" aca="1" ref="BJ220" ca="1">IF(INDIRECT(ADDRESS($B220+1,BJ$164,1,1,"Confirmed Trend"))=0,#N/A,INDIRECT(ADDRESS($B220+1,BJ$164,1,1,"Confirmed Trend")))</f>
        <v>#N/A</v>
      </c>
      <c r="BK220" s="18" t="e" cm="1">
        <f t="array" aca="1" ref="BK220" ca="1">IF(INDIRECT(ADDRESS($B220+1,BK$164,1,1,"Confirmed Trend"))=0,#N/A,INDIRECT(ADDRESS($B220+1,BK$164,1,1,"Confirmed Trend")))</f>
        <v>#N/A</v>
      </c>
      <c r="BL220" s="18" t="e" cm="1">
        <f t="array" aca="1" ref="BL220" ca="1">IF(INDIRECT(ADDRESS($B220+1,BL$164,1,1,"Confirmed Trend"))=0,#N/A,INDIRECT(ADDRESS($B220+1,BL$164,1,1,"Confirmed Trend")))</f>
        <v>#N/A</v>
      </c>
      <c r="BM220" s="18" t="e" cm="1">
        <f t="array" aca="1" ref="BM220" ca="1">IF(INDIRECT(ADDRESS($B220+1,BM$164,1,1,"Confirmed Trend"))=0,#N/A,INDIRECT(ADDRESS($B220+1,BM$164,1,1,"Confirmed Trend")))</f>
        <v>#N/A</v>
      </c>
      <c r="BN220" s="18" t="e" cm="1">
        <f t="array" aca="1" ref="BN220" ca="1">IF(INDIRECT(ADDRESS($B220+1,BN$164,1,1,"Confirmed Trend"))=0,#N/A,INDIRECT(ADDRESS($B220+1,BN$164,1,1,"Confirmed Trend")))</f>
        <v>#N/A</v>
      </c>
      <c r="BO220" s="18" t="e" cm="1">
        <f t="array" aca="1" ref="BO220" ca="1">IF(INDIRECT(ADDRESS($B220+1,BO$164,1,1,"Confirmed Trend"))=0,#N/A,INDIRECT(ADDRESS($B220+1,BO$164,1,1,"Confirmed Trend")))</f>
        <v>#N/A</v>
      </c>
      <c r="BP220" s="18" t="e" cm="1">
        <f t="array" aca="1" ref="BP220" ca="1">IF(INDIRECT(ADDRESS($B220+1,BP$164,1,1,"Confirmed Trend"))=0,#N/A,INDIRECT(ADDRESS($B220+1,BP$164,1,1,"Confirmed Trend")))</f>
        <v>#N/A</v>
      </c>
      <c r="BQ220" s="18" t="e" cm="1">
        <f t="array" aca="1" ref="BQ220" ca="1">IF(INDIRECT(ADDRESS($B220+1,BQ$164,1,1,"Confirmed Trend"))=0,#N/A,INDIRECT(ADDRESS($B220+1,BQ$164,1,1,"Confirmed Trend")))</f>
        <v>#N/A</v>
      </c>
      <c r="BR220" s="18" t="e" cm="1">
        <f t="array" aca="1" ref="BR220" ca="1">IF(INDIRECT(ADDRESS($B220+1,BR$164,1,1,"Confirmed Trend"))=0,#N/A,INDIRECT(ADDRESS($B220+1,BR$164,1,1,"Confirmed Trend")))</f>
        <v>#N/A</v>
      </c>
      <c r="BS220" s="18" t="e" cm="1">
        <f t="array" aca="1" ref="BS220" ca="1">IF(INDIRECT(ADDRESS($B220+1,BS$164,1,1,"Confirmed Trend"))=0,#N/A,INDIRECT(ADDRESS($B220+1,BS$164,1,1,"Confirmed Trend")))</f>
        <v>#N/A</v>
      </c>
      <c r="BT220" s="18" t="e" cm="1">
        <f t="array" aca="1" ref="BT220" ca="1">IF(INDIRECT(ADDRESS($B220+1,BT$164,1,1,"Confirmed Trend"))=0,#N/A,INDIRECT(ADDRESS($B220+1,BT$164,1,1,"Confirmed Trend")))</f>
        <v>#N/A</v>
      </c>
      <c r="BU220" s="18" t="e" cm="1">
        <f t="array" aca="1" ref="BU220" ca="1">IF(INDIRECT(ADDRESS($B220+1,BU$164,1,1,"Confirmed Trend"))=0,#N/A,INDIRECT(ADDRESS($B220+1,BU$164,1,1,"Confirmed Trend")))</f>
        <v>#N/A</v>
      </c>
      <c r="BV220" s="18" t="e" cm="1">
        <f t="array" aca="1" ref="BV220" ca="1">IF(INDIRECT(ADDRESS($B220+1,BV$164,1,1,"Confirmed Trend"))=0,#N/A,INDIRECT(ADDRESS($B220+1,BV$164,1,1,"Confirmed Trend")))</f>
        <v>#N/A</v>
      </c>
    </row>
    <row r="221" spans="2:74" x14ac:dyDescent="0.25">
      <c r="B221">
        <f t="shared" si="132"/>
        <v>56</v>
      </c>
      <c r="C221" cm="1">
        <f t="array" aca="1" ref="C221" ca="1">INDIRECT(ADDRESS($B221+1,1,1,1,"Confirmed Trend"))</f>
        <v>0</v>
      </c>
      <c r="E221" s="18" t="e" cm="1">
        <f t="array" aca="1" ref="E221" ca="1">IF(INDIRECT(ADDRESS($B221+1,E$164,1,1,"Confirmed Trend"))=0,#N/A,INDIRECT(ADDRESS($B221+1,E$164,1,1,"Confirmed Trend")))</f>
        <v>#N/A</v>
      </c>
      <c r="F221" s="18" t="e" cm="1">
        <f t="array" aca="1" ref="F221" ca="1">IF(INDIRECT(ADDRESS($B221+1,F$164,1,1,"Confirmed Trend"))=0,#N/A,INDIRECT(ADDRESS($B221+1,F$164,1,1,"Confirmed Trend")))</f>
        <v>#N/A</v>
      </c>
      <c r="G221" s="18" t="e" cm="1">
        <f t="array" aca="1" ref="G221" ca="1">IF(INDIRECT(ADDRESS($B221+1,G$164,1,1,"Confirmed Trend"))=0,#N/A,INDIRECT(ADDRESS($B221+1,G$164,1,1,"Confirmed Trend")))</f>
        <v>#N/A</v>
      </c>
      <c r="H221" s="18" t="e" cm="1">
        <f t="array" aca="1" ref="H221" ca="1">IF(INDIRECT(ADDRESS($B221+1,H$164,1,1,"Confirmed Trend"))=0,#N/A,INDIRECT(ADDRESS($B221+1,H$164,1,1,"Confirmed Trend")))</f>
        <v>#N/A</v>
      </c>
      <c r="I221" s="18" t="e" cm="1">
        <f t="array" aca="1" ref="I221" ca="1">IF(INDIRECT(ADDRESS($B221+1,I$164,1,1,"Confirmed Trend"))=0,#N/A,INDIRECT(ADDRESS($B221+1,I$164,1,1,"Confirmed Trend")))</f>
        <v>#N/A</v>
      </c>
      <c r="J221" s="18" t="e" cm="1">
        <f t="array" aca="1" ref="J221" ca="1">IF(INDIRECT(ADDRESS($B221+1,J$164,1,1,"Confirmed Trend"))=0,#N/A,INDIRECT(ADDRESS($B221+1,J$164,1,1,"Confirmed Trend")))</f>
        <v>#N/A</v>
      </c>
      <c r="K221" s="18" t="e" cm="1">
        <f t="array" aca="1" ref="K221" ca="1">IF(INDIRECT(ADDRESS($B221+1,K$164,1,1,"Confirmed Trend"))=0,#N/A,INDIRECT(ADDRESS($B221+1,K$164,1,1,"Confirmed Trend")))</f>
        <v>#N/A</v>
      </c>
      <c r="L221" s="18" t="e" cm="1">
        <f t="array" aca="1" ref="L221" ca="1">IF(INDIRECT(ADDRESS($B221+1,L$164,1,1,"Confirmed Trend"))=0,#N/A,INDIRECT(ADDRESS($B221+1,L$164,1,1,"Confirmed Trend")))</f>
        <v>#N/A</v>
      </c>
      <c r="M221" s="18" t="e" cm="1">
        <f t="array" aca="1" ref="M221" ca="1">IF(INDIRECT(ADDRESS($B221+1,M$164,1,1,"Confirmed Trend"))=0,#N/A,INDIRECT(ADDRESS($B221+1,M$164,1,1,"Confirmed Trend")))</f>
        <v>#N/A</v>
      </c>
      <c r="N221" s="18" t="e" cm="1">
        <f t="array" aca="1" ref="N221" ca="1">IF(INDIRECT(ADDRESS($B221+1,N$164,1,1,"Confirmed Trend"))=0,#N/A,INDIRECT(ADDRESS($B221+1,N$164,1,1,"Confirmed Trend")))</f>
        <v>#N/A</v>
      </c>
      <c r="O221" s="18" t="e" cm="1">
        <f t="array" aca="1" ref="O221" ca="1">IF(INDIRECT(ADDRESS($B221+1,O$164,1,1,"Confirmed Trend"))=0,#N/A,INDIRECT(ADDRESS($B221+1,O$164,1,1,"Confirmed Trend")))</f>
        <v>#N/A</v>
      </c>
      <c r="P221" s="18" t="e" cm="1">
        <f t="array" aca="1" ref="P221" ca="1">IF(INDIRECT(ADDRESS($B221+1,P$164,1,1,"Confirmed Trend"))=0,#N/A,INDIRECT(ADDRESS($B221+1,P$164,1,1,"Confirmed Trend")))</f>
        <v>#N/A</v>
      </c>
      <c r="Q221" s="18" t="e" cm="1">
        <f t="array" aca="1" ref="Q221" ca="1">IF(INDIRECT(ADDRESS($B221+1,Q$164,1,1,"Confirmed Trend"))=0,#N/A,INDIRECT(ADDRESS($B221+1,Q$164,1,1,"Confirmed Trend")))</f>
        <v>#N/A</v>
      </c>
      <c r="R221" s="18" t="e" cm="1">
        <f t="array" aca="1" ref="R221" ca="1">IF(INDIRECT(ADDRESS($B221+1,R$164,1,1,"Confirmed Trend"))=0,#N/A,INDIRECT(ADDRESS($B221+1,R$164,1,1,"Confirmed Trend")))</f>
        <v>#N/A</v>
      </c>
      <c r="S221" s="18" t="e" cm="1">
        <f t="array" aca="1" ref="S221" ca="1">IF(INDIRECT(ADDRESS($B221+1,S$164,1,1,"Confirmed Trend"))=0,#N/A,INDIRECT(ADDRESS($B221+1,S$164,1,1,"Confirmed Trend")))</f>
        <v>#N/A</v>
      </c>
      <c r="T221" s="18" t="e" cm="1">
        <f t="array" aca="1" ref="T221" ca="1">IF(INDIRECT(ADDRESS($B221+1,T$164,1,1,"Confirmed Trend"))=0,#N/A,INDIRECT(ADDRESS($B221+1,T$164,1,1,"Confirmed Trend")))</f>
        <v>#N/A</v>
      </c>
      <c r="U221" s="18" t="e" cm="1">
        <f t="array" aca="1" ref="U221" ca="1">IF(INDIRECT(ADDRESS($B221+1,U$164,1,1,"Confirmed Trend"))=0,#N/A,INDIRECT(ADDRESS($B221+1,U$164,1,1,"Confirmed Trend")))</f>
        <v>#N/A</v>
      </c>
      <c r="V221" s="18" t="e" cm="1">
        <f t="array" aca="1" ref="V221" ca="1">IF(INDIRECT(ADDRESS($B221+1,V$164,1,1,"Confirmed Trend"))=0,#N/A,INDIRECT(ADDRESS($B221+1,V$164,1,1,"Confirmed Trend")))</f>
        <v>#N/A</v>
      </c>
      <c r="W221" s="18" t="e" cm="1">
        <f t="array" aca="1" ref="W221" ca="1">IF(INDIRECT(ADDRESS($B221+1,W$164,1,1,"Confirmed Trend"))=0,#N/A,INDIRECT(ADDRESS($B221+1,W$164,1,1,"Confirmed Trend")))</f>
        <v>#N/A</v>
      </c>
      <c r="X221" s="18" t="e" cm="1">
        <f t="array" aca="1" ref="X221" ca="1">IF(INDIRECT(ADDRESS($B221+1,X$164,1,1,"Confirmed Trend"))=0,#N/A,INDIRECT(ADDRESS($B221+1,X$164,1,1,"Confirmed Trend")))</f>
        <v>#N/A</v>
      </c>
      <c r="Y221" s="18" t="e" cm="1">
        <f t="array" aca="1" ref="Y221" ca="1">IF(INDIRECT(ADDRESS($B221+1,Y$164,1,1,"Confirmed Trend"))=0,#N/A,INDIRECT(ADDRESS($B221+1,Y$164,1,1,"Confirmed Trend")))</f>
        <v>#N/A</v>
      </c>
      <c r="Z221" s="18" t="e" cm="1">
        <f t="array" aca="1" ref="Z221" ca="1">IF(INDIRECT(ADDRESS($B221+1,Z$164,1,1,"Confirmed Trend"))=0,#N/A,INDIRECT(ADDRESS($B221+1,Z$164,1,1,"Confirmed Trend")))</f>
        <v>#N/A</v>
      </c>
      <c r="AA221" s="18" t="e" cm="1">
        <f t="array" aca="1" ref="AA221" ca="1">IF(INDIRECT(ADDRESS($B221+1,AA$164,1,1,"Confirmed Trend"))=0,#N/A,INDIRECT(ADDRESS($B221+1,AA$164,1,1,"Confirmed Trend")))</f>
        <v>#N/A</v>
      </c>
      <c r="AB221" s="18" t="e" cm="1">
        <f t="array" aca="1" ref="AB221" ca="1">IF(INDIRECT(ADDRESS($B221+1,AB$164,1,1,"Confirmed Trend"))=0,#N/A,INDIRECT(ADDRESS($B221+1,AB$164,1,1,"Confirmed Trend")))</f>
        <v>#N/A</v>
      </c>
      <c r="AC221" s="18" t="e" cm="1">
        <f t="array" aca="1" ref="AC221" ca="1">IF(INDIRECT(ADDRESS($B221+1,AC$164,1,1,"Confirmed Trend"))=0,#N/A,INDIRECT(ADDRESS($B221+1,AC$164,1,1,"Confirmed Trend")))</f>
        <v>#N/A</v>
      </c>
      <c r="AD221" s="18" t="e" cm="1">
        <f t="array" aca="1" ref="AD221" ca="1">IF(INDIRECT(ADDRESS($B221+1,AD$164,1,1,"Confirmed Trend"))=0,#N/A,INDIRECT(ADDRESS($B221+1,AD$164,1,1,"Confirmed Trend")))</f>
        <v>#N/A</v>
      </c>
      <c r="AE221" s="18" t="e" cm="1">
        <f t="array" aca="1" ref="AE221" ca="1">IF(INDIRECT(ADDRESS($B221+1,AE$164,1,1,"Confirmed Trend"))=0,#N/A,INDIRECT(ADDRESS($B221+1,AE$164,1,1,"Confirmed Trend")))</f>
        <v>#N/A</v>
      </c>
      <c r="AF221" s="18" t="e" cm="1">
        <f t="array" aca="1" ref="AF221" ca="1">IF(INDIRECT(ADDRESS($B221+1,AF$164,1,1,"Confirmed Trend"))=0,#N/A,INDIRECT(ADDRESS($B221+1,AF$164,1,1,"Confirmed Trend")))</f>
        <v>#N/A</v>
      </c>
      <c r="AG221" s="18" t="e" cm="1">
        <f t="array" aca="1" ref="AG221" ca="1">IF(INDIRECT(ADDRESS($B221+1,AG$164,1,1,"Confirmed Trend"))=0,#N/A,INDIRECT(ADDRESS($B221+1,AG$164,1,1,"Confirmed Trend")))</f>
        <v>#N/A</v>
      </c>
      <c r="AH221" s="18" t="e" cm="1">
        <f t="array" aca="1" ref="AH221" ca="1">IF(INDIRECT(ADDRESS($B221+1,AH$164,1,1,"Confirmed Trend"))=0,#N/A,INDIRECT(ADDRESS($B221+1,AH$164,1,1,"Confirmed Trend")))</f>
        <v>#N/A</v>
      </c>
      <c r="AI221" s="18" t="e" cm="1">
        <f t="array" aca="1" ref="AI221" ca="1">IF(INDIRECT(ADDRESS($B221+1,AI$164,1,1,"Confirmed Trend"))=0,#N/A,INDIRECT(ADDRESS($B221+1,AI$164,1,1,"Confirmed Trend")))</f>
        <v>#N/A</v>
      </c>
      <c r="AJ221" s="18" t="e" cm="1">
        <f t="array" aca="1" ref="AJ221" ca="1">IF(INDIRECT(ADDRESS($B221+1,AJ$164,1,1,"Confirmed Trend"))=0,#N/A,INDIRECT(ADDRESS($B221+1,AJ$164,1,1,"Confirmed Trend")))</f>
        <v>#N/A</v>
      </c>
      <c r="AK221" s="18" t="e" cm="1">
        <f t="array" aca="1" ref="AK221" ca="1">IF(INDIRECT(ADDRESS($B221+1,AK$164,1,1,"Confirmed Trend"))=0,#N/A,INDIRECT(ADDRESS($B221+1,AK$164,1,1,"Confirmed Trend")))</f>
        <v>#N/A</v>
      </c>
      <c r="AL221" s="18" t="e" cm="1">
        <f t="array" aca="1" ref="AL221" ca="1">IF(INDIRECT(ADDRESS($B221+1,AL$164,1,1,"Confirmed Trend"))=0,#N/A,INDIRECT(ADDRESS($B221+1,AL$164,1,1,"Confirmed Trend")))</f>
        <v>#N/A</v>
      </c>
      <c r="AM221" s="18" t="e" cm="1">
        <f t="array" aca="1" ref="AM221" ca="1">IF(INDIRECT(ADDRESS($B221+1,AM$164,1,1,"Confirmed Trend"))=0,#N/A,INDIRECT(ADDRESS($B221+1,AM$164,1,1,"Confirmed Trend")))</f>
        <v>#N/A</v>
      </c>
      <c r="AN221" s="18" t="e" cm="1">
        <f t="array" aca="1" ref="AN221" ca="1">IF(INDIRECT(ADDRESS($B221+1,AN$164,1,1,"Confirmed Trend"))=0,#N/A,INDIRECT(ADDRESS($B221+1,AN$164,1,1,"Confirmed Trend")))</f>
        <v>#N/A</v>
      </c>
      <c r="AO221" s="18" t="e" cm="1">
        <f t="array" aca="1" ref="AO221" ca="1">IF(INDIRECT(ADDRESS($B221+1,AO$164,1,1,"Confirmed Trend"))=0,#N/A,INDIRECT(ADDRESS($B221+1,AO$164,1,1,"Confirmed Trend")))</f>
        <v>#N/A</v>
      </c>
      <c r="AP221" s="18" t="e" cm="1">
        <f t="array" aca="1" ref="AP221" ca="1">IF(INDIRECT(ADDRESS($B221+1,AP$164,1,1,"Confirmed Trend"))=0,#N/A,INDIRECT(ADDRESS($B221+1,AP$164,1,1,"Confirmed Trend")))</f>
        <v>#N/A</v>
      </c>
      <c r="AQ221" s="18" t="e" cm="1">
        <f t="array" aca="1" ref="AQ221" ca="1">IF(INDIRECT(ADDRESS($B221+1,AQ$164,1,1,"Confirmed Trend"))=0,#N/A,INDIRECT(ADDRESS($B221+1,AQ$164,1,1,"Confirmed Trend")))</f>
        <v>#N/A</v>
      </c>
      <c r="AR221" s="18" t="e" cm="1">
        <f t="array" aca="1" ref="AR221" ca="1">IF(INDIRECT(ADDRESS($B221+1,AR$164,1,1,"Confirmed Trend"))=0,#N/A,INDIRECT(ADDRESS($B221+1,AR$164,1,1,"Confirmed Trend")))</f>
        <v>#N/A</v>
      </c>
      <c r="AS221" s="18" t="e" cm="1">
        <f t="array" aca="1" ref="AS221" ca="1">IF(INDIRECT(ADDRESS($B221+1,AS$164,1,1,"Confirmed Trend"))=0,#N/A,INDIRECT(ADDRESS($B221+1,AS$164,1,1,"Confirmed Trend")))</f>
        <v>#N/A</v>
      </c>
      <c r="AT221" s="18" t="e" cm="1">
        <f t="array" aca="1" ref="AT221" ca="1">IF(INDIRECT(ADDRESS($B221+1,AT$164,1,1,"Confirmed Trend"))=0,#N/A,INDIRECT(ADDRESS($B221+1,AT$164,1,1,"Confirmed Trend")))</f>
        <v>#N/A</v>
      </c>
      <c r="AU221" s="18" t="e" cm="1">
        <f t="array" aca="1" ref="AU221" ca="1">IF(INDIRECT(ADDRESS($B221+1,AU$164,1,1,"Confirmed Trend"))=0,#N/A,INDIRECT(ADDRESS($B221+1,AU$164,1,1,"Confirmed Trend")))</f>
        <v>#N/A</v>
      </c>
      <c r="AV221" s="18" t="e" cm="1">
        <f t="array" aca="1" ref="AV221" ca="1">IF(INDIRECT(ADDRESS($B221+1,AV$164,1,1,"Confirmed Trend"))=0,#N/A,INDIRECT(ADDRESS($B221+1,AV$164,1,1,"Confirmed Trend")))</f>
        <v>#N/A</v>
      </c>
      <c r="AW221" s="18" t="e" cm="1">
        <f t="array" aca="1" ref="AW221" ca="1">IF(INDIRECT(ADDRESS($B221+1,AW$164,1,1,"Confirmed Trend"))=0,#N/A,INDIRECT(ADDRESS($B221+1,AW$164,1,1,"Confirmed Trend")))</f>
        <v>#N/A</v>
      </c>
      <c r="AX221" s="18" t="e" cm="1">
        <f t="array" aca="1" ref="AX221" ca="1">IF(INDIRECT(ADDRESS($B221+1,AX$164,1,1,"Confirmed Trend"))=0,#N/A,INDIRECT(ADDRESS($B221+1,AX$164,1,1,"Confirmed Trend")))</f>
        <v>#N/A</v>
      </c>
      <c r="AY221" s="18" t="e" cm="1">
        <f t="array" aca="1" ref="AY221" ca="1">IF(INDIRECT(ADDRESS($B221+1,AY$164,1,1,"Confirmed Trend"))=0,#N/A,INDIRECT(ADDRESS($B221+1,AY$164,1,1,"Confirmed Trend")))</f>
        <v>#N/A</v>
      </c>
      <c r="AZ221" s="18" t="e" cm="1">
        <f t="array" aca="1" ref="AZ221" ca="1">IF(INDIRECT(ADDRESS($B221+1,AZ$164,1,1,"Confirmed Trend"))=0,#N/A,INDIRECT(ADDRESS($B221+1,AZ$164,1,1,"Confirmed Trend")))</f>
        <v>#N/A</v>
      </c>
      <c r="BA221" s="18" t="e" cm="1">
        <f t="array" aca="1" ref="BA221" ca="1">IF(INDIRECT(ADDRESS($B221+1,BA$164,1,1,"Confirmed Trend"))=0,#N/A,INDIRECT(ADDRESS($B221+1,BA$164,1,1,"Confirmed Trend")))</f>
        <v>#N/A</v>
      </c>
      <c r="BB221" s="18" t="e" cm="1">
        <f t="array" aca="1" ref="BB221" ca="1">IF(INDIRECT(ADDRESS($B221+1,BB$164,1,1,"Confirmed Trend"))=0,#N/A,INDIRECT(ADDRESS($B221+1,BB$164,1,1,"Confirmed Trend")))</f>
        <v>#N/A</v>
      </c>
      <c r="BC221" s="18" t="e" cm="1">
        <f t="array" aca="1" ref="BC221" ca="1">IF(INDIRECT(ADDRESS($B221+1,BC$164,1,1,"Confirmed Trend"))=0,#N/A,INDIRECT(ADDRESS($B221+1,BC$164,1,1,"Confirmed Trend")))</f>
        <v>#N/A</v>
      </c>
      <c r="BD221" s="18" t="e" cm="1">
        <f t="array" aca="1" ref="BD221" ca="1">IF(INDIRECT(ADDRESS($B221+1,BD$164,1,1,"Confirmed Trend"))=0,#N/A,INDIRECT(ADDRESS($B221+1,BD$164,1,1,"Confirmed Trend")))</f>
        <v>#N/A</v>
      </c>
      <c r="BE221" s="18" t="e" cm="1">
        <f t="array" aca="1" ref="BE221" ca="1">IF(INDIRECT(ADDRESS($B221+1,BE$164,1,1,"Confirmed Trend"))=0,#N/A,INDIRECT(ADDRESS($B221+1,BE$164,1,1,"Confirmed Trend")))</f>
        <v>#N/A</v>
      </c>
      <c r="BF221" s="18" t="e" cm="1">
        <f t="array" aca="1" ref="BF221" ca="1">IF(INDIRECT(ADDRESS($B221+1,BF$164,1,1,"Confirmed Trend"))=0,#N/A,INDIRECT(ADDRESS($B221+1,BF$164,1,1,"Confirmed Trend")))</f>
        <v>#N/A</v>
      </c>
      <c r="BG221" s="18" t="e" cm="1">
        <f t="array" aca="1" ref="BG221" ca="1">IF(INDIRECT(ADDRESS($B221+1,BG$164,1,1,"Confirmed Trend"))=0,#N/A,INDIRECT(ADDRESS($B221+1,BG$164,1,1,"Confirmed Trend")))</f>
        <v>#N/A</v>
      </c>
      <c r="BH221" s="18" t="e" cm="1">
        <f t="array" aca="1" ref="BH221" ca="1">IF(INDIRECT(ADDRESS($B221+1,BH$164,1,1,"Confirmed Trend"))=0,#N/A,INDIRECT(ADDRESS($B221+1,BH$164,1,1,"Confirmed Trend")))</f>
        <v>#N/A</v>
      </c>
      <c r="BI221" s="18" t="e" cm="1">
        <f t="array" aca="1" ref="BI221" ca="1">IF(INDIRECT(ADDRESS($B221+1,BI$164,1,1,"Confirmed Trend"))=0,#N/A,INDIRECT(ADDRESS($B221+1,BI$164,1,1,"Confirmed Trend")))</f>
        <v>#N/A</v>
      </c>
      <c r="BJ221" s="18" t="e" cm="1">
        <f t="array" aca="1" ref="BJ221" ca="1">IF(INDIRECT(ADDRESS($B221+1,BJ$164,1,1,"Confirmed Trend"))=0,#N/A,INDIRECT(ADDRESS($B221+1,BJ$164,1,1,"Confirmed Trend")))</f>
        <v>#N/A</v>
      </c>
      <c r="BK221" s="18" t="e" cm="1">
        <f t="array" aca="1" ref="BK221" ca="1">IF(INDIRECT(ADDRESS($B221+1,BK$164,1,1,"Confirmed Trend"))=0,#N/A,INDIRECT(ADDRESS($B221+1,BK$164,1,1,"Confirmed Trend")))</f>
        <v>#N/A</v>
      </c>
      <c r="BL221" s="18" t="e" cm="1">
        <f t="array" aca="1" ref="BL221" ca="1">IF(INDIRECT(ADDRESS($B221+1,BL$164,1,1,"Confirmed Trend"))=0,#N/A,INDIRECT(ADDRESS($B221+1,BL$164,1,1,"Confirmed Trend")))</f>
        <v>#N/A</v>
      </c>
      <c r="BM221" s="18" t="e" cm="1">
        <f t="array" aca="1" ref="BM221" ca="1">IF(INDIRECT(ADDRESS($B221+1,BM$164,1,1,"Confirmed Trend"))=0,#N/A,INDIRECT(ADDRESS($B221+1,BM$164,1,1,"Confirmed Trend")))</f>
        <v>#N/A</v>
      </c>
      <c r="BN221" s="18" t="e" cm="1">
        <f t="array" aca="1" ref="BN221" ca="1">IF(INDIRECT(ADDRESS($B221+1,BN$164,1,1,"Confirmed Trend"))=0,#N/A,INDIRECT(ADDRESS($B221+1,BN$164,1,1,"Confirmed Trend")))</f>
        <v>#N/A</v>
      </c>
      <c r="BO221" s="18" t="e" cm="1">
        <f t="array" aca="1" ref="BO221" ca="1">IF(INDIRECT(ADDRESS($B221+1,BO$164,1,1,"Confirmed Trend"))=0,#N/A,INDIRECT(ADDRESS($B221+1,BO$164,1,1,"Confirmed Trend")))</f>
        <v>#N/A</v>
      </c>
      <c r="BP221" s="18" t="e" cm="1">
        <f t="array" aca="1" ref="BP221" ca="1">IF(INDIRECT(ADDRESS($B221+1,BP$164,1,1,"Confirmed Trend"))=0,#N/A,INDIRECT(ADDRESS($B221+1,BP$164,1,1,"Confirmed Trend")))</f>
        <v>#N/A</v>
      </c>
      <c r="BQ221" s="18" t="e" cm="1">
        <f t="array" aca="1" ref="BQ221" ca="1">IF(INDIRECT(ADDRESS($B221+1,BQ$164,1,1,"Confirmed Trend"))=0,#N/A,INDIRECT(ADDRESS($B221+1,BQ$164,1,1,"Confirmed Trend")))</f>
        <v>#N/A</v>
      </c>
      <c r="BR221" s="18" t="e" cm="1">
        <f t="array" aca="1" ref="BR221" ca="1">IF(INDIRECT(ADDRESS($B221+1,BR$164,1,1,"Confirmed Trend"))=0,#N/A,INDIRECT(ADDRESS($B221+1,BR$164,1,1,"Confirmed Trend")))</f>
        <v>#N/A</v>
      </c>
      <c r="BS221" s="18" t="e" cm="1">
        <f t="array" aca="1" ref="BS221" ca="1">IF(INDIRECT(ADDRESS($B221+1,BS$164,1,1,"Confirmed Trend"))=0,#N/A,INDIRECT(ADDRESS($B221+1,BS$164,1,1,"Confirmed Trend")))</f>
        <v>#N/A</v>
      </c>
      <c r="BT221" s="18" t="e" cm="1">
        <f t="array" aca="1" ref="BT221" ca="1">IF(INDIRECT(ADDRESS($B221+1,BT$164,1,1,"Confirmed Trend"))=0,#N/A,INDIRECT(ADDRESS($B221+1,BT$164,1,1,"Confirmed Trend")))</f>
        <v>#N/A</v>
      </c>
      <c r="BU221" s="18" t="e" cm="1">
        <f t="array" aca="1" ref="BU221" ca="1">IF(INDIRECT(ADDRESS($B221+1,BU$164,1,1,"Confirmed Trend"))=0,#N/A,INDIRECT(ADDRESS($B221+1,BU$164,1,1,"Confirmed Trend")))</f>
        <v>#N/A</v>
      </c>
      <c r="BV221" s="18" t="e" cm="1">
        <f t="array" aca="1" ref="BV221" ca="1">IF(INDIRECT(ADDRESS($B221+1,BV$164,1,1,"Confirmed Trend"))=0,#N/A,INDIRECT(ADDRESS($B221+1,BV$164,1,1,"Confirmed Trend")))</f>
        <v>#N/A</v>
      </c>
    </row>
    <row r="222" spans="2:74" x14ac:dyDescent="0.25">
      <c r="B222">
        <f t="shared" si="132"/>
        <v>57</v>
      </c>
      <c r="C222" cm="1">
        <f t="array" aca="1" ref="C222" ca="1">INDIRECT(ADDRESS($B222+1,1,1,1,"Confirmed Trend"))</f>
        <v>0</v>
      </c>
      <c r="E222" s="18" t="e" cm="1">
        <f t="array" aca="1" ref="E222" ca="1">IF(INDIRECT(ADDRESS($B222+1,E$164,1,1,"Confirmed Trend"))=0,#N/A,INDIRECT(ADDRESS($B222+1,E$164,1,1,"Confirmed Trend")))</f>
        <v>#N/A</v>
      </c>
      <c r="F222" s="18" t="e" cm="1">
        <f t="array" aca="1" ref="F222" ca="1">IF(INDIRECT(ADDRESS($B222+1,F$164,1,1,"Confirmed Trend"))=0,#N/A,INDIRECT(ADDRESS($B222+1,F$164,1,1,"Confirmed Trend")))</f>
        <v>#N/A</v>
      </c>
      <c r="G222" s="18" t="e" cm="1">
        <f t="array" aca="1" ref="G222" ca="1">IF(INDIRECT(ADDRESS($B222+1,G$164,1,1,"Confirmed Trend"))=0,#N/A,INDIRECT(ADDRESS($B222+1,G$164,1,1,"Confirmed Trend")))</f>
        <v>#N/A</v>
      </c>
      <c r="H222" s="18" t="e" cm="1">
        <f t="array" aca="1" ref="H222" ca="1">IF(INDIRECT(ADDRESS($B222+1,H$164,1,1,"Confirmed Trend"))=0,#N/A,INDIRECT(ADDRESS($B222+1,H$164,1,1,"Confirmed Trend")))</f>
        <v>#N/A</v>
      </c>
      <c r="I222" s="18" t="e" cm="1">
        <f t="array" aca="1" ref="I222" ca="1">IF(INDIRECT(ADDRESS($B222+1,I$164,1,1,"Confirmed Trend"))=0,#N/A,INDIRECT(ADDRESS($B222+1,I$164,1,1,"Confirmed Trend")))</f>
        <v>#N/A</v>
      </c>
      <c r="J222" s="18" t="e" cm="1">
        <f t="array" aca="1" ref="J222" ca="1">IF(INDIRECT(ADDRESS($B222+1,J$164,1,1,"Confirmed Trend"))=0,#N/A,INDIRECT(ADDRESS($B222+1,J$164,1,1,"Confirmed Trend")))</f>
        <v>#N/A</v>
      </c>
      <c r="K222" s="18" t="e" cm="1">
        <f t="array" aca="1" ref="K222" ca="1">IF(INDIRECT(ADDRESS($B222+1,K$164,1,1,"Confirmed Trend"))=0,#N/A,INDIRECT(ADDRESS($B222+1,K$164,1,1,"Confirmed Trend")))</f>
        <v>#N/A</v>
      </c>
      <c r="L222" s="18" t="e" cm="1">
        <f t="array" aca="1" ref="L222" ca="1">IF(INDIRECT(ADDRESS($B222+1,L$164,1,1,"Confirmed Trend"))=0,#N/A,INDIRECT(ADDRESS($B222+1,L$164,1,1,"Confirmed Trend")))</f>
        <v>#N/A</v>
      </c>
      <c r="M222" s="18" t="e" cm="1">
        <f t="array" aca="1" ref="M222" ca="1">IF(INDIRECT(ADDRESS($B222+1,M$164,1,1,"Confirmed Trend"))=0,#N/A,INDIRECT(ADDRESS($B222+1,M$164,1,1,"Confirmed Trend")))</f>
        <v>#N/A</v>
      </c>
      <c r="N222" s="18" t="e" cm="1">
        <f t="array" aca="1" ref="N222" ca="1">IF(INDIRECT(ADDRESS($B222+1,N$164,1,1,"Confirmed Trend"))=0,#N/A,INDIRECT(ADDRESS($B222+1,N$164,1,1,"Confirmed Trend")))</f>
        <v>#N/A</v>
      </c>
      <c r="O222" s="18" t="e" cm="1">
        <f t="array" aca="1" ref="O222" ca="1">IF(INDIRECT(ADDRESS($B222+1,O$164,1,1,"Confirmed Trend"))=0,#N/A,INDIRECT(ADDRESS($B222+1,O$164,1,1,"Confirmed Trend")))</f>
        <v>#N/A</v>
      </c>
      <c r="P222" s="18" t="e" cm="1">
        <f t="array" aca="1" ref="P222" ca="1">IF(INDIRECT(ADDRESS($B222+1,P$164,1,1,"Confirmed Trend"))=0,#N/A,INDIRECT(ADDRESS($B222+1,P$164,1,1,"Confirmed Trend")))</f>
        <v>#N/A</v>
      </c>
      <c r="Q222" s="18" t="e" cm="1">
        <f t="array" aca="1" ref="Q222" ca="1">IF(INDIRECT(ADDRESS($B222+1,Q$164,1,1,"Confirmed Trend"))=0,#N/A,INDIRECT(ADDRESS($B222+1,Q$164,1,1,"Confirmed Trend")))</f>
        <v>#N/A</v>
      </c>
      <c r="R222" s="18" t="e" cm="1">
        <f t="array" aca="1" ref="R222" ca="1">IF(INDIRECT(ADDRESS($B222+1,R$164,1,1,"Confirmed Trend"))=0,#N/A,INDIRECT(ADDRESS($B222+1,R$164,1,1,"Confirmed Trend")))</f>
        <v>#N/A</v>
      </c>
      <c r="S222" s="18" t="e" cm="1">
        <f t="array" aca="1" ref="S222" ca="1">IF(INDIRECT(ADDRESS($B222+1,S$164,1,1,"Confirmed Trend"))=0,#N/A,INDIRECT(ADDRESS($B222+1,S$164,1,1,"Confirmed Trend")))</f>
        <v>#N/A</v>
      </c>
      <c r="T222" s="18" t="e" cm="1">
        <f t="array" aca="1" ref="T222" ca="1">IF(INDIRECT(ADDRESS($B222+1,T$164,1,1,"Confirmed Trend"))=0,#N/A,INDIRECT(ADDRESS($B222+1,T$164,1,1,"Confirmed Trend")))</f>
        <v>#N/A</v>
      </c>
      <c r="U222" s="18" t="e" cm="1">
        <f t="array" aca="1" ref="U222" ca="1">IF(INDIRECT(ADDRESS($B222+1,U$164,1,1,"Confirmed Trend"))=0,#N/A,INDIRECT(ADDRESS($B222+1,U$164,1,1,"Confirmed Trend")))</f>
        <v>#N/A</v>
      </c>
      <c r="V222" s="18" t="e" cm="1">
        <f t="array" aca="1" ref="V222" ca="1">IF(INDIRECT(ADDRESS($B222+1,V$164,1,1,"Confirmed Trend"))=0,#N/A,INDIRECT(ADDRESS($B222+1,V$164,1,1,"Confirmed Trend")))</f>
        <v>#N/A</v>
      </c>
      <c r="W222" s="18" t="e" cm="1">
        <f t="array" aca="1" ref="W222" ca="1">IF(INDIRECT(ADDRESS($B222+1,W$164,1,1,"Confirmed Trend"))=0,#N/A,INDIRECT(ADDRESS($B222+1,W$164,1,1,"Confirmed Trend")))</f>
        <v>#N/A</v>
      </c>
      <c r="X222" s="18" t="e" cm="1">
        <f t="array" aca="1" ref="X222" ca="1">IF(INDIRECT(ADDRESS($B222+1,X$164,1,1,"Confirmed Trend"))=0,#N/A,INDIRECT(ADDRESS($B222+1,X$164,1,1,"Confirmed Trend")))</f>
        <v>#N/A</v>
      </c>
      <c r="Y222" s="18" t="e" cm="1">
        <f t="array" aca="1" ref="Y222" ca="1">IF(INDIRECT(ADDRESS($B222+1,Y$164,1,1,"Confirmed Trend"))=0,#N/A,INDIRECT(ADDRESS($B222+1,Y$164,1,1,"Confirmed Trend")))</f>
        <v>#N/A</v>
      </c>
      <c r="Z222" s="18" t="e" cm="1">
        <f t="array" aca="1" ref="Z222" ca="1">IF(INDIRECT(ADDRESS($B222+1,Z$164,1,1,"Confirmed Trend"))=0,#N/A,INDIRECT(ADDRESS($B222+1,Z$164,1,1,"Confirmed Trend")))</f>
        <v>#N/A</v>
      </c>
      <c r="AA222" s="18" t="e" cm="1">
        <f t="array" aca="1" ref="AA222" ca="1">IF(INDIRECT(ADDRESS($B222+1,AA$164,1,1,"Confirmed Trend"))=0,#N/A,INDIRECT(ADDRESS($B222+1,AA$164,1,1,"Confirmed Trend")))</f>
        <v>#N/A</v>
      </c>
      <c r="AB222" s="18" t="e" cm="1">
        <f t="array" aca="1" ref="AB222" ca="1">IF(INDIRECT(ADDRESS($B222+1,AB$164,1,1,"Confirmed Trend"))=0,#N/A,INDIRECT(ADDRESS($B222+1,AB$164,1,1,"Confirmed Trend")))</f>
        <v>#N/A</v>
      </c>
      <c r="AC222" s="18" t="e" cm="1">
        <f t="array" aca="1" ref="AC222" ca="1">IF(INDIRECT(ADDRESS($B222+1,AC$164,1,1,"Confirmed Trend"))=0,#N/A,INDIRECT(ADDRESS($B222+1,AC$164,1,1,"Confirmed Trend")))</f>
        <v>#N/A</v>
      </c>
      <c r="AD222" s="18" t="e" cm="1">
        <f t="array" aca="1" ref="AD222" ca="1">IF(INDIRECT(ADDRESS($B222+1,AD$164,1,1,"Confirmed Trend"))=0,#N/A,INDIRECT(ADDRESS($B222+1,AD$164,1,1,"Confirmed Trend")))</f>
        <v>#N/A</v>
      </c>
      <c r="AE222" s="18" t="e" cm="1">
        <f t="array" aca="1" ref="AE222" ca="1">IF(INDIRECT(ADDRESS($B222+1,AE$164,1,1,"Confirmed Trend"))=0,#N/A,INDIRECT(ADDRESS($B222+1,AE$164,1,1,"Confirmed Trend")))</f>
        <v>#N/A</v>
      </c>
      <c r="AF222" s="18" t="e" cm="1">
        <f t="array" aca="1" ref="AF222" ca="1">IF(INDIRECT(ADDRESS($B222+1,AF$164,1,1,"Confirmed Trend"))=0,#N/A,INDIRECT(ADDRESS($B222+1,AF$164,1,1,"Confirmed Trend")))</f>
        <v>#N/A</v>
      </c>
      <c r="AG222" s="18" t="e" cm="1">
        <f t="array" aca="1" ref="AG222" ca="1">IF(INDIRECT(ADDRESS($B222+1,AG$164,1,1,"Confirmed Trend"))=0,#N/A,INDIRECT(ADDRESS($B222+1,AG$164,1,1,"Confirmed Trend")))</f>
        <v>#N/A</v>
      </c>
      <c r="AH222" s="18" t="e" cm="1">
        <f t="array" aca="1" ref="AH222" ca="1">IF(INDIRECT(ADDRESS($B222+1,AH$164,1,1,"Confirmed Trend"))=0,#N/A,INDIRECT(ADDRESS($B222+1,AH$164,1,1,"Confirmed Trend")))</f>
        <v>#N/A</v>
      </c>
      <c r="AI222" s="18" t="e" cm="1">
        <f t="array" aca="1" ref="AI222" ca="1">IF(INDIRECT(ADDRESS($B222+1,AI$164,1,1,"Confirmed Trend"))=0,#N/A,INDIRECT(ADDRESS($B222+1,AI$164,1,1,"Confirmed Trend")))</f>
        <v>#N/A</v>
      </c>
      <c r="AJ222" s="18" t="e" cm="1">
        <f t="array" aca="1" ref="AJ222" ca="1">IF(INDIRECT(ADDRESS($B222+1,AJ$164,1,1,"Confirmed Trend"))=0,#N/A,INDIRECT(ADDRESS($B222+1,AJ$164,1,1,"Confirmed Trend")))</f>
        <v>#N/A</v>
      </c>
      <c r="AK222" s="18" t="e" cm="1">
        <f t="array" aca="1" ref="AK222" ca="1">IF(INDIRECT(ADDRESS($B222+1,AK$164,1,1,"Confirmed Trend"))=0,#N/A,INDIRECT(ADDRESS($B222+1,AK$164,1,1,"Confirmed Trend")))</f>
        <v>#N/A</v>
      </c>
      <c r="AL222" s="18" t="e" cm="1">
        <f t="array" aca="1" ref="AL222" ca="1">IF(INDIRECT(ADDRESS($B222+1,AL$164,1,1,"Confirmed Trend"))=0,#N/A,INDIRECT(ADDRESS($B222+1,AL$164,1,1,"Confirmed Trend")))</f>
        <v>#N/A</v>
      </c>
      <c r="AM222" s="18" t="e" cm="1">
        <f t="array" aca="1" ref="AM222" ca="1">IF(INDIRECT(ADDRESS($B222+1,AM$164,1,1,"Confirmed Trend"))=0,#N/A,INDIRECT(ADDRESS($B222+1,AM$164,1,1,"Confirmed Trend")))</f>
        <v>#N/A</v>
      </c>
      <c r="AN222" s="18" t="e" cm="1">
        <f t="array" aca="1" ref="AN222" ca="1">IF(INDIRECT(ADDRESS($B222+1,AN$164,1,1,"Confirmed Trend"))=0,#N/A,INDIRECT(ADDRESS($B222+1,AN$164,1,1,"Confirmed Trend")))</f>
        <v>#N/A</v>
      </c>
      <c r="AO222" s="18" t="e" cm="1">
        <f t="array" aca="1" ref="AO222" ca="1">IF(INDIRECT(ADDRESS($B222+1,AO$164,1,1,"Confirmed Trend"))=0,#N/A,INDIRECT(ADDRESS($B222+1,AO$164,1,1,"Confirmed Trend")))</f>
        <v>#N/A</v>
      </c>
      <c r="AP222" s="18" t="e" cm="1">
        <f t="array" aca="1" ref="AP222" ca="1">IF(INDIRECT(ADDRESS($B222+1,AP$164,1,1,"Confirmed Trend"))=0,#N/A,INDIRECT(ADDRESS($B222+1,AP$164,1,1,"Confirmed Trend")))</f>
        <v>#N/A</v>
      </c>
      <c r="AQ222" s="18" t="e" cm="1">
        <f t="array" aca="1" ref="AQ222" ca="1">IF(INDIRECT(ADDRESS($B222+1,AQ$164,1,1,"Confirmed Trend"))=0,#N/A,INDIRECT(ADDRESS($B222+1,AQ$164,1,1,"Confirmed Trend")))</f>
        <v>#N/A</v>
      </c>
      <c r="AR222" s="18" t="e" cm="1">
        <f t="array" aca="1" ref="AR222" ca="1">IF(INDIRECT(ADDRESS($B222+1,AR$164,1,1,"Confirmed Trend"))=0,#N/A,INDIRECT(ADDRESS($B222+1,AR$164,1,1,"Confirmed Trend")))</f>
        <v>#N/A</v>
      </c>
      <c r="AS222" s="18" t="e" cm="1">
        <f t="array" aca="1" ref="AS222" ca="1">IF(INDIRECT(ADDRESS($B222+1,AS$164,1,1,"Confirmed Trend"))=0,#N/A,INDIRECT(ADDRESS($B222+1,AS$164,1,1,"Confirmed Trend")))</f>
        <v>#N/A</v>
      </c>
      <c r="AT222" s="18" t="e" cm="1">
        <f t="array" aca="1" ref="AT222" ca="1">IF(INDIRECT(ADDRESS($B222+1,AT$164,1,1,"Confirmed Trend"))=0,#N/A,INDIRECT(ADDRESS($B222+1,AT$164,1,1,"Confirmed Trend")))</f>
        <v>#N/A</v>
      </c>
      <c r="AU222" s="18" t="e" cm="1">
        <f t="array" aca="1" ref="AU222" ca="1">IF(INDIRECT(ADDRESS($B222+1,AU$164,1,1,"Confirmed Trend"))=0,#N/A,INDIRECT(ADDRESS($B222+1,AU$164,1,1,"Confirmed Trend")))</f>
        <v>#N/A</v>
      </c>
      <c r="AV222" s="18" t="e" cm="1">
        <f t="array" aca="1" ref="AV222" ca="1">IF(INDIRECT(ADDRESS($B222+1,AV$164,1,1,"Confirmed Trend"))=0,#N/A,INDIRECT(ADDRESS($B222+1,AV$164,1,1,"Confirmed Trend")))</f>
        <v>#N/A</v>
      </c>
      <c r="AW222" s="18" t="e" cm="1">
        <f t="array" aca="1" ref="AW222" ca="1">IF(INDIRECT(ADDRESS($B222+1,AW$164,1,1,"Confirmed Trend"))=0,#N/A,INDIRECT(ADDRESS($B222+1,AW$164,1,1,"Confirmed Trend")))</f>
        <v>#N/A</v>
      </c>
      <c r="AX222" s="18" t="e" cm="1">
        <f t="array" aca="1" ref="AX222" ca="1">IF(INDIRECT(ADDRESS($B222+1,AX$164,1,1,"Confirmed Trend"))=0,#N/A,INDIRECT(ADDRESS($B222+1,AX$164,1,1,"Confirmed Trend")))</f>
        <v>#N/A</v>
      </c>
      <c r="AY222" s="18" t="e" cm="1">
        <f t="array" aca="1" ref="AY222" ca="1">IF(INDIRECT(ADDRESS($B222+1,AY$164,1,1,"Confirmed Trend"))=0,#N/A,INDIRECT(ADDRESS($B222+1,AY$164,1,1,"Confirmed Trend")))</f>
        <v>#N/A</v>
      </c>
      <c r="AZ222" s="18" t="e" cm="1">
        <f t="array" aca="1" ref="AZ222" ca="1">IF(INDIRECT(ADDRESS($B222+1,AZ$164,1,1,"Confirmed Trend"))=0,#N/A,INDIRECT(ADDRESS($B222+1,AZ$164,1,1,"Confirmed Trend")))</f>
        <v>#N/A</v>
      </c>
      <c r="BA222" s="18" t="e" cm="1">
        <f t="array" aca="1" ref="BA222" ca="1">IF(INDIRECT(ADDRESS($B222+1,BA$164,1,1,"Confirmed Trend"))=0,#N/A,INDIRECT(ADDRESS($B222+1,BA$164,1,1,"Confirmed Trend")))</f>
        <v>#N/A</v>
      </c>
      <c r="BB222" s="18" t="e" cm="1">
        <f t="array" aca="1" ref="BB222" ca="1">IF(INDIRECT(ADDRESS($B222+1,BB$164,1,1,"Confirmed Trend"))=0,#N/A,INDIRECT(ADDRESS($B222+1,BB$164,1,1,"Confirmed Trend")))</f>
        <v>#N/A</v>
      </c>
      <c r="BC222" s="18" t="e" cm="1">
        <f t="array" aca="1" ref="BC222" ca="1">IF(INDIRECT(ADDRESS($B222+1,BC$164,1,1,"Confirmed Trend"))=0,#N/A,INDIRECT(ADDRESS($B222+1,BC$164,1,1,"Confirmed Trend")))</f>
        <v>#N/A</v>
      </c>
      <c r="BD222" s="18" t="e" cm="1">
        <f t="array" aca="1" ref="BD222" ca="1">IF(INDIRECT(ADDRESS($B222+1,BD$164,1,1,"Confirmed Trend"))=0,#N/A,INDIRECT(ADDRESS($B222+1,BD$164,1,1,"Confirmed Trend")))</f>
        <v>#N/A</v>
      </c>
      <c r="BE222" s="18" t="e" cm="1">
        <f t="array" aca="1" ref="BE222" ca="1">IF(INDIRECT(ADDRESS($B222+1,BE$164,1,1,"Confirmed Trend"))=0,#N/A,INDIRECT(ADDRESS($B222+1,BE$164,1,1,"Confirmed Trend")))</f>
        <v>#N/A</v>
      </c>
      <c r="BF222" s="18" t="e" cm="1">
        <f t="array" aca="1" ref="BF222" ca="1">IF(INDIRECT(ADDRESS($B222+1,BF$164,1,1,"Confirmed Trend"))=0,#N/A,INDIRECT(ADDRESS($B222+1,BF$164,1,1,"Confirmed Trend")))</f>
        <v>#N/A</v>
      </c>
      <c r="BG222" s="18" t="e" cm="1">
        <f t="array" aca="1" ref="BG222" ca="1">IF(INDIRECT(ADDRESS($B222+1,BG$164,1,1,"Confirmed Trend"))=0,#N/A,INDIRECT(ADDRESS($B222+1,BG$164,1,1,"Confirmed Trend")))</f>
        <v>#N/A</v>
      </c>
      <c r="BH222" s="18" t="e" cm="1">
        <f t="array" aca="1" ref="BH222" ca="1">IF(INDIRECT(ADDRESS($B222+1,BH$164,1,1,"Confirmed Trend"))=0,#N/A,INDIRECT(ADDRESS($B222+1,BH$164,1,1,"Confirmed Trend")))</f>
        <v>#N/A</v>
      </c>
      <c r="BI222" s="18" t="e" cm="1">
        <f t="array" aca="1" ref="BI222" ca="1">IF(INDIRECT(ADDRESS($B222+1,BI$164,1,1,"Confirmed Trend"))=0,#N/A,INDIRECT(ADDRESS($B222+1,BI$164,1,1,"Confirmed Trend")))</f>
        <v>#N/A</v>
      </c>
      <c r="BJ222" s="18" t="e" cm="1">
        <f t="array" aca="1" ref="BJ222" ca="1">IF(INDIRECT(ADDRESS($B222+1,BJ$164,1,1,"Confirmed Trend"))=0,#N/A,INDIRECT(ADDRESS($B222+1,BJ$164,1,1,"Confirmed Trend")))</f>
        <v>#N/A</v>
      </c>
      <c r="BK222" s="18" t="e" cm="1">
        <f t="array" aca="1" ref="BK222" ca="1">IF(INDIRECT(ADDRESS($B222+1,BK$164,1,1,"Confirmed Trend"))=0,#N/A,INDIRECT(ADDRESS($B222+1,BK$164,1,1,"Confirmed Trend")))</f>
        <v>#N/A</v>
      </c>
      <c r="BL222" s="18" t="e" cm="1">
        <f t="array" aca="1" ref="BL222" ca="1">IF(INDIRECT(ADDRESS($B222+1,BL$164,1,1,"Confirmed Trend"))=0,#N/A,INDIRECT(ADDRESS($B222+1,BL$164,1,1,"Confirmed Trend")))</f>
        <v>#N/A</v>
      </c>
      <c r="BM222" s="18" t="e" cm="1">
        <f t="array" aca="1" ref="BM222" ca="1">IF(INDIRECT(ADDRESS($B222+1,BM$164,1,1,"Confirmed Trend"))=0,#N/A,INDIRECT(ADDRESS($B222+1,BM$164,1,1,"Confirmed Trend")))</f>
        <v>#N/A</v>
      </c>
      <c r="BN222" s="18" t="e" cm="1">
        <f t="array" aca="1" ref="BN222" ca="1">IF(INDIRECT(ADDRESS($B222+1,BN$164,1,1,"Confirmed Trend"))=0,#N/A,INDIRECT(ADDRESS($B222+1,BN$164,1,1,"Confirmed Trend")))</f>
        <v>#N/A</v>
      </c>
      <c r="BO222" s="18" t="e" cm="1">
        <f t="array" aca="1" ref="BO222" ca="1">IF(INDIRECT(ADDRESS($B222+1,BO$164,1,1,"Confirmed Trend"))=0,#N/A,INDIRECT(ADDRESS($B222+1,BO$164,1,1,"Confirmed Trend")))</f>
        <v>#N/A</v>
      </c>
      <c r="BP222" s="18" t="e" cm="1">
        <f t="array" aca="1" ref="BP222" ca="1">IF(INDIRECT(ADDRESS($B222+1,BP$164,1,1,"Confirmed Trend"))=0,#N/A,INDIRECT(ADDRESS($B222+1,BP$164,1,1,"Confirmed Trend")))</f>
        <v>#N/A</v>
      </c>
      <c r="BQ222" s="18" t="e" cm="1">
        <f t="array" aca="1" ref="BQ222" ca="1">IF(INDIRECT(ADDRESS($B222+1,BQ$164,1,1,"Confirmed Trend"))=0,#N/A,INDIRECT(ADDRESS($B222+1,BQ$164,1,1,"Confirmed Trend")))</f>
        <v>#N/A</v>
      </c>
      <c r="BR222" s="18" t="e" cm="1">
        <f t="array" aca="1" ref="BR222" ca="1">IF(INDIRECT(ADDRESS($B222+1,BR$164,1,1,"Confirmed Trend"))=0,#N/A,INDIRECT(ADDRESS($B222+1,BR$164,1,1,"Confirmed Trend")))</f>
        <v>#N/A</v>
      </c>
      <c r="BS222" s="18" t="e" cm="1">
        <f t="array" aca="1" ref="BS222" ca="1">IF(INDIRECT(ADDRESS($B222+1,BS$164,1,1,"Confirmed Trend"))=0,#N/A,INDIRECT(ADDRESS($B222+1,BS$164,1,1,"Confirmed Trend")))</f>
        <v>#N/A</v>
      </c>
      <c r="BT222" s="18" t="e" cm="1">
        <f t="array" aca="1" ref="BT222" ca="1">IF(INDIRECT(ADDRESS($B222+1,BT$164,1,1,"Confirmed Trend"))=0,#N/A,INDIRECT(ADDRESS($B222+1,BT$164,1,1,"Confirmed Trend")))</f>
        <v>#N/A</v>
      </c>
      <c r="BU222" s="18" t="e" cm="1">
        <f t="array" aca="1" ref="BU222" ca="1">IF(INDIRECT(ADDRESS($B222+1,BU$164,1,1,"Confirmed Trend"))=0,#N/A,INDIRECT(ADDRESS($B222+1,BU$164,1,1,"Confirmed Trend")))</f>
        <v>#N/A</v>
      </c>
      <c r="BV222" s="18" t="e" cm="1">
        <f t="array" aca="1" ref="BV222" ca="1">IF(INDIRECT(ADDRESS($B222+1,BV$164,1,1,"Confirmed Trend"))=0,#N/A,INDIRECT(ADDRESS($B222+1,BV$164,1,1,"Confirmed Trend")))</f>
        <v>#N/A</v>
      </c>
    </row>
    <row r="223" spans="2:74" x14ac:dyDescent="0.25">
      <c r="B223">
        <f t="shared" si="132"/>
        <v>58</v>
      </c>
      <c r="C223" cm="1">
        <f t="array" aca="1" ref="C223" ca="1">INDIRECT(ADDRESS($B223+1,1,1,1,"Confirmed Trend"))</f>
        <v>0</v>
      </c>
      <c r="E223" s="18" t="e" cm="1">
        <f t="array" aca="1" ref="E223" ca="1">IF(INDIRECT(ADDRESS($B223+1,E$164,1,1,"Confirmed Trend"))=0,#N/A,INDIRECT(ADDRESS($B223+1,E$164,1,1,"Confirmed Trend")))</f>
        <v>#N/A</v>
      </c>
      <c r="F223" s="18" t="e" cm="1">
        <f t="array" aca="1" ref="F223" ca="1">IF(INDIRECT(ADDRESS($B223+1,F$164,1,1,"Confirmed Trend"))=0,#N/A,INDIRECT(ADDRESS($B223+1,F$164,1,1,"Confirmed Trend")))</f>
        <v>#N/A</v>
      </c>
      <c r="G223" s="18" t="e" cm="1">
        <f t="array" aca="1" ref="G223" ca="1">IF(INDIRECT(ADDRESS($B223+1,G$164,1,1,"Confirmed Trend"))=0,#N/A,INDIRECT(ADDRESS($B223+1,G$164,1,1,"Confirmed Trend")))</f>
        <v>#N/A</v>
      </c>
      <c r="H223" s="18" t="e" cm="1">
        <f t="array" aca="1" ref="H223" ca="1">IF(INDIRECT(ADDRESS($B223+1,H$164,1,1,"Confirmed Trend"))=0,#N/A,INDIRECT(ADDRESS($B223+1,H$164,1,1,"Confirmed Trend")))</f>
        <v>#N/A</v>
      </c>
      <c r="I223" s="18" t="e" cm="1">
        <f t="array" aca="1" ref="I223" ca="1">IF(INDIRECT(ADDRESS($B223+1,I$164,1,1,"Confirmed Trend"))=0,#N/A,INDIRECT(ADDRESS($B223+1,I$164,1,1,"Confirmed Trend")))</f>
        <v>#N/A</v>
      </c>
      <c r="J223" s="18" t="e" cm="1">
        <f t="array" aca="1" ref="J223" ca="1">IF(INDIRECT(ADDRESS($B223+1,J$164,1,1,"Confirmed Trend"))=0,#N/A,INDIRECT(ADDRESS($B223+1,J$164,1,1,"Confirmed Trend")))</f>
        <v>#N/A</v>
      </c>
      <c r="K223" s="18" t="e" cm="1">
        <f t="array" aca="1" ref="K223" ca="1">IF(INDIRECT(ADDRESS($B223+1,K$164,1,1,"Confirmed Trend"))=0,#N/A,INDIRECT(ADDRESS($B223+1,K$164,1,1,"Confirmed Trend")))</f>
        <v>#N/A</v>
      </c>
      <c r="L223" s="18" t="e" cm="1">
        <f t="array" aca="1" ref="L223" ca="1">IF(INDIRECT(ADDRESS($B223+1,L$164,1,1,"Confirmed Trend"))=0,#N/A,INDIRECT(ADDRESS($B223+1,L$164,1,1,"Confirmed Trend")))</f>
        <v>#N/A</v>
      </c>
      <c r="M223" s="18" t="e" cm="1">
        <f t="array" aca="1" ref="M223" ca="1">IF(INDIRECT(ADDRESS($B223+1,M$164,1,1,"Confirmed Trend"))=0,#N/A,INDIRECT(ADDRESS($B223+1,M$164,1,1,"Confirmed Trend")))</f>
        <v>#N/A</v>
      </c>
      <c r="N223" s="18" t="e" cm="1">
        <f t="array" aca="1" ref="N223" ca="1">IF(INDIRECT(ADDRESS($B223+1,N$164,1,1,"Confirmed Trend"))=0,#N/A,INDIRECT(ADDRESS($B223+1,N$164,1,1,"Confirmed Trend")))</f>
        <v>#N/A</v>
      </c>
      <c r="O223" s="18" t="e" cm="1">
        <f t="array" aca="1" ref="O223" ca="1">IF(INDIRECT(ADDRESS($B223+1,O$164,1,1,"Confirmed Trend"))=0,#N/A,INDIRECT(ADDRESS($B223+1,O$164,1,1,"Confirmed Trend")))</f>
        <v>#N/A</v>
      </c>
      <c r="P223" s="18" t="e" cm="1">
        <f t="array" aca="1" ref="P223" ca="1">IF(INDIRECT(ADDRESS($B223+1,P$164,1,1,"Confirmed Trend"))=0,#N/A,INDIRECT(ADDRESS($B223+1,P$164,1,1,"Confirmed Trend")))</f>
        <v>#N/A</v>
      </c>
      <c r="Q223" s="18" t="e" cm="1">
        <f t="array" aca="1" ref="Q223" ca="1">IF(INDIRECT(ADDRESS($B223+1,Q$164,1,1,"Confirmed Trend"))=0,#N/A,INDIRECT(ADDRESS($B223+1,Q$164,1,1,"Confirmed Trend")))</f>
        <v>#N/A</v>
      </c>
      <c r="R223" s="18" t="e" cm="1">
        <f t="array" aca="1" ref="R223" ca="1">IF(INDIRECT(ADDRESS($B223+1,R$164,1,1,"Confirmed Trend"))=0,#N/A,INDIRECT(ADDRESS($B223+1,R$164,1,1,"Confirmed Trend")))</f>
        <v>#N/A</v>
      </c>
      <c r="S223" s="18" t="e" cm="1">
        <f t="array" aca="1" ref="S223" ca="1">IF(INDIRECT(ADDRESS($B223+1,S$164,1,1,"Confirmed Trend"))=0,#N/A,INDIRECT(ADDRESS($B223+1,S$164,1,1,"Confirmed Trend")))</f>
        <v>#N/A</v>
      </c>
      <c r="T223" s="18" t="e" cm="1">
        <f t="array" aca="1" ref="T223" ca="1">IF(INDIRECT(ADDRESS($B223+1,T$164,1,1,"Confirmed Trend"))=0,#N/A,INDIRECT(ADDRESS($B223+1,T$164,1,1,"Confirmed Trend")))</f>
        <v>#N/A</v>
      </c>
      <c r="U223" s="18" t="e" cm="1">
        <f t="array" aca="1" ref="U223" ca="1">IF(INDIRECT(ADDRESS($B223+1,U$164,1,1,"Confirmed Trend"))=0,#N/A,INDIRECT(ADDRESS($B223+1,U$164,1,1,"Confirmed Trend")))</f>
        <v>#N/A</v>
      </c>
      <c r="V223" s="18" t="e" cm="1">
        <f t="array" aca="1" ref="V223" ca="1">IF(INDIRECT(ADDRESS($B223+1,V$164,1,1,"Confirmed Trend"))=0,#N/A,INDIRECT(ADDRESS($B223+1,V$164,1,1,"Confirmed Trend")))</f>
        <v>#N/A</v>
      </c>
      <c r="W223" s="18" t="e" cm="1">
        <f t="array" aca="1" ref="W223" ca="1">IF(INDIRECT(ADDRESS($B223+1,W$164,1,1,"Confirmed Trend"))=0,#N/A,INDIRECT(ADDRESS($B223+1,W$164,1,1,"Confirmed Trend")))</f>
        <v>#N/A</v>
      </c>
      <c r="X223" s="18" t="e" cm="1">
        <f t="array" aca="1" ref="X223" ca="1">IF(INDIRECT(ADDRESS($B223+1,X$164,1,1,"Confirmed Trend"))=0,#N/A,INDIRECT(ADDRESS($B223+1,X$164,1,1,"Confirmed Trend")))</f>
        <v>#N/A</v>
      </c>
      <c r="Y223" s="18" t="e" cm="1">
        <f t="array" aca="1" ref="Y223" ca="1">IF(INDIRECT(ADDRESS($B223+1,Y$164,1,1,"Confirmed Trend"))=0,#N/A,INDIRECT(ADDRESS($B223+1,Y$164,1,1,"Confirmed Trend")))</f>
        <v>#N/A</v>
      </c>
      <c r="Z223" s="18" t="e" cm="1">
        <f t="array" aca="1" ref="Z223" ca="1">IF(INDIRECT(ADDRESS($B223+1,Z$164,1,1,"Confirmed Trend"))=0,#N/A,INDIRECT(ADDRESS($B223+1,Z$164,1,1,"Confirmed Trend")))</f>
        <v>#N/A</v>
      </c>
      <c r="AA223" s="18" t="e" cm="1">
        <f t="array" aca="1" ref="AA223" ca="1">IF(INDIRECT(ADDRESS($B223+1,AA$164,1,1,"Confirmed Trend"))=0,#N/A,INDIRECT(ADDRESS($B223+1,AA$164,1,1,"Confirmed Trend")))</f>
        <v>#N/A</v>
      </c>
      <c r="AB223" s="18" t="e" cm="1">
        <f t="array" aca="1" ref="AB223" ca="1">IF(INDIRECT(ADDRESS($B223+1,AB$164,1,1,"Confirmed Trend"))=0,#N/A,INDIRECT(ADDRESS($B223+1,AB$164,1,1,"Confirmed Trend")))</f>
        <v>#N/A</v>
      </c>
      <c r="AC223" s="18" t="e" cm="1">
        <f t="array" aca="1" ref="AC223" ca="1">IF(INDIRECT(ADDRESS($B223+1,AC$164,1,1,"Confirmed Trend"))=0,#N/A,INDIRECT(ADDRESS($B223+1,AC$164,1,1,"Confirmed Trend")))</f>
        <v>#N/A</v>
      </c>
      <c r="AD223" s="18" t="e" cm="1">
        <f t="array" aca="1" ref="AD223" ca="1">IF(INDIRECT(ADDRESS($B223+1,AD$164,1,1,"Confirmed Trend"))=0,#N/A,INDIRECT(ADDRESS($B223+1,AD$164,1,1,"Confirmed Trend")))</f>
        <v>#N/A</v>
      </c>
      <c r="AE223" s="18" t="e" cm="1">
        <f t="array" aca="1" ref="AE223" ca="1">IF(INDIRECT(ADDRESS($B223+1,AE$164,1,1,"Confirmed Trend"))=0,#N/A,INDIRECT(ADDRESS($B223+1,AE$164,1,1,"Confirmed Trend")))</f>
        <v>#N/A</v>
      </c>
      <c r="AF223" s="18" t="e" cm="1">
        <f t="array" aca="1" ref="AF223" ca="1">IF(INDIRECT(ADDRESS($B223+1,AF$164,1,1,"Confirmed Trend"))=0,#N/A,INDIRECT(ADDRESS($B223+1,AF$164,1,1,"Confirmed Trend")))</f>
        <v>#N/A</v>
      </c>
      <c r="AG223" s="18" t="e" cm="1">
        <f t="array" aca="1" ref="AG223" ca="1">IF(INDIRECT(ADDRESS($B223+1,AG$164,1,1,"Confirmed Trend"))=0,#N/A,INDIRECT(ADDRESS($B223+1,AG$164,1,1,"Confirmed Trend")))</f>
        <v>#N/A</v>
      </c>
      <c r="AH223" s="18" t="e" cm="1">
        <f t="array" aca="1" ref="AH223" ca="1">IF(INDIRECT(ADDRESS($B223+1,AH$164,1,1,"Confirmed Trend"))=0,#N/A,INDIRECT(ADDRESS($B223+1,AH$164,1,1,"Confirmed Trend")))</f>
        <v>#N/A</v>
      </c>
      <c r="AI223" s="18" t="e" cm="1">
        <f t="array" aca="1" ref="AI223" ca="1">IF(INDIRECT(ADDRESS($B223+1,AI$164,1,1,"Confirmed Trend"))=0,#N/A,INDIRECT(ADDRESS($B223+1,AI$164,1,1,"Confirmed Trend")))</f>
        <v>#N/A</v>
      </c>
      <c r="AJ223" s="18" t="e" cm="1">
        <f t="array" aca="1" ref="AJ223" ca="1">IF(INDIRECT(ADDRESS($B223+1,AJ$164,1,1,"Confirmed Trend"))=0,#N/A,INDIRECT(ADDRESS($B223+1,AJ$164,1,1,"Confirmed Trend")))</f>
        <v>#N/A</v>
      </c>
      <c r="AK223" s="18" t="e" cm="1">
        <f t="array" aca="1" ref="AK223" ca="1">IF(INDIRECT(ADDRESS($B223+1,AK$164,1,1,"Confirmed Trend"))=0,#N/A,INDIRECT(ADDRESS($B223+1,AK$164,1,1,"Confirmed Trend")))</f>
        <v>#N/A</v>
      </c>
      <c r="AL223" s="18" t="e" cm="1">
        <f t="array" aca="1" ref="AL223" ca="1">IF(INDIRECT(ADDRESS($B223+1,AL$164,1,1,"Confirmed Trend"))=0,#N/A,INDIRECT(ADDRESS($B223+1,AL$164,1,1,"Confirmed Trend")))</f>
        <v>#N/A</v>
      </c>
      <c r="AM223" s="18" t="e" cm="1">
        <f t="array" aca="1" ref="AM223" ca="1">IF(INDIRECT(ADDRESS($B223+1,AM$164,1,1,"Confirmed Trend"))=0,#N/A,INDIRECT(ADDRESS($B223+1,AM$164,1,1,"Confirmed Trend")))</f>
        <v>#N/A</v>
      </c>
      <c r="AN223" s="18" t="e" cm="1">
        <f t="array" aca="1" ref="AN223" ca="1">IF(INDIRECT(ADDRESS($B223+1,AN$164,1,1,"Confirmed Trend"))=0,#N/A,INDIRECT(ADDRESS($B223+1,AN$164,1,1,"Confirmed Trend")))</f>
        <v>#N/A</v>
      </c>
      <c r="AO223" s="18" t="e" cm="1">
        <f t="array" aca="1" ref="AO223" ca="1">IF(INDIRECT(ADDRESS($B223+1,AO$164,1,1,"Confirmed Trend"))=0,#N/A,INDIRECT(ADDRESS($B223+1,AO$164,1,1,"Confirmed Trend")))</f>
        <v>#N/A</v>
      </c>
      <c r="AP223" s="18" t="e" cm="1">
        <f t="array" aca="1" ref="AP223" ca="1">IF(INDIRECT(ADDRESS($B223+1,AP$164,1,1,"Confirmed Trend"))=0,#N/A,INDIRECT(ADDRESS($B223+1,AP$164,1,1,"Confirmed Trend")))</f>
        <v>#N/A</v>
      </c>
      <c r="AQ223" s="18" t="e" cm="1">
        <f t="array" aca="1" ref="AQ223" ca="1">IF(INDIRECT(ADDRESS($B223+1,AQ$164,1,1,"Confirmed Trend"))=0,#N/A,INDIRECT(ADDRESS($B223+1,AQ$164,1,1,"Confirmed Trend")))</f>
        <v>#N/A</v>
      </c>
      <c r="AR223" s="18" t="e" cm="1">
        <f t="array" aca="1" ref="AR223" ca="1">IF(INDIRECT(ADDRESS($B223+1,AR$164,1,1,"Confirmed Trend"))=0,#N/A,INDIRECT(ADDRESS($B223+1,AR$164,1,1,"Confirmed Trend")))</f>
        <v>#N/A</v>
      </c>
      <c r="AS223" s="18" t="e" cm="1">
        <f t="array" aca="1" ref="AS223" ca="1">IF(INDIRECT(ADDRESS($B223+1,AS$164,1,1,"Confirmed Trend"))=0,#N/A,INDIRECT(ADDRESS($B223+1,AS$164,1,1,"Confirmed Trend")))</f>
        <v>#N/A</v>
      </c>
      <c r="AT223" s="18" t="e" cm="1">
        <f t="array" aca="1" ref="AT223" ca="1">IF(INDIRECT(ADDRESS($B223+1,AT$164,1,1,"Confirmed Trend"))=0,#N/A,INDIRECT(ADDRESS($B223+1,AT$164,1,1,"Confirmed Trend")))</f>
        <v>#N/A</v>
      </c>
      <c r="AU223" s="18" t="e" cm="1">
        <f t="array" aca="1" ref="AU223" ca="1">IF(INDIRECT(ADDRESS($B223+1,AU$164,1,1,"Confirmed Trend"))=0,#N/A,INDIRECT(ADDRESS($B223+1,AU$164,1,1,"Confirmed Trend")))</f>
        <v>#N/A</v>
      </c>
      <c r="AV223" s="18" t="e" cm="1">
        <f t="array" aca="1" ref="AV223" ca="1">IF(INDIRECT(ADDRESS($B223+1,AV$164,1,1,"Confirmed Trend"))=0,#N/A,INDIRECT(ADDRESS($B223+1,AV$164,1,1,"Confirmed Trend")))</f>
        <v>#N/A</v>
      </c>
      <c r="AW223" s="18" t="e" cm="1">
        <f t="array" aca="1" ref="AW223" ca="1">IF(INDIRECT(ADDRESS($B223+1,AW$164,1,1,"Confirmed Trend"))=0,#N/A,INDIRECT(ADDRESS($B223+1,AW$164,1,1,"Confirmed Trend")))</f>
        <v>#N/A</v>
      </c>
      <c r="AX223" s="18" t="e" cm="1">
        <f t="array" aca="1" ref="AX223" ca="1">IF(INDIRECT(ADDRESS($B223+1,AX$164,1,1,"Confirmed Trend"))=0,#N/A,INDIRECT(ADDRESS($B223+1,AX$164,1,1,"Confirmed Trend")))</f>
        <v>#N/A</v>
      </c>
      <c r="AY223" s="18" t="e" cm="1">
        <f t="array" aca="1" ref="AY223" ca="1">IF(INDIRECT(ADDRESS($B223+1,AY$164,1,1,"Confirmed Trend"))=0,#N/A,INDIRECT(ADDRESS($B223+1,AY$164,1,1,"Confirmed Trend")))</f>
        <v>#N/A</v>
      </c>
      <c r="AZ223" s="18" t="e" cm="1">
        <f t="array" aca="1" ref="AZ223" ca="1">IF(INDIRECT(ADDRESS($B223+1,AZ$164,1,1,"Confirmed Trend"))=0,#N/A,INDIRECT(ADDRESS($B223+1,AZ$164,1,1,"Confirmed Trend")))</f>
        <v>#N/A</v>
      </c>
      <c r="BA223" s="18" t="e" cm="1">
        <f t="array" aca="1" ref="BA223" ca="1">IF(INDIRECT(ADDRESS($B223+1,BA$164,1,1,"Confirmed Trend"))=0,#N/A,INDIRECT(ADDRESS($B223+1,BA$164,1,1,"Confirmed Trend")))</f>
        <v>#N/A</v>
      </c>
      <c r="BB223" s="18" t="e" cm="1">
        <f t="array" aca="1" ref="BB223" ca="1">IF(INDIRECT(ADDRESS($B223+1,BB$164,1,1,"Confirmed Trend"))=0,#N/A,INDIRECT(ADDRESS($B223+1,BB$164,1,1,"Confirmed Trend")))</f>
        <v>#N/A</v>
      </c>
      <c r="BC223" s="18" t="e" cm="1">
        <f t="array" aca="1" ref="BC223" ca="1">IF(INDIRECT(ADDRESS($B223+1,BC$164,1,1,"Confirmed Trend"))=0,#N/A,INDIRECT(ADDRESS($B223+1,BC$164,1,1,"Confirmed Trend")))</f>
        <v>#N/A</v>
      </c>
      <c r="BD223" s="18" t="e" cm="1">
        <f t="array" aca="1" ref="BD223" ca="1">IF(INDIRECT(ADDRESS($B223+1,BD$164,1,1,"Confirmed Trend"))=0,#N/A,INDIRECT(ADDRESS($B223+1,BD$164,1,1,"Confirmed Trend")))</f>
        <v>#N/A</v>
      </c>
      <c r="BE223" s="18" t="e" cm="1">
        <f t="array" aca="1" ref="BE223" ca="1">IF(INDIRECT(ADDRESS($B223+1,BE$164,1,1,"Confirmed Trend"))=0,#N/A,INDIRECT(ADDRESS($B223+1,BE$164,1,1,"Confirmed Trend")))</f>
        <v>#N/A</v>
      </c>
      <c r="BF223" s="18" t="e" cm="1">
        <f t="array" aca="1" ref="BF223" ca="1">IF(INDIRECT(ADDRESS($B223+1,BF$164,1,1,"Confirmed Trend"))=0,#N/A,INDIRECT(ADDRESS($B223+1,BF$164,1,1,"Confirmed Trend")))</f>
        <v>#N/A</v>
      </c>
      <c r="BG223" s="18" t="e" cm="1">
        <f t="array" aca="1" ref="BG223" ca="1">IF(INDIRECT(ADDRESS($B223+1,BG$164,1,1,"Confirmed Trend"))=0,#N/A,INDIRECT(ADDRESS($B223+1,BG$164,1,1,"Confirmed Trend")))</f>
        <v>#N/A</v>
      </c>
      <c r="BH223" s="18" t="e" cm="1">
        <f t="array" aca="1" ref="BH223" ca="1">IF(INDIRECT(ADDRESS($B223+1,BH$164,1,1,"Confirmed Trend"))=0,#N/A,INDIRECT(ADDRESS($B223+1,BH$164,1,1,"Confirmed Trend")))</f>
        <v>#N/A</v>
      </c>
      <c r="BI223" s="18" t="e" cm="1">
        <f t="array" aca="1" ref="BI223" ca="1">IF(INDIRECT(ADDRESS($B223+1,BI$164,1,1,"Confirmed Trend"))=0,#N/A,INDIRECT(ADDRESS($B223+1,BI$164,1,1,"Confirmed Trend")))</f>
        <v>#N/A</v>
      </c>
      <c r="BJ223" s="18" t="e" cm="1">
        <f t="array" aca="1" ref="BJ223" ca="1">IF(INDIRECT(ADDRESS($B223+1,BJ$164,1,1,"Confirmed Trend"))=0,#N/A,INDIRECT(ADDRESS($B223+1,BJ$164,1,1,"Confirmed Trend")))</f>
        <v>#N/A</v>
      </c>
      <c r="BK223" s="18" t="e" cm="1">
        <f t="array" aca="1" ref="BK223" ca="1">IF(INDIRECT(ADDRESS($B223+1,BK$164,1,1,"Confirmed Trend"))=0,#N/A,INDIRECT(ADDRESS($B223+1,BK$164,1,1,"Confirmed Trend")))</f>
        <v>#N/A</v>
      </c>
      <c r="BL223" s="18" t="e" cm="1">
        <f t="array" aca="1" ref="BL223" ca="1">IF(INDIRECT(ADDRESS($B223+1,BL$164,1,1,"Confirmed Trend"))=0,#N/A,INDIRECT(ADDRESS($B223+1,BL$164,1,1,"Confirmed Trend")))</f>
        <v>#N/A</v>
      </c>
      <c r="BM223" s="18" t="e" cm="1">
        <f t="array" aca="1" ref="BM223" ca="1">IF(INDIRECT(ADDRESS($B223+1,BM$164,1,1,"Confirmed Trend"))=0,#N/A,INDIRECT(ADDRESS($B223+1,BM$164,1,1,"Confirmed Trend")))</f>
        <v>#N/A</v>
      </c>
      <c r="BN223" s="18" t="e" cm="1">
        <f t="array" aca="1" ref="BN223" ca="1">IF(INDIRECT(ADDRESS($B223+1,BN$164,1,1,"Confirmed Trend"))=0,#N/A,INDIRECT(ADDRESS($B223+1,BN$164,1,1,"Confirmed Trend")))</f>
        <v>#N/A</v>
      </c>
      <c r="BO223" s="18" t="e" cm="1">
        <f t="array" aca="1" ref="BO223" ca="1">IF(INDIRECT(ADDRESS($B223+1,BO$164,1,1,"Confirmed Trend"))=0,#N/A,INDIRECT(ADDRESS($B223+1,BO$164,1,1,"Confirmed Trend")))</f>
        <v>#N/A</v>
      </c>
      <c r="BP223" s="18" t="e" cm="1">
        <f t="array" aca="1" ref="BP223" ca="1">IF(INDIRECT(ADDRESS($B223+1,BP$164,1,1,"Confirmed Trend"))=0,#N/A,INDIRECT(ADDRESS($B223+1,BP$164,1,1,"Confirmed Trend")))</f>
        <v>#N/A</v>
      </c>
      <c r="BQ223" s="18" t="e" cm="1">
        <f t="array" aca="1" ref="BQ223" ca="1">IF(INDIRECT(ADDRESS($B223+1,BQ$164,1,1,"Confirmed Trend"))=0,#N/A,INDIRECT(ADDRESS($B223+1,BQ$164,1,1,"Confirmed Trend")))</f>
        <v>#N/A</v>
      </c>
      <c r="BR223" s="18" t="e" cm="1">
        <f t="array" aca="1" ref="BR223" ca="1">IF(INDIRECT(ADDRESS($B223+1,BR$164,1,1,"Confirmed Trend"))=0,#N/A,INDIRECT(ADDRESS($B223+1,BR$164,1,1,"Confirmed Trend")))</f>
        <v>#N/A</v>
      </c>
      <c r="BS223" s="18" t="e" cm="1">
        <f t="array" aca="1" ref="BS223" ca="1">IF(INDIRECT(ADDRESS($B223+1,BS$164,1,1,"Confirmed Trend"))=0,#N/A,INDIRECT(ADDRESS($B223+1,BS$164,1,1,"Confirmed Trend")))</f>
        <v>#N/A</v>
      </c>
      <c r="BT223" s="18" t="e" cm="1">
        <f t="array" aca="1" ref="BT223" ca="1">IF(INDIRECT(ADDRESS($B223+1,BT$164,1,1,"Confirmed Trend"))=0,#N/A,INDIRECT(ADDRESS($B223+1,BT$164,1,1,"Confirmed Trend")))</f>
        <v>#N/A</v>
      </c>
      <c r="BU223" s="18" t="e" cm="1">
        <f t="array" aca="1" ref="BU223" ca="1">IF(INDIRECT(ADDRESS($B223+1,BU$164,1,1,"Confirmed Trend"))=0,#N/A,INDIRECT(ADDRESS($B223+1,BU$164,1,1,"Confirmed Trend")))</f>
        <v>#N/A</v>
      </c>
      <c r="BV223" s="18" t="e" cm="1">
        <f t="array" aca="1" ref="BV223" ca="1">IF(INDIRECT(ADDRESS($B223+1,BV$164,1,1,"Confirmed Trend"))=0,#N/A,INDIRECT(ADDRESS($B223+1,BV$164,1,1,"Confirmed Trend")))</f>
        <v>#N/A</v>
      </c>
    </row>
    <row r="224" spans="2:74" x14ac:dyDescent="0.25">
      <c r="B224">
        <f t="shared" si="132"/>
        <v>59</v>
      </c>
      <c r="C224" cm="1">
        <f t="array" aca="1" ref="C224" ca="1">INDIRECT(ADDRESS($B224+1,1,1,1,"Confirmed Trend"))</f>
        <v>0</v>
      </c>
      <c r="E224" s="18" t="e" cm="1">
        <f t="array" aca="1" ref="E224" ca="1">IF(INDIRECT(ADDRESS($B224+1,E$164,1,1,"Confirmed Trend"))=0,#N/A,INDIRECT(ADDRESS($B224+1,E$164,1,1,"Confirmed Trend")))</f>
        <v>#N/A</v>
      </c>
      <c r="F224" s="18" t="e" cm="1">
        <f t="array" aca="1" ref="F224" ca="1">IF(INDIRECT(ADDRESS($B224+1,F$164,1,1,"Confirmed Trend"))=0,#N/A,INDIRECT(ADDRESS($B224+1,F$164,1,1,"Confirmed Trend")))</f>
        <v>#N/A</v>
      </c>
      <c r="G224" s="18" t="e" cm="1">
        <f t="array" aca="1" ref="G224" ca="1">IF(INDIRECT(ADDRESS($B224+1,G$164,1,1,"Confirmed Trend"))=0,#N/A,INDIRECT(ADDRESS($B224+1,G$164,1,1,"Confirmed Trend")))</f>
        <v>#N/A</v>
      </c>
      <c r="H224" s="18" t="e" cm="1">
        <f t="array" aca="1" ref="H224" ca="1">IF(INDIRECT(ADDRESS($B224+1,H$164,1,1,"Confirmed Trend"))=0,#N/A,INDIRECT(ADDRESS($B224+1,H$164,1,1,"Confirmed Trend")))</f>
        <v>#N/A</v>
      </c>
      <c r="I224" s="18" t="e" cm="1">
        <f t="array" aca="1" ref="I224" ca="1">IF(INDIRECT(ADDRESS($B224+1,I$164,1,1,"Confirmed Trend"))=0,#N/A,INDIRECT(ADDRESS($B224+1,I$164,1,1,"Confirmed Trend")))</f>
        <v>#N/A</v>
      </c>
      <c r="J224" s="18" t="e" cm="1">
        <f t="array" aca="1" ref="J224" ca="1">IF(INDIRECT(ADDRESS($B224+1,J$164,1,1,"Confirmed Trend"))=0,#N/A,INDIRECT(ADDRESS($B224+1,J$164,1,1,"Confirmed Trend")))</f>
        <v>#N/A</v>
      </c>
      <c r="K224" s="18" t="e" cm="1">
        <f t="array" aca="1" ref="K224" ca="1">IF(INDIRECT(ADDRESS($B224+1,K$164,1,1,"Confirmed Trend"))=0,#N/A,INDIRECT(ADDRESS($B224+1,K$164,1,1,"Confirmed Trend")))</f>
        <v>#N/A</v>
      </c>
      <c r="L224" s="18" t="e" cm="1">
        <f t="array" aca="1" ref="L224" ca="1">IF(INDIRECT(ADDRESS($B224+1,L$164,1,1,"Confirmed Trend"))=0,#N/A,INDIRECT(ADDRESS($B224+1,L$164,1,1,"Confirmed Trend")))</f>
        <v>#N/A</v>
      </c>
      <c r="M224" s="18" t="e" cm="1">
        <f t="array" aca="1" ref="M224" ca="1">IF(INDIRECT(ADDRESS($B224+1,M$164,1,1,"Confirmed Trend"))=0,#N/A,INDIRECT(ADDRESS($B224+1,M$164,1,1,"Confirmed Trend")))</f>
        <v>#N/A</v>
      </c>
      <c r="N224" s="18" t="e" cm="1">
        <f t="array" aca="1" ref="N224" ca="1">IF(INDIRECT(ADDRESS($B224+1,N$164,1,1,"Confirmed Trend"))=0,#N/A,INDIRECT(ADDRESS($B224+1,N$164,1,1,"Confirmed Trend")))</f>
        <v>#N/A</v>
      </c>
      <c r="O224" s="18" t="e" cm="1">
        <f t="array" aca="1" ref="O224" ca="1">IF(INDIRECT(ADDRESS($B224+1,O$164,1,1,"Confirmed Trend"))=0,#N/A,INDIRECT(ADDRESS($B224+1,O$164,1,1,"Confirmed Trend")))</f>
        <v>#N/A</v>
      </c>
      <c r="P224" s="18" t="e" cm="1">
        <f t="array" aca="1" ref="P224" ca="1">IF(INDIRECT(ADDRESS($B224+1,P$164,1,1,"Confirmed Trend"))=0,#N/A,INDIRECT(ADDRESS($B224+1,P$164,1,1,"Confirmed Trend")))</f>
        <v>#N/A</v>
      </c>
      <c r="Q224" s="18" t="e" cm="1">
        <f t="array" aca="1" ref="Q224" ca="1">IF(INDIRECT(ADDRESS($B224+1,Q$164,1,1,"Confirmed Trend"))=0,#N/A,INDIRECT(ADDRESS($B224+1,Q$164,1,1,"Confirmed Trend")))</f>
        <v>#N/A</v>
      </c>
      <c r="R224" s="18" t="e" cm="1">
        <f t="array" aca="1" ref="R224" ca="1">IF(INDIRECT(ADDRESS($B224+1,R$164,1,1,"Confirmed Trend"))=0,#N/A,INDIRECT(ADDRESS($B224+1,R$164,1,1,"Confirmed Trend")))</f>
        <v>#N/A</v>
      </c>
      <c r="S224" s="18" t="e" cm="1">
        <f t="array" aca="1" ref="S224" ca="1">IF(INDIRECT(ADDRESS($B224+1,S$164,1,1,"Confirmed Trend"))=0,#N/A,INDIRECT(ADDRESS($B224+1,S$164,1,1,"Confirmed Trend")))</f>
        <v>#N/A</v>
      </c>
      <c r="T224" s="18" t="e" cm="1">
        <f t="array" aca="1" ref="T224" ca="1">IF(INDIRECT(ADDRESS($B224+1,T$164,1,1,"Confirmed Trend"))=0,#N/A,INDIRECT(ADDRESS($B224+1,T$164,1,1,"Confirmed Trend")))</f>
        <v>#N/A</v>
      </c>
      <c r="U224" s="18" t="e" cm="1">
        <f t="array" aca="1" ref="U224" ca="1">IF(INDIRECT(ADDRESS($B224+1,U$164,1,1,"Confirmed Trend"))=0,#N/A,INDIRECT(ADDRESS($B224+1,U$164,1,1,"Confirmed Trend")))</f>
        <v>#N/A</v>
      </c>
      <c r="V224" s="18" t="e" cm="1">
        <f t="array" aca="1" ref="V224" ca="1">IF(INDIRECT(ADDRESS($B224+1,V$164,1,1,"Confirmed Trend"))=0,#N/A,INDIRECT(ADDRESS($B224+1,V$164,1,1,"Confirmed Trend")))</f>
        <v>#N/A</v>
      </c>
      <c r="W224" s="18" t="e" cm="1">
        <f t="array" aca="1" ref="W224" ca="1">IF(INDIRECT(ADDRESS($B224+1,W$164,1,1,"Confirmed Trend"))=0,#N/A,INDIRECT(ADDRESS($B224+1,W$164,1,1,"Confirmed Trend")))</f>
        <v>#N/A</v>
      </c>
      <c r="X224" s="18" t="e" cm="1">
        <f t="array" aca="1" ref="X224" ca="1">IF(INDIRECT(ADDRESS($B224+1,X$164,1,1,"Confirmed Trend"))=0,#N/A,INDIRECT(ADDRESS($B224+1,X$164,1,1,"Confirmed Trend")))</f>
        <v>#N/A</v>
      </c>
      <c r="Y224" s="18" t="e" cm="1">
        <f t="array" aca="1" ref="Y224" ca="1">IF(INDIRECT(ADDRESS($B224+1,Y$164,1,1,"Confirmed Trend"))=0,#N/A,INDIRECT(ADDRESS($B224+1,Y$164,1,1,"Confirmed Trend")))</f>
        <v>#N/A</v>
      </c>
      <c r="Z224" s="18" t="e" cm="1">
        <f t="array" aca="1" ref="Z224" ca="1">IF(INDIRECT(ADDRESS($B224+1,Z$164,1,1,"Confirmed Trend"))=0,#N/A,INDIRECT(ADDRESS($B224+1,Z$164,1,1,"Confirmed Trend")))</f>
        <v>#N/A</v>
      </c>
      <c r="AA224" s="18" t="e" cm="1">
        <f t="array" aca="1" ref="AA224" ca="1">IF(INDIRECT(ADDRESS($B224+1,AA$164,1,1,"Confirmed Trend"))=0,#N/A,INDIRECT(ADDRESS($B224+1,AA$164,1,1,"Confirmed Trend")))</f>
        <v>#N/A</v>
      </c>
      <c r="AB224" s="18" t="e" cm="1">
        <f t="array" aca="1" ref="AB224" ca="1">IF(INDIRECT(ADDRESS($B224+1,AB$164,1,1,"Confirmed Trend"))=0,#N/A,INDIRECT(ADDRESS($B224+1,AB$164,1,1,"Confirmed Trend")))</f>
        <v>#N/A</v>
      </c>
      <c r="AC224" s="18" t="e" cm="1">
        <f t="array" aca="1" ref="AC224" ca="1">IF(INDIRECT(ADDRESS($B224+1,AC$164,1,1,"Confirmed Trend"))=0,#N/A,INDIRECT(ADDRESS($B224+1,AC$164,1,1,"Confirmed Trend")))</f>
        <v>#N/A</v>
      </c>
      <c r="AD224" s="18" t="e" cm="1">
        <f t="array" aca="1" ref="AD224" ca="1">IF(INDIRECT(ADDRESS($B224+1,AD$164,1,1,"Confirmed Trend"))=0,#N/A,INDIRECT(ADDRESS($B224+1,AD$164,1,1,"Confirmed Trend")))</f>
        <v>#N/A</v>
      </c>
      <c r="AE224" s="18" t="e" cm="1">
        <f t="array" aca="1" ref="AE224" ca="1">IF(INDIRECT(ADDRESS($B224+1,AE$164,1,1,"Confirmed Trend"))=0,#N/A,INDIRECT(ADDRESS($B224+1,AE$164,1,1,"Confirmed Trend")))</f>
        <v>#N/A</v>
      </c>
      <c r="AF224" s="18" t="e" cm="1">
        <f t="array" aca="1" ref="AF224" ca="1">IF(INDIRECT(ADDRESS($B224+1,AF$164,1,1,"Confirmed Trend"))=0,#N/A,INDIRECT(ADDRESS($B224+1,AF$164,1,1,"Confirmed Trend")))</f>
        <v>#N/A</v>
      </c>
      <c r="AG224" s="18" t="e" cm="1">
        <f t="array" aca="1" ref="AG224" ca="1">IF(INDIRECT(ADDRESS($B224+1,AG$164,1,1,"Confirmed Trend"))=0,#N/A,INDIRECT(ADDRESS($B224+1,AG$164,1,1,"Confirmed Trend")))</f>
        <v>#N/A</v>
      </c>
      <c r="AH224" s="18" t="e" cm="1">
        <f t="array" aca="1" ref="AH224" ca="1">IF(INDIRECT(ADDRESS($B224+1,AH$164,1,1,"Confirmed Trend"))=0,#N/A,INDIRECT(ADDRESS($B224+1,AH$164,1,1,"Confirmed Trend")))</f>
        <v>#N/A</v>
      </c>
      <c r="AI224" s="18" t="e" cm="1">
        <f t="array" aca="1" ref="AI224" ca="1">IF(INDIRECT(ADDRESS($B224+1,AI$164,1,1,"Confirmed Trend"))=0,#N/A,INDIRECT(ADDRESS($B224+1,AI$164,1,1,"Confirmed Trend")))</f>
        <v>#N/A</v>
      </c>
      <c r="AJ224" s="18" t="e" cm="1">
        <f t="array" aca="1" ref="AJ224" ca="1">IF(INDIRECT(ADDRESS($B224+1,AJ$164,1,1,"Confirmed Trend"))=0,#N/A,INDIRECT(ADDRESS($B224+1,AJ$164,1,1,"Confirmed Trend")))</f>
        <v>#N/A</v>
      </c>
      <c r="AK224" s="18" t="e" cm="1">
        <f t="array" aca="1" ref="AK224" ca="1">IF(INDIRECT(ADDRESS($B224+1,AK$164,1,1,"Confirmed Trend"))=0,#N/A,INDIRECT(ADDRESS($B224+1,AK$164,1,1,"Confirmed Trend")))</f>
        <v>#N/A</v>
      </c>
      <c r="AL224" s="18" t="e" cm="1">
        <f t="array" aca="1" ref="AL224" ca="1">IF(INDIRECT(ADDRESS($B224+1,AL$164,1,1,"Confirmed Trend"))=0,#N/A,INDIRECT(ADDRESS($B224+1,AL$164,1,1,"Confirmed Trend")))</f>
        <v>#N/A</v>
      </c>
      <c r="AM224" s="18" t="e" cm="1">
        <f t="array" aca="1" ref="AM224" ca="1">IF(INDIRECT(ADDRESS($B224+1,AM$164,1,1,"Confirmed Trend"))=0,#N/A,INDIRECT(ADDRESS($B224+1,AM$164,1,1,"Confirmed Trend")))</f>
        <v>#N/A</v>
      </c>
      <c r="AN224" s="18" t="e" cm="1">
        <f t="array" aca="1" ref="AN224" ca="1">IF(INDIRECT(ADDRESS($B224+1,AN$164,1,1,"Confirmed Trend"))=0,#N/A,INDIRECT(ADDRESS($B224+1,AN$164,1,1,"Confirmed Trend")))</f>
        <v>#N/A</v>
      </c>
      <c r="AO224" s="18" t="e" cm="1">
        <f t="array" aca="1" ref="AO224" ca="1">IF(INDIRECT(ADDRESS($B224+1,AO$164,1,1,"Confirmed Trend"))=0,#N/A,INDIRECT(ADDRESS($B224+1,AO$164,1,1,"Confirmed Trend")))</f>
        <v>#N/A</v>
      </c>
      <c r="AP224" s="18" t="e" cm="1">
        <f t="array" aca="1" ref="AP224" ca="1">IF(INDIRECT(ADDRESS($B224+1,AP$164,1,1,"Confirmed Trend"))=0,#N/A,INDIRECT(ADDRESS($B224+1,AP$164,1,1,"Confirmed Trend")))</f>
        <v>#N/A</v>
      </c>
      <c r="AQ224" s="18" t="e" cm="1">
        <f t="array" aca="1" ref="AQ224" ca="1">IF(INDIRECT(ADDRESS($B224+1,AQ$164,1,1,"Confirmed Trend"))=0,#N/A,INDIRECT(ADDRESS($B224+1,AQ$164,1,1,"Confirmed Trend")))</f>
        <v>#N/A</v>
      </c>
      <c r="AR224" s="18" t="e" cm="1">
        <f t="array" aca="1" ref="AR224" ca="1">IF(INDIRECT(ADDRESS($B224+1,AR$164,1,1,"Confirmed Trend"))=0,#N/A,INDIRECT(ADDRESS($B224+1,AR$164,1,1,"Confirmed Trend")))</f>
        <v>#N/A</v>
      </c>
      <c r="AS224" s="18" t="e" cm="1">
        <f t="array" aca="1" ref="AS224" ca="1">IF(INDIRECT(ADDRESS($B224+1,AS$164,1,1,"Confirmed Trend"))=0,#N/A,INDIRECT(ADDRESS($B224+1,AS$164,1,1,"Confirmed Trend")))</f>
        <v>#N/A</v>
      </c>
      <c r="AT224" s="18" t="e" cm="1">
        <f t="array" aca="1" ref="AT224" ca="1">IF(INDIRECT(ADDRESS($B224+1,AT$164,1,1,"Confirmed Trend"))=0,#N/A,INDIRECT(ADDRESS($B224+1,AT$164,1,1,"Confirmed Trend")))</f>
        <v>#N/A</v>
      </c>
      <c r="AU224" s="18" t="e" cm="1">
        <f t="array" aca="1" ref="AU224" ca="1">IF(INDIRECT(ADDRESS($B224+1,AU$164,1,1,"Confirmed Trend"))=0,#N/A,INDIRECT(ADDRESS($B224+1,AU$164,1,1,"Confirmed Trend")))</f>
        <v>#N/A</v>
      </c>
      <c r="AV224" s="18" t="e" cm="1">
        <f t="array" aca="1" ref="AV224" ca="1">IF(INDIRECT(ADDRESS($B224+1,AV$164,1,1,"Confirmed Trend"))=0,#N/A,INDIRECT(ADDRESS($B224+1,AV$164,1,1,"Confirmed Trend")))</f>
        <v>#N/A</v>
      </c>
      <c r="AW224" s="18" t="e" cm="1">
        <f t="array" aca="1" ref="AW224" ca="1">IF(INDIRECT(ADDRESS($B224+1,AW$164,1,1,"Confirmed Trend"))=0,#N/A,INDIRECT(ADDRESS($B224+1,AW$164,1,1,"Confirmed Trend")))</f>
        <v>#N/A</v>
      </c>
      <c r="AX224" s="18" t="e" cm="1">
        <f t="array" aca="1" ref="AX224" ca="1">IF(INDIRECT(ADDRESS($B224+1,AX$164,1,1,"Confirmed Trend"))=0,#N/A,INDIRECT(ADDRESS($B224+1,AX$164,1,1,"Confirmed Trend")))</f>
        <v>#N/A</v>
      </c>
      <c r="AY224" s="18" t="e" cm="1">
        <f t="array" aca="1" ref="AY224" ca="1">IF(INDIRECT(ADDRESS($B224+1,AY$164,1,1,"Confirmed Trend"))=0,#N/A,INDIRECT(ADDRESS($B224+1,AY$164,1,1,"Confirmed Trend")))</f>
        <v>#N/A</v>
      </c>
      <c r="AZ224" s="18" t="e" cm="1">
        <f t="array" aca="1" ref="AZ224" ca="1">IF(INDIRECT(ADDRESS($B224+1,AZ$164,1,1,"Confirmed Trend"))=0,#N/A,INDIRECT(ADDRESS($B224+1,AZ$164,1,1,"Confirmed Trend")))</f>
        <v>#N/A</v>
      </c>
      <c r="BA224" s="18" t="e" cm="1">
        <f t="array" aca="1" ref="BA224" ca="1">IF(INDIRECT(ADDRESS($B224+1,BA$164,1,1,"Confirmed Trend"))=0,#N/A,INDIRECT(ADDRESS($B224+1,BA$164,1,1,"Confirmed Trend")))</f>
        <v>#N/A</v>
      </c>
      <c r="BB224" s="18" t="e" cm="1">
        <f t="array" aca="1" ref="BB224" ca="1">IF(INDIRECT(ADDRESS($B224+1,BB$164,1,1,"Confirmed Trend"))=0,#N/A,INDIRECT(ADDRESS($B224+1,BB$164,1,1,"Confirmed Trend")))</f>
        <v>#N/A</v>
      </c>
      <c r="BC224" s="18" t="e" cm="1">
        <f t="array" aca="1" ref="BC224" ca="1">IF(INDIRECT(ADDRESS($B224+1,BC$164,1,1,"Confirmed Trend"))=0,#N/A,INDIRECT(ADDRESS($B224+1,BC$164,1,1,"Confirmed Trend")))</f>
        <v>#N/A</v>
      </c>
      <c r="BD224" s="18" t="e" cm="1">
        <f t="array" aca="1" ref="BD224" ca="1">IF(INDIRECT(ADDRESS($B224+1,BD$164,1,1,"Confirmed Trend"))=0,#N/A,INDIRECT(ADDRESS($B224+1,BD$164,1,1,"Confirmed Trend")))</f>
        <v>#N/A</v>
      </c>
      <c r="BE224" s="18" t="e" cm="1">
        <f t="array" aca="1" ref="BE224" ca="1">IF(INDIRECT(ADDRESS($B224+1,BE$164,1,1,"Confirmed Trend"))=0,#N/A,INDIRECT(ADDRESS($B224+1,BE$164,1,1,"Confirmed Trend")))</f>
        <v>#N/A</v>
      </c>
      <c r="BF224" s="18" t="e" cm="1">
        <f t="array" aca="1" ref="BF224" ca="1">IF(INDIRECT(ADDRESS($B224+1,BF$164,1,1,"Confirmed Trend"))=0,#N/A,INDIRECT(ADDRESS($B224+1,BF$164,1,1,"Confirmed Trend")))</f>
        <v>#N/A</v>
      </c>
      <c r="BG224" s="18" t="e" cm="1">
        <f t="array" aca="1" ref="BG224" ca="1">IF(INDIRECT(ADDRESS($B224+1,BG$164,1,1,"Confirmed Trend"))=0,#N/A,INDIRECT(ADDRESS($B224+1,BG$164,1,1,"Confirmed Trend")))</f>
        <v>#N/A</v>
      </c>
      <c r="BH224" s="18" t="e" cm="1">
        <f t="array" aca="1" ref="BH224" ca="1">IF(INDIRECT(ADDRESS($B224+1,BH$164,1,1,"Confirmed Trend"))=0,#N/A,INDIRECT(ADDRESS($B224+1,BH$164,1,1,"Confirmed Trend")))</f>
        <v>#N/A</v>
      </c>
      <c r="BI224" s="18" t="e" cm="1">
        <f t="array" aca="1" ref="BI224" ca="1">IF(INDIRECT(ADDRESS($B224+1,BI$164,1,1,"Confirmed Trend"))=0,#N/A,INDIRECT(ADDRESS($B224+1,BI$164,1,1,"Confirmed Trend")))</f>
        <v>#N/A</v>
      </c>
      <c r="BJ224" s="18" t="e" cm="1">
        <f t="array" aca="1" ref="BJ224" ca="1">IF(INDIRECT(ADDRESS($B224+1,BJ$164,1,1,"Confirmed Trend"))=0,#N/A,INDIRECT(ADDRESS($B224+1,BJ$164,1,1,"Confirmed Trend")))</f>
        <v>#N/A</v>
      </c>
      <c r="BK224" s="18" t="e" cm="1">
        <f t="array" aca="1" ref="BK224" ca="1">IF(INDIRECT(ADDRESS($B224+1,BK$164,1,1,"Confirmed Trend"))=0,#N/A,INDIRECT(ADDRESS($B224+1,BK$164,1,1,"Confirmed Trend")))</f>
        <v>#N/A</v>
      </c>
      <c r="BL224" s="18" t="e" cm="1">
        <f t="array" aca="1" ref="BL224" ca="1">IF(INDIRECT(ADDRESS($B224+1,BL$164,1,1,"Confirmed Trend"))=0,#N/A,INDIRECT(ADDRESS($B224+1,BL$164,1,1,"Confirmed Trend")))</f>
        <v>#N/A</v>
      </c>
      <c r="BM224" s="18" t="e" cm="1">
        <f t="array" aca="1" ref="BM224" ca="1">IF(INDIRECT(ADDRESS($B224+1,BM$164,1,1,"Confirmed Trend"))=0,#N/A,INDIRECT(ADDRESS($B224+1,BM$164,1,1,"Confirmed Trend")))</f>
        <v>#N/A</v>
      </c>
      <c r="BN224" s="18" t="e" cm="1">
        <f t="array" aca="1" ref="BN224" ca="1">IF(INDIRECT(ADDRESS($B224+1,BN$164,1,1,"Confirmed Trend"))=0,#N/A,INDIRECT(ADDRESS($B224+1,BN$164,1,1,"Confirmed Trend")))</f>
        <v>#N/A</v>
      </c>
      <c r="BO224" s="18" t="e" cm="1">
        <f t="array" aca="1" ref="BO224" ca="1">IF(INDIRECT(ADDRESS($B224+1,BO$164,1,1,"Confirmed Trend"))=0,#N/A,INDIRECT(ADDRESS($B224+1,BO$164,1,1,"Confirmed Trend")))</f>
        <v>#N/A</v>
      </c>
      <c r="BP224" s="18" t="e" cm="1">
        <f t="array" aca="1" ref="BP224" ca="1">IF(INDIRECT(ADDRESS($B224+1,BP$164,1,1,"Confirmed Trend"))=0,#N/A,INDIRECT(ADDRESS($B224+1,BP$164,1,1,"Confirmed Trend")))</f>
        <v>#N/A</v>
      </c>
      <c r="BQ224" s="18" t="e" cm="1">
        <f t="array" aca="1" ref="BQ224" ca="1">IF(INDIRECT(ADDRESS($B224+1,BQ$164,1,1,"Confirmed Trend"))=0,#N/A,INDIRECT(ADDRESS($B224+1,BQ$164,1,1,"Confirmed Trend")))</f>
        <v>#N/A</v>
      </c>
      <c r="BR224" s="18" t="e" cm="1">
        <f t="array" aca="1" ref="BR224" ca="1">IF(INDIRECT(ADDRESS($B224+1,BR$164,1,1,"Confirmed Trend"))=0,#N/A,INDIRECT(ADDRESS($B224+1,BR$164,1,1,"Confirmed Trend")))</f>
        <v>#N/A</v>
      </c>
      <c r="BS224" s="18" t="e" cm="1">
        <f t="array" aca="1" ref="BS224" ca="1">IF(INDIRECT(ADDRESS($B224+1,BS$164,1,1,"Confirmed Trend"))=0,#N/A,INDIRECT(ADDRESS($B224+1,BS$164,1,1,"Confirmed Trend")))</f>
        <v>#N/A</v>
      </c>
      <c r="BT224" s="18" t="e" cm="1">
        <f t="array" aca="1" ref="BT224" ca="1">IF(INDIRECT(ADDRESS($B224+1,BT$164,1,1,"Confirmed Trend"))=0,#N/A,INDIRECT(ADDRESS($B224+1,BT$164,1,1,"Confirmed Trend")))</f>
        <v>#N/A</v>
      </c>
      <c r="BU224" s="18" t="e" cm="1">
        <f t="array" aca="1" ref="BU224" ca="1">IF(INDIRECT(ADDRESS($B224+1,BU$164,1,1,"Confirmed Trend"))=0,#N/A,INDIRECT(ADDRESS($B224+1,BU$164,1,1,"Confirmed Trend")))</f>
        <v>#N/A</v>
      </c>
      <c r="BV224" s="18" t="e" cm="1">
        <f t="array" aca="1" ref="BV224" ca="1">IF(INDIRECT(ADDRESS($B224+1,BV$164,1,1,"Confirmed Trend"))=0,#N/A,INDIRECT(ADDRESS($B224+1,BV$164,1,1,"Confirmed Trend")))</f>
        <v>#N/A</v>
      </c>
    </row>
    <row r="225" spans="2:74" x14ac:dyDescent="0.25">
      <c r="B225">
        <f t="shared" si="132"/>
        <v>60</v>
      </c>
      <c r="C225" cm="1">
        <f t="array" aca="1" ref="C225" ca="1">INDIRECT(ADDRESS($B225+1,1,1,1,"Confirmed Trend"))</f>
        <v>0</v>
      </c>
      <c r="E225" s="18" t="e" cm="1">
        <f t="array" aca="1" ref="E225" ca="1">IF(INDIRECT(ADDRESS($B225+1,E$164,1,1,"Confirmed Trend"))=0,#N/A,INDIRECT(ADDRESS($B225+1,E$164,1,1,"Confirmed Trend")))</f>
        <v>#N/A</v>
      </c>
      <c r="F225" s="18" t="e" cm="1">
        <f t="array" aca="1" ref="F225" ca="1">IF(INDIRECT(ADDRESS($B225+1,F$164,1,1,"Confirmed Trend"))=0,#N/A,INDIRECT(ADDRESS($B225+1,F$164,1,1,"Confirmed Trend")))</f>
        <v>#N/A</v>
      </c>
      <c r="G225" s="18" t="e" cm="1">
        <f t="array" aca="1" ref="G225" ca="1">IF(INDIRECT(ADDRESS($B225+1,G$164,1,1,"Confirmed Trend"))=0,#N/A,INDIRECT(ADDRESS($B225+1,G$164,1,1,"Confirmed Trend")))</f>
        <v>#N/A</v>
      </c>
      <c r="H225" s="18" t="e" cm="1">
        <f t="array" aca="1" ref="H225" ca="1">IF(INDIRECT(ADDRESS($B225+1,H$164,1,1,"Confirmed Trend"))=0,#N/A,INDIRECT(ADDRESS($B225+1,H$164,1,1,"Confirmed Trend")))</f>
        <v>#N/A</v>
      </c>
      <c r="I225" s="18" t="e" cm="1">
        <f t="array" aca="1" ref="I225" ca="1">IF(INDIRECT(ADDRESS($B225+1,I$164,1,1,"Confirmed Trend"))=0,#N/A,INDIRECT(ADDRESS($B225+1,I$164,1,1,"Confirmed Trend")))</f>
        <v>#N/A</v>
      </c>
      <c r="J225" s="18" t="e" cm="1">
        <f t="array" aca="1" ref="J225" ca="1">IF(INDIRECT(ADDRESS($B225+1,J$164,1,1,"Confirmed Trend"))=0,#N/A,INDIRECT(ADDRESS($B225+1,J$164,1,1,"Confirmed Trend")))</f>
        <v>#N/A</v>
      </c>
      <c r="K225" s="18" t="e" cm="1">
        <f t="array" aca="1" ref="K225" ca="1">IF(INDIRECT(ADDRESS($B225+1,K$164,1,1,"Confirmed Trend"))=0,#N/A,INDIRECT(ADDRESS($B225+1,K$164,1,1,"Confirmed Trend")))</f>
        <v>#N/A</v>
      </c>
      <c r="L225" s="18" t="e" cm="1">
        <f t="array" aca="1" ref="L225" ca="1">IF(INDIRECT(ADDRESS($B225+1,L$164,1,1,"Confirmed Trend"))=0,#N/A,INDIRECT(ADDRESS($B225+1,L$164,1,1,"Confirmed Trend")))</f>
        <v>#N/A</v>
      </c>
      <c r="M225" s="18" t="e" cm="1">
        <f t="array" aca="1" ref="M225" ca="1">IF(INDIRECT(ADDRESS($B225+1,M$164,1,1,"Confirmed Trend"))=0,#N/A,INDIRECT(ADDRESS($B225+1,M$164,1,1,"Confirmed Trend")))</f>
        <v>#N/A</v>
      </c>
      <c r="N225" s="18" t="e" cm="1">
        <f t="array" aca="1" ref="N225" ca="1">IF(INDIRECT(ADDRESS($B225+1,N$164,1,1,"Confirmed Trend"))=0,#N/A,INDIRECT(ADDRESS($B225+1,N$164,1,1,"Confirmed Trend")))</f>
        <v>#N/A</v>
      </c>
      <c r="O225" s="18" t="e" cm="1">
        <f t="array" aca="1" ref="O225" ca="1">IF(INDIRECT(ADDRESS($B225+1,O$164,1,1,"Confirmed Trend"))=0,#N/A,INDIRECT(ADDRESS($B225+1,O$164,1,1,"Confirmed Trend")))</f>
        <v>#N/A</v>
      </c>
      <c r="P225" s="18" t="e" cm="1">
        <f t="array" aca="1" ref="P225" ca="1">IF(INDIRECT(ADDRESS($B225+1,P$164,1,1,"Confirmed Trend"))=0,#N/A,INDIRECT(ADDRESS($B225+1,P$164,1,1,"Confirmed Trend")))</f>
        <v>#N/A</v>
      </c>
      <c r="Q225" s="18" t="e" cm="1">
        <f t="array" aca="1" ref="Q225" ca="1">IF(INDIRECT(ADDRESS($B225+1,Q$164,1,1,"Confirmed Trend"))=0,#N/A,INDIRECT(ADDRESS($B225+1,Q$164,1,1,"Confirmed Trend")))</f>
        <v>#N/A</v>
      </c>
      <c r="R225" s="18" t="e" cm="1">
        <f t="array" aca="1" ref="R225" ca="1">IF(INDIRECT(ADDRESS($B225+1,R$164,1,1,"Confirmed Trend"))=0,#N/A,INDIRECT(ADDRESS($B225+1,R$164,1,1,"Confirmed Trend")))</f>
        <v>#N/A</v>
      </c>
      <c r="S225" s="18" t="e" cm="1">
        <f t="array" aca="1" ref="S225" ca="1">IF(INDIRECT(ADDRESS($B225+1,S$164,1,1,"Confirmed Trend"))=0,#N/A,INDIRECT(ADDRESS($B225+1,S$164,1,1,"Confirmed Trend")))</f>
        <v>#N/A</v>
      </c>
      <c r="T225" s="18" t="e" cm="1">
        <f t="array" aca="1" ref="T225" ca="1">IF(INDIRECT(ADDRESS($B225+1,T$164,1,1,"Confirmed Trend"))=0,#N/A,INDIRECT(ADDRESS($B225+1,T$164,1,1,"Confirmed Trend")))</f>
        <v>#N/A</v>
      </c>
      <c r="U225" s="18" t="e" cm="1">
        <f t="array" aca="1" ref="U225" ca="1">IF(INDIRECT(ADDRESS($B225+1,U$164,1,1,"Confirmed Trend"))=0,#N/A,INDIRECT(ADDRESS($B225+1,U$164,1,1,"Confirmed Trend")))</f>
        <v>#N/A</v>
      </c>
      <c r="V225" s="18" t="e" cm="1">
        <f t="array" aca="1" ref="V225" ca="1">IF(INDIRECT(ADDRESS($B225+1,V$164,1,1,"Confirmed Trend"))=0,#N/A,INDIRECT(ADDRESS($B225+1,V$164,1,1,"Confirmed Trend")))</f>
        <v>#N/A</v>
      </c>
      <c r="W225" s="18" t="e" cm="1">
        <f t="array" aca="1" ref="W225" ca="1">IF(INDIRECT(ADDRESS($B225+1,W$164,1,1,"Confirmed Trend"))=0,#N/A,INDIRECT(ADDRESS($B225+1,W$164,1,1,"Confirmed Trend")))</f>
        <v>#N/A</v>
      </c>
      <c r="X225" s="18" t="e" cm="1">
        <f t="array" aca="1" ref="X225" ca="1">IF(INDIRECT(ADDRESS($B225+1,X$164,1,1,"Confirmed Trend"))=0,#N/A,INDIRECT(ADDRESS($B225+1,X$164,1,1,"Confirmed Trend")))</f>
        <v>#N/A</v>
      </c>
      <c r="Y225" s="18" t="e" cm="1">
        <f t="array" aca="1" ref="Y225" ca="1">IF(INDIRECT(ADDRESS($B225+1,Y$164,1,1,"Confirmed Trend"))=0,#N/A,INDIRECT(ADDRESS($B225+1,Y$164,1,1,"Confirmed Trend")))</f>
        <v>#N/A</v>
      </c>
      <c r="Z225" s="18" t="e" cm="1">
        <f t="array" aca="1" ref="Z225" ca="1">IF(INDIRECT(ADDRESS($B225+1,Z$164,1,1,"Confirmed Trend"))=0,#N/A,INDIRECT(ADDRESS($B225+1,Z$164,1,1,"Confirmed Trend")))</f>
        <v>#N/A</v>
      </c>
      <c r="AA225" s="18" t="e" cm="1">
        <f t="array" aca="1" ref="AA225" ca="1">IF(INDIRECT(ADDRESS($B225+1,AA$164,1,1,"Confirmed Trend"))=0,#N/A,INDIRECT(ADDRESS($B225+1,AA$164,1,1,"Confirmed Trend")))</f>
        <v>#N/A</v>
      </c>
      <c r="AB225" s="18" t="e" cm="1">
        <f t="array" aca="1" ref="AB225" ca="1">IF(INDIRECT(ADDRESS($B225+1,AB$164,1,1,"Confirmed Trend"))=0,#N/A,INDIRECT(ADDRESS($B225+1,AB$164,1,1,"Confirmed Trend")))</f>
        <v>#N/A</v>
      </c>
      <c r="AC225" s="18" t="e" cm="1">
        <f t="array" aca="1" ref="AC225" ca="1">IF(INDIRECT(ADDRESS($B225+1,AC$164,1,1,"Confirmed Trend"))=0,#N/A,INDIRECT(ADDRESS($B225+1,AC$164,1,1,"Confirmed Trend")))</f>
        <v>#N/A</v>
      </c>
      <c r="AD225" s="18" t="e" cm="1">
        <f t="array" aca="1" ref="AD225" ca="1">IF(INDIRECT(ADDRESS($B225+1,AD$164,1,1,"Confirmed Trend"))=0,#N/A,INDIRECT(ADDRESS($B225+1,AD$164,1,1,"Confirmed Trend")))</f>
        <v>#N/A</v>
      </c>
      <c r="AE225" s="18" t="e" cm="1">
        <f t="array" aca="1" ref="AE225" ca="1">IF(INDIRECT(ADDRESS($B225+1,AE$164,1,1,"Confirmed Trend"))=0,#N/A,INDIRECT(ADDRESS($B225+1,AE$164,1,1,"Confirmed Trend")))</f>
        <v>#N/A</v>
      </c>
      <c r="AF225" s="18" t="e" cm="1">
        <f t="array" aca="1" ref="AF225" ca="1">IF(INDIRECT(ADDRESS($B225+1,AF$164,1,1,"Confirmed Trend"))=0,#N/A,INDIRECT(ADDRESS($B225+1,AF$164,1,1,"Confirmed Trend")))</f>
        <v>#N/A</v>
      </c>
      <c r="AG225" s="18" t="e" cm="1">
        <f t="array" aca="1" ref="AG225" ca="1">IF(INDIRECT(ADDRESS($B225+1,AG$164,1,1,"Confirmed Trend"))=0,#N/A,INDIRECT(ADDRESS($B225+1,AG$164,1,1,"Confirmed Trend")))</f>
        <v>#N/A</v>
      </c>
      <c r="AH225" s="18" t="e" cm="1">
        <f t="array" aca="1" ref="AH225" ca="1">IF(INDIRECT(ADDRESS($B225+1,AH$164,1,1,"Confirmed Trend"))=0,#N/A,INDIRECT(ADDRESS($B225+1,AH$164,1,1,"Confirmed Trend")))</f>
        <v>#N/A</v>
      </c>
      <c r="AI225" s="18" t="e" cm="1">
        <f t="array" aca="1" ref="AI225" ca="1">IF(INDIRECT(ADDRESS($B225+1,AI$164,1,1,"Confirmed Trend"))=0,#N/A,INDIRECT(ADDRESS($B225+1,AI$164,1,1,"Confirmed Trend")))</f>
        <v>#N/A</v>
      </c>
      <c r="AJ225" s="18" t="e" cm="1">
        <f t="array" aca="1" ref="AJ225" ca="1">IF(INDIRECT(ADDRESS($B225+1,AJ$164,1,1,"Confirmed Trend"))=0,#N/A,INDIRECT(ADDRESS($B225+1,AJ$164,1,1,"Confirmed Trend")))</f>
        <v>#N/A</v>
      </c>
      <c r="AK225" s="18" t="e" cm="1">
        <f t="array" aca="1" ref="AK225" ca="1">IF(INDIRECT(ADDRESS($B225+1,AK$164,1,1,"Confirmed Trend"))=0,#N/A,INDIRECT(ADDRESS($B225+1,AK$164,1,1,"Confirmed Trend")))</f>
        <v>#N/A</v>
      </c>
      <c r="AL225" s="18" t="e" cm="1">
        <f t="array" aca="1" ref="AL225" ca="1">IF(INDIRECT(ADDRESS($B225+1,AL$164,1,1,"Confirmed Trend"))=0,#N/A,INDIRECT(ADDRESS($B225+1,AL$164,1,1,"Confirmed Trend")))</f>
        <v>#N/A</v>
      </c>
      <c r="AM225" s="18" t="e" cm="1">
        <f t="array" aca="1" ref="AM225" ca="1">IF(INDIRECT(ADDRESS($B225+1,AM$164,1,1,"Confirmed Trend"))=0,#N/A,INDIRECT(ADDRESS($B225+1,AM$164,1,1,"Confirmed Trend")))</f>
        <v>#N/A</v>
      </c>
      <c r="AN225" s="18" t="e" cm="1">
        <f t="array" aca="1" ref="AN225" ca="1">IF(INDIRECT(ADDRESS($B225+1,AN$164,1,1,"Confirmed Trend"))=0,#N/A,INDIRECT(ADDRESS($B225+1,AN$164,1,1,"Confirmed Trend")))</f>
        <v>#N/A</v>
      </c>
      <c r="AO225" s="18" t="e" cm="1">
        <f t="array" aca="1" ref="AO225" ca="1">IF(INDIRECT(ADDRESS($B225+1,AO$164,1,1,"Confirmed Trend"))=0,#N/A,INDIRECT(ADDRESS($B225+1,AO$164,1,1,"Confirmed Trend")))</f>
        <v>#N/A</v>
      </c>
      <c r="AP225" s="18" t="e" cm="1">
        <f t="array" aca="1" ref="AP225" ca="1">IF(INDIRECT(ADDRESS($B225+1,AP$164,1,1,"Confirmed Trend"))=0,#N/A,INDIRECT(ADDRESS($B225+1,AP$164,1,1,"Confirmed Trend")))</f>
        <v>#N/A</v>
      </c>
      <c r="AQ225" s="18" t="e" cm="1">
        <f t="array" aca="1" ref="AQ225" ca="1">IF(INDIRECT(ADDRESS($B225+1,AQ$164,1,1,"Confirmed Trend"))=0,#N/A,INDIRECT(ADDRESS($B225+1,AQ$164,1,1,"Confirmed Trend")))</f>
        <v>#N/A</v>
      </c>
      <c r="AR225" s="18" t="e" cm="1">
        <f t="array" aca="1" ref="AR225" ca="1">IF(INDIRECT(ADDRESS($B225+1,AR$164,1,1,"Confirmed Trend"))=0,#N/A,INDIRECT(ADDRESS($B225+1,AR$164,1,1,"Confirmed Trend")))</f>
        <v>#N/A</v>
      </c>
      <c r="AS225" s="18" t="e" cm="1">
        <f t="array" aca="1" ref="AS225" ca="1">IF(INDIRECT(ADDRESS($B225+1,AS$164,1,1,"Confirmed Trend"))=0,#N/A,INDIRECT(ADDRESS($B225+1,AS$164,1,1,"Confirmed Trend")))</f>
        <v>#N/A</v>
      </c>
      <c r="AT225" s="18" t="e" cm="1">
        <f t="array" aca="1" ref="AT225" ca="1">IF(INDIRECT(ADDRESS($B225+1,AT$164,1,1,"Confirmed Trend"))=0,#N/A,INDIRECT(ADDRESS($B225+1,AT$164,1,1,"Confirmed Trend")))</f>
        <v>#N/A</v>
      </c>
      <c r="AU225" s="18" t="e" cm="1">
        <f t="array" aca="1" ref="AU225" ca="1">IF(INDIRECT(ADDRESS($B225+1,AU$164,1,1,"Confirmed Trend"))=0,#N/A,INDIRECT(ADDRESS($B225+1,AU$164,1,1,"Confirmed Trend")))</f>
        <v>#N/A</v>
      </c>
      <c r="AV225" s="18" t="e" cm="1">
        <f t="array" aca="1" ref="AV225" ca="1">IF(INDIRECT(ADDRESS($B225+1,AV$164,1,1,"Confirmed Trend"))=0,#N/A,INDIRECT(ADDRESS($B225+1,AV$164,1,1,"Confirmed Trend")))</f>
        <v>#N/A</v>
      </c>
      <c r="AW225" s="18" t="e" cm="1">
        <f t="array" aca="1" ref="AW225" ca="1">IF(INDIRECT(ADDRESS($B225+1,AW$164,1,1,"Confirmed Trend"))=0,#N/A,INDIRECT(ADDRESS($B225+1,AW$164,1,1,"Confirmed Trend")))</f>
        <v>#N/A</v>
      </c>
      <c r="AX225" s="18" t="e" cm="1">
        <f t="array" aca="1" ref="AX225" ca="1">IF(INDIRECT(ADDRESS($B225+1,AX$164,1,1,"Confirmed Trend"))=0,#N/A,INDIRECT(ADDRESS($B225+1,AX$164,1,1,"Confirmed Trend")))</f>
        <v>#N/A</v>
      </c>
      <c r="AY225" s="18" t="e" cm="1">
        <f t="array" aca="1" ref="AY225" ca="1">IF(INDIRECT(ADDRESS($B225+1,AY$164,1,1,"Confirmed Trend"))=0,#N/A,INDIRECT(ADDRESS($B225+1,AY$164,1,1,"Confirmed Trend")))</f>
        <v>#N/A</v>
      </c>
      <c r="AZ225" s="18" t="e" cm="1">
        <f t="array" aca="1" ref="AZ225" ca="1">IF(INDIRECT(ADDRESS($B225+1,AZ$164,1,1,"Confirmed Trend"))=0,#N/A,INDIRECT(ADDRESS($B225+1,AZ$164,1,1,"Confirmed Trend")))</f>
        <v>#N/A</v>
      </c>
      <c r="BA225" s="18" t="e" cm="1">
        <f t="array" aca="1" ref="BA225" ca="1">IF(INDIRECT(ADDRESS($B225+1,BA$164,1,1,"Confirmed Trend"))=0,#N/A,INDIRECT(ADDRESS($B225+1,BA$164,1,1,"Confirmed Trend")))</f>
        <v>#N/A</v>
      </c>
      <c r="BB225" s="18" t="e" cm="1">
        <f t="array" aca="1" ref="BB225" ca="1">IF(INDIRECT(ADDRESS($B225+1,BB$164,1,1,"Confirmed Trend"))=0,#N/A,INDIRECT(ADDRESS($B225+1,BB$164,1,1,"Confirmed Trend")))</f>
        <v>#N/A</v>
      </c>
      <c r="BC225" s="18" t="e" cm="1">
        <f t="array" aca="1" ref="BC225" ca="1">IF(INDIRECT(ADDRESS($B225+1,BC$164,1,1,"Confirmed Trend"))=0,#N/A,INDIRECT(ADDRESS($B225+1,BC$164,1,1,"Confirmed Trend")))</f>
        <v>#N/A</v>
      </c>
      <c r="BD225" s="18" t="e" cm="1">
        <f t="array" aca="1" ref="BD225" ca="1">IF(INDIRECT(ADDRESS($B225+1,BD$164,1,1,"Confirmed Trend"))=0,#N/A,INDIRECT(ADDRESS($B225+1,BD$164,1,1,"Confirmed Trend")))</f>
        <v>#N/A</v>
      </c>
      <c r="BE225" s="18" t="e" cm="1">
        <f t="array" aca="1" ref="BE225" ca="1">IF(INDIRECT(ADDRESS($B225+1,BE$164,1,1,"Confirmed Trend"))=0,#N/A,INDIRECT(ADDRESS($B225+1,BE$164,1,1,"Confirmed Trend")))</f>
        <v>#N/A</v>
      </c>
      <c r="BF225" s="18" t="e" cm="1">
        <f t="array" aca="1" ref="BF225" ca="1">IF(INDIRECT(ADDRESS($B225+1,BF$164,1,1,"Confirmed Trend"))=0,#N/A,INDIRECT(ADDRESS($B225+1,BF$164,1,1,"Confirmed Trend")))</f>
        <v>#N/A</v>
      </c>
      <c r="BG225" s="18" t="e" cm="1">
        <f t="array" aca="1" ref="BG225" ca="1">IF(INDIRECT(ADDRESS($B225+1,BG$164,1,1,"Confirmed Trend"))=0,#N/A,INDIRECT(ADDRESS($B225+1,BG$164,1,1,"Confirmed Trend")))</f>
        <v>#N/A</v>
      </c>
      <c r="BH225" s="18" t="e" cm="1">
        <f t="array" aca="1" ref="BH225" ca="1">IF(INDIRECT(ADDRESS($B225+1,BH$164,1,1,"Confirmed Trend"))=0,#N/A,INDIRECT(ADDRESS($B225+1,BH$164,1,1,"Confirmed Trend")))</f>
        <v>#N/A</v>
      </c>
      <c r="BI225" s="18" t="e" cm="1">
        <f t="array" aca="1" ref="BI225" ca="1">IF(INDIRECT(ADDRESS($B225+1,BI$164,1,1,"Confirmed Trend"))=0,#N/A,INDIRECT(ADDRESS($B225+1,BI$164,1,1,"Confirmed Trend")))</f>
        <v>#N/A</v>
      </c>
      <c r="BJ225" s="18" t="e" cm="1">
        <f t="array" aca="1" ref="BJ225" ca="1">IF(INDIRECT(ADDRESS($B225+1,BJ$164,1,1,"Confirmed Trend"))=0,#N/A,INDIRECT(ADDRESS($B225+1,BJ$164,1,1,"Confirmed Trend")))</f>
        <v>#N/A</v>
      </c>
      <c r="BK225" s="18" t="e" cm="1">
        <f t="array" aca="1" ref="BK225" ca="1">IF(INDIRECT(ADDRESS($B225+1,BK$164,1,1,"Confirmed Trend"))=0,#N/A,INDIRECT(ADDRESS($B225+1,BK$164,1,1,"Confirmed Trend")))</f>
        <v>#N/A</v>
      </c>
      <c r="BL225" s="18" t="e" cm="1">
        <f t="array" aca="1" ref="BL225" ca="1">IF(INDIRECT(ADDRESS($B225+1,BL$164,1,1,"Confirmed Trend"))=0,#N/A,INDIRECT(ADDRESS($B225+1,BL$164,1,1,"Confirmed Trend")))</f>
        <v>#N/A</v>
      </c>
      <c r="BM225" s="18" t="e" cm="1">
        <f t="array" aca="1" ref="BM225" ca="1">IF(INDIRECT(ADDRESS($B225+1,BM$164,1,1,"Confirmed Trend"))=0,#N/A,INDIRECT(ADDRESS($B225+1,BM$164,1,1,"Confirmed Trend")))</f>
        <v>#N/A</v>
      </c>
      <c r="BN225" s="18" t="e" cm="1">
        <f t="array" aca="1" ref="BN225" ca="1">IF(INDIRECT(ADDRESS($B225+1,BN$164,1,1,"Confirmed Trend"))=0,#N/A,INDIRECT(ADDRESS($B225+1,BN$164,1,1,"Confirmed Trend")))</f>
        <v>#N/A</v>
      </c>
      <c r="BO225" s="18" t="e" cm="1">
        <f t="array" aca="1" ref="BO225" ca="1">IF(INDIRECT(ADDRESS($B225+1,BO$164,1,1,"Confirmed Trend"))=0,#N/A,INDIRECT(ADDRESS($B225+1,BO$164,1,1,"Confirmed Trend")))</f>
        <v>#N/A</v>
      </c>
      <c r="BP225" s="18" t="e" cm="1">
        <f t="array" aca="1" ref="BP225" ca="1">IF(INDIRECT(ADDRESS($B225+1,BP$164,1,1,"Confirmed Trend"))=0,#N/A,INDIRECT(ADDRESS($B225+1,BP$164,1,1,"Confirmed Trend")))</f>
        <v>#N/A</v>
      </c>
      <c r="BQ225" s="18" t="e" cm="1">
        <f t="array" aca="1" ref="BQ225" ca="1">IF(INDIRECT(ADDRESS($B225+1,BQ$164,1,1,"Confirmed Trend"))=0,#N/A,INDIRECT(ADDRESS($B225+1,BQ$164,1,1,"Confirmed Trend")))</f>
        <v>#N/A</v>
      </c>
      <c r="BR225" s="18" t="e" cm="1">
        <f t="array" aca="1" ref="BR225" ca="1">IF(INDIRECT(ADDRESS($B225+1,BR$164,1,1,"Confirmed Trend"))=0,#N/A,INDIRECT(ADDRESS($B225+1,BR$164,1,1,"Confirmed Trend")))</f>
        <v>#N/A</v>
      </c>
      <c r="BS225" s="18" t="e" cm="1">
        <f t="array" aca="1" ref="BS225" ca="1">IF(INDIRECT(ADDRESS($B225+1,BS$164,1,1,"Confirmed Trend"))=0,#N/A,INDIRECT(ADDRESS($B225+1,BS$164,1,1,"Confirmed Trend")))</f>
        <v>#N/A</v>
      </c>
      <c r="BT225" s="18" t="e" cm="1">
        <f t="array" aca="1" ref="BT225" ca="1">IF(INDIRECT(ADDRESS($B225+1,BT$164,1,1,"Confirmed Trend"))=0,#N/A,INDIRECT(ADDRESS($B225+1,BT$164,1,1,"Confirmed Trend")))</f>
        <v>#N/A</v>
      </c>
      <c r="BU225" s="18" t="e" cm="1">
        <f t="array" aca="1" ref="BU225" ca="1">IF(INDIRECT(ADDRESS($B225+1,BU$164,1,1,"Confirmed Trend"))=0,#N/A,INDIRECT(ADDRESS($B225+1,BU$164,1,1,"Confirmed Trend")))</f>
        <v>#N/A</v>
      </c>
      <c r="BV225" s="18" t="e" cm="1">
        <f t="array" aca="1" ref="BV225" ca="1">IF(INDIRECT(ADDRESS($B225+1,BV$164,1,1,"Confirmed Trend"))=0,#N/A,INDIRECT(ADDRESS($B225+1,BV$164,1,1,"Confirmed Trend")))</f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E0AE6-FA4E-45C1-90DC-B2E785863876}">
  <dimension ref="A1:BW1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5" width="11.42578125" style="1"/>
  </cols>
  <sheetData>
    <row r="1" spans="1:75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  <c r="BS1" s="1" t="s">
        <v>187</v>
      </c>
      <c r="BT1" s="1" t="s">
        <v>190</v>
      </c>
      <c r="BU1" s="1" t="s">
        <v>189</v>
      </c>
      <c r="BV1" s="1" t="s">
        <v>193</v>
      </c>
      <c r="BW1" s="1" t="s">
        <v>195</v>
      </c>
    </row>
    <row r="2" spans="1:75" x14ac:dyDescent="0.25">
      <c r="A2" t="s">
        <v>185</v>
      </c>
      <c r="B2" s="1">
        <v>9006398</v>
      </c>
      <c r="C2">
        <v>82409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</row>
    <row r="3" spans="1:75" x14ac:dyDescent="0.25">
      <c r="A3" t="s">
        <v>184</v>
      </c>
      <c r="B3" s="1">
        <v>11589623</v>
      </c>
      <c r="C3">
        <v>30280</v>
      </c>
      <c r="D3">
        <v>0</v>
      </c>
      <c r="E3" s="2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</row>
    <row r="4" spans="1:75" x14ac:dyDescent="0.25">
      <c r="A4" t="s">
        <v>183</v>
      </c>
      <c r="B4" s="1">
        <v>37742154</v>
      </c>
      <c r="C4">
        <v>9093510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</row>
    <row r="5" spans="1:75" x14ac:dyDescent="0.25">
      <c r="A5" t="s">
        <v>182</v>
      </c>
      <c r="B5" s="1">
        <v>1439323776</v>
      </c>
      <c r="C5">
        <v>9388211</v>
      </c>
      <c r="D5">
        <v>0</v>
      </c>
      <c r="E5" s="2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</row>
    <row r="6" spans="1:75" x14ac:dyDescent="0.25">
      <c r="A6" t="s">
        <v>181</v>
      </c>
      <c r="B6" s="1">
        <v>65273511</v>
      </c>
      <c r="C6">
        <v>547557</v>
      </c>
      <c r="D6">
        <v>0</v>
      </c>
      <c r="E6" s="2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</row>
    <row r="7" spans="1:75" x14ac:dyDescent="0.25">
      <c r="A7" t="s">
        <v>180</v>
      </c>
      <c r="B7" s="1">
        <v>83783942</v>
      </c>
      <c r="C7">
        <v>348560</v>
      </c>
      <c r="D7">
        <v>0</v>
      </c>
      <c r="E7" s="2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</row>
    <row r="8" spans="1:75" x14ac:dyDescent="0.25">
      <c r="A8" t="s">
        <v>179</v>
      </c>
      <c r="B8" s="1">
        <v>1380004385</v>
      </c>
      <c r="C8">
        <v>2973190</v>
      </c>
      <c r="D8">
        <v>0</v>
      </c>
      <c r="E8" s="2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</row>
    <row r="9" spans="1:75" x14ac:dyDescent="0.25">
      <c r="A9" t="s">
        <v>178</v>
      </c>
      <c r="B9" s="1">
        <v>60461826</v>
      </c>
      <c r="C9">
        <v>294140</v>
      </c>
      <c r="D9">
        <v>0</v>
      </c>
      <c r="E9" s="2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</row>
    <row r="10" spans="1:75" x14ac:dyDescent="0.25">
      <c r="A10" t="s">
        <v>177</v>
      </c>
      <c r="B10" s="1">
        <v>51269185</v>
      </c>
      <c r="C10">
        <v>97230</v>
      </c>
      <c r="D10">
        <v>0</v>
      </c>
      <c r="E10" s="2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</row>
    <row r="11" spans="1:75" x14ac:dyDescent="0.25">
      <c r="A11" t="s">
        <v>176</v>
      </c>
      <c r="B11" s="1">
        <v>145934462</v>
      </c>
      <c r="C11">
        <v>16376870</v>
      </c>
      <c r="D11">
        <v>0</v>
      </c>
      <c r="E11" s="2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</row>
    <row r="12" spans="1:75" x14ac:dyDescent="0.25">
      <c r="A12" t="s">
        <v>175</v>
      </c>
      <c r="B12" s="1">
        <v>46754778</v>
      </c>
      <c r="C12">
        <v>498800</v>
      </c>
      <c r="D12">
        <v>0</v>
      </c>
      <c r="E12" s="2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</row>
    <row r="13" spans="1:75" x14ac:dyDescent="0.25">
      <c r="A13" t="s">
        <v>174</v>
      </c>
      <c r="B13" s="1">
        <v>10099265</v>
      </c>
      <c r="C13">
        <v>410340</v>
      </c>
      <c r="D13">
        <v>0</v>
      </c>
      <c r="E13" s="2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</row>
    <row r="14" spans="1:75" x14ac:dyDescent="0.25">
      <c r="A14" t="s">
        <v>0</v>
      </c>
      <c r="B14" s="1">
        <v>8654622</v>
      </c>
      <c r="C14">
        <v>39516</v>
      </c>
      <c r="D14">
        <v>0</v>
      </c>
      <c r="E14" s="2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</row>
    <row r="15" spans="1:75" x14ac:dyDescent="0.25">
      <c r="A15" t="s">
        <v>173</v>
      </c>
      <c r="B15" s="1">
        <v>331002651</v>
      </c>
      <c r="C15">
        <v>9147420</v>
      </c>
      <c r="D15">
        <v>0</v>
      </c>
      <c r="E15" s="2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</row>
    <row r="16" spans="1:75" x14ac:dyDescent="0.25">
      <c r="A16" t="s">
        <v>186</v>
      </c>
      <c r="B16" s="1">
        <v>67886011</v>
      </c>
      <c r="C16">
        <v>241930</v>
      </c>
      <c r="D16">
        <v>0</v>
      </c>
      <c r="E16" s="2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</row>
  </sheetData>
  <autoFilter ref="A1:BW16" xr:uid="{89F14146-851A-4C3C-AAFC-EBD195D721BD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D9742-0916-46FE-A6A1-AA3FB2596AE9}">
  <dimension ref="A1:BW16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5" width="11.42578125" style="1"/>
  </cols>
  <sheetData>
    <row r="1" spans="1:75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  <c r="BS1" s="1" t="s">
        <v>187</v>
      </c>
      <c r="BT1" s="1" t="s">
        <v>190</v>
      </c>
      <c r="BU1" s="1" t="s">
        <v>189</v>
      </c>
      <c r="BV1" s="1" t="s">
        <v>193</v>
      </c>
      <c r="BW1" s="1" t="s">
        <v>195</v>
      </c>
    </row>
    <row r="2" spans="1:75" x14ac:dyDescent="0.25">
      <c r="A2" t="s">
        <v>185</v>
      </c>
      <c r="B2" s="1">
        <v>9006398</v>
      </c>
      <c r="C2">
        <v>82409</v>
      </c>
      <c r="D2">
        <v>9618</v>
      </c>
      <c r="E2" s="2">
        <v>106.7907503088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2</v>
      </c>
      <c r="AP2" s="1">
        <v>2</v>
      </c>
      <c r="AQ2" s="1">
        <v>3</v>
      </c>
      <c r="AR2" s="1">
        <v>3</v>
      </c>
      <c r="AS2" s="1">
        <v>9</v>
      </c>
      <c r="AT2" s="1">
        <v>14</v>
      </c>
      <c r="AU2" s="1">
        <v>18</v>
      </c>
      <c r="AV2" s="1">
        <v>21</v>
      </c>
      <c r="AW2" s="1">
        <v>29</v>
      </c>
      <c r="AX2" s="1">
        <v>41</v>
      </c>
      <c r="AY2" s="1">
        <v>55</v>
      </c>
      <c r="AZ2" s="1">
        <v>79</v>
      </c>
      <c r="BA2" s="1">
        <v>104</v>
      </c>
      <c r="BB2" s="1">
        <v>131</v>
      </c>
      <c r="BC2" s="1">
        <v>182</v>
      </c>
      <c r="BD2" s="1">
        <v>246</v>
      </c>
      <c r="BE2" s="1">
        <v>302</v>
      </c>
      <c r="BF2" s="1">
        <v>504</v>
      </c>
      <c r="BG2" s="1">
        <v>655</v>
      </c>
      <c r="BH2" s="1">
        <v>860</v>
      </c>
      <c r="BI2" s="1">
        <v>1018</v>
      </c>
      <c r="BJ2" s="1">
        <v>1332</v>
      </c>
      <c r="BK2" s="1">
        <v>1646</v>
      </c>
      <c r="BL2" s="1">
        <v>2013</v>
      </c>
      <c r="BM2" s="1">
        <v>2388</v>
      </c>
      <c r="BN2" s="1">
        <v>2814</v>
      </c>
      <c r="BO2" s="1">
        <v>3582</v>
      </c>
      <c r="BP2" s="1">
        <v>4474</v>
      </c>
      <c r="BQ2" s="1">
        <v>5283</v>
      </c>
      <c r="BR2" s="1">
        <v>5588</v>
      </c>
      <c r="BS2" s="1">
        <v>6909</v>
      </c>
      <c r="BT2" s="1">
        <v>7657</v>
      </c>
      <c r="BU2" s="1">
        <v>8271</v>
      </c>
      <c r="BV2" s="1">
        <v>8788</v>
      </c>
      <c r="BW2" s="1">
        <v>9618</v>
      </c>
    </row>
    <row r="3" spans="1:75" x14ac:dyDescent="0.25">
      <c r="A3" t="s">
        <v>184</v>
      </c>
      <c r="B3" s="1">
        <v>11589623</v>
      </c>
      <c r="C3">
        <v>30280</v>
      </c>
      <c r="D3">
        <v>11899</v>
      </c>
      <c r="E3" s="2">
        <v>102.6694310937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1</v>
      </c>
      <c r="U3" s="1">
        <v>1</v>
      </c>
      <c r="V3" s="1">
        <v>1</v>
      </c>
      <c r="W3" s="1">
        <v>1</v>
      </c>
      <c r="X3" s="1">
        <v>1</v>
      </c>
      <c r="Y3" s="1">
        <v>1</v>
      </c>
      <c r="Z3" s="1">
        <v>1</v>
      </c>
      <c r="AA3" s="1">
        <v>1</v>
      </c>
      <c r="AB3" s="1">
        <v>1</v>
      </c>
      <c r="AC3" s="1">
        <v>1</v>
      </c>
      <c r="AD3" s="1">
        <v>1</v>
      </c>
      <c r="AE3" s="1">
        <v>1</v>
      </c>
      <c r="AF3" s="1">
        <v>1</v>
      </c>
      <c r="AG3" s="1">
        <v>1</v>
      </c>
      <c r="AH3" s="1">
        <v>1</v>
      </c>
      <c r="AI3" s="1">
        <v>1</v>
      </c>
      <c r="AJ3" s="1">
        <v>1</v>
      </c>
      <c r="AK3" s="1">
        <v>1</v>
      </c>
      <c r="AL3" s="1">
        <v>1</v>
      </c>
      <c r="AM3" s="1">
        <v>1</v>
      </c>
      <c r="AN3" s="1">
        <v>1</v>
      </c>
      <c r="AO3" s="1">
        <v>1</v>
      </c>
      <c r="AP3" s="1">
        <v>1</v>
      </c>
      <c r="AQ3" s="1">
        <v>1</v>
      </c>
      <c r="AR3" s="1">
        <v>1</v>
      </c>
      <c r="AS3" s="1">
        <v>1</v>
      </c>
      <c r="AT3" s="1">
        <v>2</v>
      </c>
      <c r="AU3" s="1">
        <v>8</v>
      </c>
      <c r="AV3" s="1">
        <v>13</v>
      </c>
      <c r="AW3" s="1">
        <v>23</v>
      </c>
      <c r="AX3" s="1">
        <v>50</v>
      </c>
      <c r="AY3" s="1">
        <v>109</v>
      </c>
      <c r="AZ3" s="1">
        <v>169</v>
      </c>
      <c r="BA3" s="1">
        <v>200</v>
      </c>
      <c r="BB3" s="1">
        <v>239</v>
      </c>
      <c r="BC3" s="1">
        <v>267</v>
      </c>
      <c r="BD3" s="1">
        <v>314</v>
      </c>
      <c r="BE3" s="1">
        <v>314</v>
      </c>
      <c r="BF3" s="1">
        <v>559</v>
      </c>
      <c r="BG3" s="1">
        <v>689</v>
      </c>
      <c r="BH3" s="1">
        <v>886</v>
      </c>
      <c r="BI3" s="1">
        <v>1058</v>
      </c>
      <c r="BJ3" s="1">
        <v>1243</v>
      </c>
      <c r="BK3" s="1">
        <v>1486</v>
      </c>
      <c r="BL3" s="1">
        <v>1795</v>
      </c>
      <c r="BM3" s="1">
        <v>2257</v>
      </c>
      <c r="BN3" s="1">
        <v>2815</v>
      </c>
      <c r="BO3" s="1">
        <v>3401</v>
      </c>
      <c r="BP3" s="1">
        <v>3743</v>
      </c>
      <c r="BQ3" s="1">
        <v>4269</v>
      </c>
      <c r="BR3" s="1">
        <v>4937</v>
      </c>
      <c r="BS3" s="1">
        <v>6235</v>
      </c>
      <c r="BT3" s="1">
        <v>7284</v>
      </c>
      <c r="BU3" s="1">
        <v>9134</v>
      </c>
      <c r="BV3" s="1">
        <v>10836</v>
      </c>
      <c r="BW3" s="1">
        <v>11899</v>
      </c>
    </row>
    <row r="4" spans="1:75" x14ac:dyDescent="0.25">
      <c r="A4" t="s">
        <v>183</v>
      </c>
      <c r="B4" s="1">
        <v>37742154</v>
      </c>
      <c r="C4">
        <v>9093510</v>
      </c>
      <c r="D4">
        <v>7385</v>
      </c>
      <c r="E4" s="2">
        <v>19.566980729299999</v>
      </c>
      <c r="G4" s="1">
        <v>0</v>
      </c>
      <c r="H4" s="1">
        <v>0</v>
      </c>
      <c r="I4" s="1">
        <v>0</v>
      </c>
      <c r="J4" s="1">
        <v>0</v>
      </c>
      <c r="K4" s="1">
        <v>1</v>
      </c>
      <c r="L4" s="1">
        <v>1</v>
      </c>
      <c r="M4" s="1">
        <v>2</v>
      </c>
      <c r="N4" s="1">
        <v>2</v>
      </c>
      <c r="O4" s="1">
        <v>2</v>
      </c>
      <c r="P4" s="1">
        <v>4</v>
      </c>
      <c r="Q4" s="1">
        <v>4</v>
      </c>
      <c r="R4" s="1">
        <v>4</v>
      </c>
      <c r="S4" s="1">
        <v>4</v>
      </c>
      <c r="T4" s="1">
        <v>4</v>
      </c>
      <c r="U4" s="1">
        <v>5</v>
      </c>
      <c r="V4" s="1">
        <v>5</v>
      </c>
      <c r="W4" s="1">
        <v>7</v>
      </c>
      <c r="X4" s="1">
        <v>7</v>
      </c>
      <c r="Y4" s="1">
        <v>7</v>
      </c>
      <c r="Z4" s="1">
        <v>7</v>
      </c>
      <c r="AA4" s="1">
        <v>7</v>
      </c>
      <c r="AB4" s="1">
        <v>7</v>
      </c>
      <c r="AC4" s="1">
        <v>7</v>
      </c>
      <c r="AD4" s="1">
        <v>7</v>
      </c>
      <c r="AE4" s="1">
        <v>7</v>
      </c>
      <c r="AF4" s="1">
        <v>7</v>
      </c>
      <c r="AG4" s="1">
        <v>8</v>
      </c>
      <c r="AH4" s="1">
        <v>8</v>
      </c>
      <c r="AI4" s="1">
        <v>8</v>
      </c>
      <c r="AJ4" s="1">
        <v>8</v>
      </c>
      <c r="AK4" s="1">
        <v>9</v>
      </c>
      <c r="AL4" s="1">
        <v>9</v>
      </c>
      <c r="AM4" s="1">
        <v>9</v>
      </c>
      <c r="AN4" s="1">
        <v>10</v>
      </c>
      <c r="AO4" s="1">
        <v>11</v>
      </c>
      <c r="AP4" s="1">
        <v>11</v>
      </c>
      <c r="AQ4" s="1">
        <v>13</v>
      </c>
      <c r="AR4" s="1">
        <v>14</v>
      </c>
      <c r="AS4" s="1">
        <v>20</v>
      </c>
      <c r="AT4" s="1">
        <v>24</v>
      </c>
      <c r="AU4" s="1">
        <v>27</v>
      </c>
      <c r="AV4" s="1">
        <v>30</v>
      </c>
      <c r="AW4" s="1">
        <v>33</v>
      </c>
      <c r="AX4" s="1">
        <v>37</v>
      </c>
      <c r="AY4" s="1">
        <v>49</v>
      </c>
      <c r="AZ4" s="1">
        <v>54</v>
      </c>
      <c r="BA4" s="1">
        <v>64</v>
      </c>
      <c r="BB4" s="1">
        <v>77</v>
      </c>
      <c r="BC4" s="1">
        <v>79</v>
      </c>
      <c r="BD4" s="1">
        <v>108</v>
      </c>
      <c r="BE4" s="1">
        <v>117</v>
      </c>
      <c r="BF4" s="1">
        <v>191</v>
      </c>
      <c r="BG4" s="1">
        <v>196</v>
      </c>
      <c r="BH4" s="1">
        <v>250</v>
      </c>
      <c r="BI4" s="1">
        <v>413</v>
      </c>
      <c r="BJ4" s="1">
        <v>470</v>
      </c>
      <c r="BK4" s="1">
        <v>648</v>
      </c>
      <c r="BL4" s="1">
        <v>791</v>
      </c>
      <c r="BM4" s="1">
        <v>933</v>
      </c>
      <c r="BN4" s="1">
        <v>1267</v>
      </c>
      <c r="BO4" s="1">
        <v>1456</v>
      </c>
      <c r="BP4" s="1">
        <v>2075</v>
      </c>
      <c r="BQ4" s="1">
        <v>2777</v>
      </c>
      <c r="BR4" s="1">
        <v>3238</v>
      </c>
      <c r="BS4" s="1">
        <v>4029</v>
      </c>
      <c r="BT4" s="1">
        <v>4669</v>
      </c>
      <c r="BU4" s="1">
        <v>5563</v>
      </c>
      <c r="BV4" s="1">
        <v>6267</v>
      </c>
      <c r="BW4" s="1">
        <v>7385</v>
      </c>
    </row>
    <row r="5" spans="1:75" x14ac:dyDescent="0.25">
      <c r="A5" t="s">
        <v>182</v>
      </c>
      <c r="B5" s="1">
        <v>1439323776</v>
      </c>
      <c r="C5">
        <v>9388211</v>
      </c>
      <c r="D5">
        <v>82198</v>
      </c>
      <c r="E5" s="2">
        <v>5.7108762719000001</v>
      </c>
      <c r="G5" s="1">
        <v>548</v>
      </c>
      <c r="H5" s="1">
        <v>643</v>
      </c>
      <c r="I5" s="1">
        <v>920</v>
      </c>
      <c r="J5" s="1">
        <v>1406</v>
      </c>
      <c r="K5" s="1">
        <v>2075</v>
      </c>
      <c r="L5" s="1">
        <v>2877</v>
      </c>
      <c r="M5" s="1">
        <v>5509</v>
      </c>
      <c r="N5" s="1">
        <v>6087</v>
      </c>
      <c r="O5" s="1">
        <v>8141</v>
      </c>
      <c r="P5" s="1">
        <v>9802</v>
      </c>
      <c r="Q5" s="1">
        <v>11891</v>
      </c>
      <c r="R5" s="1">
        <v>16630</v>
      </c>
      <c r="S5" s="1">
        <v>19716</v>
      </c>
      <c r="T5" s="1">
        <v>23707</v>
      </c>
      <c r="U5" s="1">
        <v>27440</v>
      </c>
      <c r="V5" s="1">
        <v>30587</v>
      </c>
      <c r="W5" s="1">
        <v>34110</v>
      </c>
      <c r="X5" s="1">
        <v>36814</v>
      </c>
      <c r="Y5" s="1">
        <v>39829</v>
      </c>
      <c r="Z5" s="1">
        <v>42354</v>
      </c>
      <c r="AA5" s="1">
        <v>44386</v>
      </c>
      <c r="AB5" s="1">
        <v>44759</v>
      </c>
      <c r="AC5" s="1">
        <v>59895</v>
      </c>
      <c r="AD5" s="1">
        <v>66358</v>
      </c>
      <c r="AE5" s="1">
        <v>68413</v>
      </c>
      <c r="AF5" s="1">
        <v>70513</v>
      </c>
      <c r="AG5" s="1">
        <v>72434</v>
      </c>
      <c r="AH5" s="1">
        <v>74211</v>
      </c>
      <c r="AI5" s="1">
        <v>74619</v>
      </c>
      <c r="AJ5" s="1">
        <v>75077</v>
      </c>
      <c r="AK5" s="1">
        <v>75550</v>
      </c>
      <c r="AL5" s="1">
        <v>77001</v>
      </c>
      <c r="AM5" s="1">
        <v>77022</v>
      </c>
      <c r="AN5" s="1">
        <v>77241</v>
      </c>
      <c r="AO5" s="1">
        <v>77754</v>
      </c>
      <c r="AP5" s="1">
        <v>78166</v>
      </c>
      <c r="AQ5" s="1">
        <v>78600</v>
      </c>
      <c r="AR5" s="1">
        <v>78928</v>
      </c>
      <c r="AS5" s="1">
        <v>79356</v>
      </c>
      <c r="AT5" s="1">
        <v>79932</v>
      </c>
      <c r="AU5" s="1">
        <v>80136</v>
      </c>
      <c r="AV5" s="1">
        <v>80261</v>
      </c>
      <c r="AW5" s="1">
        <v>80386</v>
      </c>
      <c r="AX5" s="1">
        <v>80537</v>
      </c>
      <c r="AY5" s="1">
        <v>80690</v>
      </c>
      <c r="AZ5" s="1">
        <v>80770</v>
      </c>
      <c r="BA5" s="1">
        <v>80823</v>
      </c>
      <c r="BB5" s="1">
        <v>80860</v>
      </c>
      <c r="BC5" s="1">
        <v>80887</v>
      </c>
      <c r="BD5" s="1">
        <v>80921</v>
      </c>
      <c r="BE5" s="1">
        <v>80932</v>
      </c>
      <c r="BF5" s="1">
        <v>80945</v>
      </c>
      <c r="BG5" s="1">
        <v>80977</v>
      </c>
      <c r="BH5" s="1">
        <v>81003</v>
      </c>
      <c r="BI5" s="1">
        <v>81033</v>
      </c>
      <c r="BJ5" s="1">
        <v>81058</v>
      </c>
      <c r="BK5" s="1">
        <v>81102</v>
      </c>
      <c r="BL5" s="1">
        <v>81156</v>
      </c>
      <c r="BM5" s="1">
        <v>81250</v>
      </c>
      <c r="BN5" s="1">
        <v>81305</v>
      </c>
      <c r="BO5" s="1">
        <v>81435</v>
      </c>
      <c r="BP5" s="1">
        <v>81498</v>
      </c>
      <c r="BQ5" s="1">
        <v>81591</v>
      </c>
      <c r="BR5" s="1">
        <v>81661</v>
      </c>
      <c r="BS5" s="1">
        <v>81782</v>
      </c>
      <c r="BT5" s="1">
        <v>81897</v>
      </c>
      <c r="BU5" s="1">
        <v>81999</v>
      </c>
      <c r="BV5" s="1">
        <v>82122</v>
      </c>
      <c r="BW5" s="1">
        <v>82198</v>
      </c>
    </row>
    <row r="6" spans="1:75" x14ac:dyDescent="0.25">
      <c r="A6" t="s">
        <v>181</v>
      </c>
      <c r="B6" s="1">
        <v>65273511</v>
      </c>
      <c r="C6">
        <v>547557</v>
      </c>
      <c r="D6">
        <v>44550</v>
      </c>
      <c r="E6" s="2">
        <v>68.251269645999997</v>
      </c>
      <c r="G6" s="1">
        <v>0</v>
      </c>
      <c r="H6" s="1">
        <v>0</v>
      </c>
      <c r="I6" s="1">
        <v>2</v>
      </c>
      <c r="J6" s="1">
        <v>3</v>
      </c>
      <c r="K6" s="1">
        <v>3</v>
      </c>
      <c r="L6" s="1">
        <v>3</v>
      </c>
      <c r="M6" s="1">
        <v>4</v>
      </c>
      <c r="N6" s="1">
        <v>5</v>
      </c>
      <c r="O6" s="1">
        <v>5</v>
      </c>
      <c r="P6" s="1">
        <v>5</v>
      </c>
      <c r="Q6" s="1">
        <v>6</v>
      </c>
      <c r="R6" s="1">
        <v>6</v>
      </c>
      <c r="S6" s="1">
        <v>6</v>
      </c>
      <c r="T6" s="1">
        <v>6</v>
      </c>
      <c r="U6" s="1">
        <v>6</v>
      </c>
      <c r="V6" s="1">
        <v>6</v>
      </c>
      <c r="W6" s="1">
        <v>6</v>
      </c>
      <c r="X6" s="1">
        <v>11</v>
      </c>
      <c r="Y6" s="1">
        <v>11</v>
      </c>
      <c r="Z6" s="1">
        <v>11</v>
      </c>
      <c r="AA6" s="1">
        <v>11</v>
      </c>
      <c r="AB6" s="1">
        <v>11</v>
      </c>
      <c r="AC6" s="1">
        <v>11</v>
      </c>
      <c r="AD6" s="1">
        <v>11</v>
      </c>
      <c r="AE6" s="1">
        <v>12</v>
      </c>
      <c r="AF6" s="1">
        <v>12</v>
      </c>
      <c r="AG6" s="1">
        <v>12</v>
      </c>
      <c r="AH6" s="1">
        <v>12</v>
      </c>
      <c r="AI6" s="1">
        <v>12</v>
      </c>
      <c r="AJ6" s="1">
        <v>12</v>
      </c>
      <c r="AK6" s="1">
        <v>12</v>
      </c>
      <c r="AL6" s="1">
        <v>12</v>
      </c>
      <c r="AM6" s="1">
        <v>12</v>
      </c>
      <c r="AN6" s="1">
        <v>12</v>
      </c>
      <c r="AO6" s="1">
        <v>14</v>
      </c>
      <c r="AP6" s="1">
        <v>18</v>
      </c>
      <c r="AQ6" s="1">
        <v>38</v>
      </c>
      <c r="AR6" s="1">
        <v>57</v>
      </c>
      <c r="AS6" s="1">
        <v>100</v>
      </c>
      <c r="AT6" s="1">
        <v>130</v>
      </c>
      <c r="AU6" s="1">
        <v>191</v>
      </c>
      <c r="AV6" s="1">
        <v>204</v>
      </c>
      <c r="AW6" s="1">
        <v>285</v>
      </c>
      <c r="AX6" s="1">
        <v>377</v>
      </c>
      <c r="AY6" s="1">
        <v>653</v>
      </c>
      <c r="AZ6" s="1">
        <v>949</v>
      </c>
      <c r="BA6" s="1">
        <v>1126</v>
      </c>
      <c r="BB6" s="1">
        <v>1209</v>
      </c>
      <c r="BC6" s="1">
        <v>1784</v>
      </c>
      <c r="BD6" s="1">
        <v>2281</v>
      </c>
      <c r="BE6" s="1">
        <v>2281</v>
      </c>
      <c r="BF6" s="1">
        <v>3661</v>
      </c>
      <c r="BG6" s="1">
        <v>4469</v>
      </c>
      <c r="BH6" s="1">
        <v>4499</v>
      </c>
      <c r="BI6" s="1">
        <v>6633</v>
      </c>
      <c r="BJ6" s="1">
        <v>7652</v>
      </c>
      <c r="BK6" s="1">
        <v>9043</v>
      </c>
      <c r="BL6" s="1">
        <v>10871</v>
      </c>
      <c r="BM6" s="1">
        <v>12612</v>
      </c>
      <c r="BN6" s="1">
        <v>14282</v>
      </c>
      <c r="BO6" s="1">
        <v>16018</v>
      </c>
      <c r="BP6" s="1">
        <v>19856</v>
      </c>
      <c r="BQ6" s="1">
        <v>22304</v>
      </c>
      <c r="BR6" s="1">
        <v>25233</v>
      </c>
      <c r="BS6" s="1">
        <v>29155</v>
      </c>
      <c r="BT6" s="1">
        <v>32964</v>
      </c>
      <c r="BU6" s="1">
        <v>37575</v>
      </c>
      <c r="BV6" s="1">
        <v>40174</v>
      </c>
      <c r="BW6" s="1">
        <v>44550</v>
      </c>
    </row>
    <row r="7" spans="1:75" x14ac:dyDescent="0.25">
      <c r="A7" t="s">
        <v>180</v>
      </c>
      <c r="B7" s="1">
        <v>83783942</v>
      </c>
      <c r="C7">
        <v>348560</v>
      </c>
      <c r="D7">
        <v>66885</v>
      </c>
      <c r="E7" s="2">
        <v>79.830333120399999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1</v>
      </c>
      <c r="M7" s="1">
        <v>4</v>
      </c>
      <c r="N7" s="1">
        <v>4</v>
      </c>
      <c r="O7" s="1">
        <v>4</v>
      </c>
      <c r="P7" s="1">
        <v>5</v>
      </c>
      <c r="Q7" s="1">
        <v>8</v>
      </c>
      <c r="R7" s="1">
        <v>10</v>
      </c>
      <c r="S7" s="1">
        <v>12</v>
      </c>
      <c r="T7" s="1">
        <v>12</v>
      </c>
      <c r="U7" s="1">
        <v>12</v>
      </c>
      <c r="V7" s="1">
        <v>12</v>
      </c>
      <c r="W7" s="1">
        <v>13</v>
      </c>
      <c r="X7" s="1">
        <v>13</v>
      </c>
      <c r="Y7" s="1">
        <v>14</v>
      </c>
      <c r="Z7" s="1">
        <v>14</v>
      </c>
      <c r="AA7" s="1">
        <v>16</v>
      </c>
      <c r="AB7" s="1">
        <v>16</v>
      </c>
      <c r="AC7" s="1">
        <v>16</v>
      </c>
      <c r="AD7" s="1">
        <v>16</v>
      </c>
      <c r="AE7" s="1">
        <v>16</v>
      </c>
      <c r="AF7" s="1">
        <v>16</v>
      </c>
      <c r="AG7" s="1">
        <v>16</v>
      </c>
      <c r="AH7" s="1">
        <v>16</v>
      </c>
      <c r="AI7" s="1">
        <v>16</v>
      </c>
      <c r="AJ7" s="1">
        <v>16</v>
      </c>
      <c r="AK7" s="1">
        <v>16</v>
      </c>
      <c r="AL7" s="1">
        <v>16</v>
      </c>
      <c r="AM7" s="1">
        <v>16</v>
      </c>
      <c r="AN7" s="1">
        <v>16</v>
      </c>
      <c r="AO7" s="1">
        <v>17</v>
      </c>
      <c r="AP7" s="1">
        <v>27</v>
      </c>
      <c r="AQ7" s="1">
        <v>46</v>
      </c>
      <c r="AR7" s="1">
        <v>48</v>
      </c>
      <c r="AS7" s="1">
        <v>79</v>
      </c>
      <c r="AT7" s="1">
        <v>130</v>
      </c>
      <c r="AU7" s="1">
        <v>159</v>
      </c>
      <c r="AV7" s="1">
        <v>196</v>
      </c>
      <c r="AW7" s="1">
        <v>262</v>
      </c>
      <c r="AX7" s="1">
        <v>482</v>
      </c>
      <c r="AY7" s="1">
        <v>670</v>
      </c>
      <c r="AZ7" s="1">
        <v>799</v>
      </c>
      <c r="BA7" s="1">
        <v>1040</v>
      </c>
      <c r="BB7" s="1">
        <v>1176</v>
      </c>
      <c r="BC7" s="1">
        <v>1457</v>
      </c>
      <c r="BD7" s="1">
        <v>1908</v>
      </c>
      <c r="BE7" s="1">
        <v>2078</v>
      </c>
      <c r="BF7" s="1">
        <v>3675</v>
      </c>
      <c r="BG7" s="1">
        <v>4585</v>
      </c>
      <c r="BH7" s="1">
        <v>5795</v>
      </c>
      <c r="BI7" s="1">
        <v>7272</v>
      </c>
      <c r="BJ7" s="1">
        <v>9257</v>
      </c>
      <c r="BK7" s="1">
        <v>12327</v>
      </c>
      <c r="BL7" s="1">
        <v>15320</v>
      </c>
      <c r="BM7" s="1">
        <v>19848</v>
      </c>
      <c r="BN7" s="1">
        <v>22213</v>
      </c>
      <c r="BO7" s="1">
        <v>24873</v>
      </c>
      <c r="BP7" s="1">
        <v>29056</v>
      </c>
      <c r="BQ7" s="1">
        <v>32986</v>
      </c>
      <c r="BR7" s="1">
        <v>37323</v>
      </c>
      <c r="BS7" s="1">
        <v>43938</v>
      </c>
      <c r="BT7" s="1">
        <v>50871</v>
      </c>
      <c r="BU7" s="1">
        <v>57695</v>
      </c>
      <c r="BV7" s="1">
        <v>62095</v>
      </c>
      <c r="BW7" s="1">
        <v>66885</v>
      </c>
    </row>
    <row r="8" spans="1:75" x14ac:dyDescent="0.25">
      <c r="A8" t="s">
        <v>179</v>
      </c>
      <c r="B8" s="1">
        <v>1380004385</v>
      </c>
      <c r="C8">
        <v>2973190</v>
      </c>
      <c r="D8">
        <v>1251</v>
      </c>
      <c r="E8" s="2">
        <v>9.0651885900000007E-2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1</v>
      </c>
      <c r="P8" s="1">
        <v>1</v>
      </c>
      <c r="Q8" s="1">
        <v>1</v>
      </c>
      <c r="R8" s="1">
        <v>2</v>
      </c>
      <c r="S8" s="1">
        <v>3</v>
      </c>
      <c r="T8" s="1">
        <v>3</v>
      </c>
      <c r="U8" s="1">
        <v>3</v>
      </c>
      <c r="V8" s="1">
        <v>3</v>
      </c>
      <c r="W8" s="1">
        <v>3</v>
      </c>
      <c r="X8" s="1">
        <v>3</v>
      </c>
      <c r="Y8" s="1">
        <v>3</v>
      </c>
      <c r="Z8" s="1">
        <v>3</v>
      </c>
      <c r="AA8" s="1">
        <v>3</v>
      </c>
      <c r="AB8" s="1">
        <v>3</v>
      </c>
      <c r="AC8" s="1">
        <v>3</v>
      </c>
      <c r="AD8" s="1">
        <v>3</v>
      </c>
      <c r="AE8" s="1">
        <v>3</v>
      </c>
      <c r="AF8" s="1">
        <v>3</v>
      </c>
      <c r="AG8" s="1">
        <v>3</v>
      </c>
      <c r="AH8" s="1">
        <v>3</v>
      </c>
      <c r="AI8" s="1">
        <v>3</v>
      </c>
      <c r="AJ8" s="1">
        <v>3</v>
      </c>
      <c r="AK8" s="1">
        <v>3</v>
      </c>
      <c r="AL8" s="1">
        <v>3</v>
      </c>
      <c r="AM8" s="1">
        <v>3</v>
      </c>
      <c r="AN8" s="1">
        <v>3</v>
      </c>
      <c r="AO8" s="1">
        <v>3</v>
      </c>
      <c r="AP8" s="1">
        <v>3</v>
      </c>
      <c r="AQ8" s="1">
        <v>3</v>
      </c>
      <c r="AR8" s="1">
        <v>3</v>
      </c>
      <c r="AS8" s="1">
        <v>3</v>
      </c>
      <c r="AT8" s="1">
        <v>3</v>
      </c>
      <c r="AU8" s="1">
        <v>5</v>
      </c>
      <c r="AV8" s="1">
        <v>5</v>
      </c>
      <c r="AW8" s="1">
        <v>28</v>
      </c>
      <c r="AX8" s="1">
        <v>30</v>
      </c>
      <c r="AY8" s="1">
        <v>31</v>
      </c>
      <c r="AZ8" s="1">
        <v>34</v>
      </c>
      <c r="BA8" s="1">
        <v>39</v>
      </c>
      <c r="BB8" s="1">
        <v>43</v>
      </c>
      <c r="BC8" s="1">
        <v>56</v>
      </c>
      <c r="BD8" s="1">
        <v>62</v>
      </c>
      <c r="BE8" s="1">
        <v>73</v>
      </c>
      <c r="BF8" s="1">
        <v>82</v>
      </c>
      <c r="BG8" s="1">
        <v>102</v>
      </c>
      <c r="BH8" s="1">
        <v>113</v>
      </c>
      <c r="BI8" s="1">
        <v>119</v>
      </c>
      <c r="BJ8" s="1">
        <v>142</v>
      </c>
      <c r="BK8" s="1">
        <v>156</v>
      </c>
      <c r="BL8" s="1">
        <v>194</v>
      </c>
      <c r="BM8" s="1">
        <v>244</v>
      </c>
      <c r="BN8" s="1">
        <v>330</v>
      </c>
      <c r="BO8" s="1">
        <v>396</v>
      </c>
      <c r="BP8" s="1">
        <v>499</v>
      </c>
      <c r="BQ8" s="1">
        <v>536</v>
      </c>
      <c r="BR8" s="1">
        <v>657</v>
      </c>
      <c r="BS8" s="1">
        <v>727</v>
      </c>
      <c r="BT8" s="1">
        <v>887</v>
      </c>
      <c r="BU8" s="1">
        <v>987</v>
      </c>
      <c r="BV8" s="1">
        <v>1024</v>
      </c>
      <c r="BW8" s="1">
        <v>1251</v>
      </c>
    </row>
    <row r="9" spans="1:75" x14ac:dyDescent="0.25">
      <c r="A9" t="s">
        <v>178</v>
      </c>
      <c r="B9" s="1">
        <v>60461826</v>
      </c>
      <c r="C9">
        <v>294140</v>
      </c>
      <c r="D9">
        <v>101739</v>
      </c>
      <c r="E9" s="2">
        <v>168.26981044199999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2</v>
      </c>
      <c r="Q9" s="1">
        <v>2</v>
      </c>
      <c r="R9" s="1">
        <v>2</v>
      </c>
      <c r="S9" s="1">
        <v>2</v>
      </c>
      <c r="T9" s="1">
        <v>2</v>
      </c>
      <c r="U9" s="1">
        <v>2</v>
      </c>
      <c r="V9" s="1">
        <v>2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3</v>
      </c>
      <c r="AE9" s="1">
        <v>3</v>
      </c>
      <c r="AF9" s="1">
        <v>3</v>
      </c>
      <c r="AG9" s="1">
        <v>3</v>
      </c>
      <c r="AH9" s="1">
        <v>3</v>
      </c>
      <c r="AI9" s="1">
        <v>3</v>
      </c>
      <c r="AJ9" s="1">
        <v>3</v>
      </c>
      <c r="AK9" s="1">
        <v>20</v>
      </c>
      <c r="AL9" s="1">
        <v>62</v>
      </c>
      <c r="AM9" s="1">
        <v>155</v>
      </c>
      <c r="AN9" s="1">
        <v>229</v>
      </c>
      <c r="AO9" s="1">
        <v>322</v>
      </c>
      <c r="AP9" s="1">
        <v>453</v>
      </c>
      <c r="AQ9" s="1">
        <v>655</v>
      </c>
      <c r="AR9" s="1">
        <v>888</v>
      </c>
      <c r="AS9" s="1">
        <v>1128</v>
      </c>
      <c r="AT9" s="1">
        <v>1694</v>
      </c>
      <c r="AU9" s="1">
        <v>2036</v>
      </c>
      <c r="AV9" s="1">
        <v>2502</v>
      </c>
      <c r="AW9" s="1">
        <v>3089</v>
      </c>
      <c r="AX9" s="1">
        <v>3858</v>
      </c>
      <c r="AY9" s="1">
        <v>4636</v>
      </c>
      <c r="AZ9" s="1">
        <v>5883</v>
      </c>
      <c r="BA9" s="1">
        <v>7375</v>
      </c>
      <c r="BB9" s="1">
        <v>9172</v>
      </c>
      <c r="BC9" s="1">
        <v>10149</v>
      </c>
      <c r="BD9" s="1">
        <v>12462</v>
      </c>
      <c r="BE9" s="1">
        <v>12462</v>
      </c>
      <c r="BF9" s="1">
        <v>17660</v>
      </c>
      <c r="BG9" s="1">
        <v>21157</v>
      </c>
      <c r="BH9" s="1">
        <v>24747</v>
      </c>
      <c r="BI9" s="1">
        <v>27980</v>
      </c>
      <c r="BJ9" s="1">
        <v>31506</v>
      </c>
      <c r="BK9" s="1">
        <v>35713</v>
      </c>
      <c r="BL9" s="1">
        <v>41035</v>
      </c>
      <c r="BM9" s="1">
        <v>47021</v>
      </c>
      <c r="BN9" s="1">
        <v>53578</v>
      </c>
      <c r="BO9" s="1">
        <v>59138</v>
      </c>
      <c r="BP9" s="1">
        <v>63927</v>
      </c>
      <c r="BQ9" s="1">
        <v>69176</v>
      </c>
      <c r="BR9" s="1">
        <v>74386</v>
      </c>
      <c r="BS9" s="1">
        <v>80589</v>
      </c>
      <c r="BT9" s="1">
        <v>86498</v>
      </c>
      <c r="BU9" s="1">
        <v>92472</v>
      </c>
      <c r="BV9" s="1">
        <v>97689</v>
      </c>
      <c r="BW9" s="1">
        <v>101739</v>
      </c>
    </row>
    <row r="10" spans="1:75" x14ac:dyDescent="0.25">
      <c r="A10" t="s">
        <v>177</v>
      </c>
      <c r="B10" s="1">
        <v>51269185</v>
      </c>
      <c r="C10">
        <v>97230</v>
      </c>
      <c r="D10">
        <v>9661</v>
      </c>
      <c r="E10" s="2">
        <v>18.8436777374</v>
      </c>
      <c r="G10" s="1">
        <v>1</v>
      </c>
      <c r="H10" s="1">
        <v>1</v>
      </c>
      <c r="I10" s="1">
        <v>2</v>
      </c>
      <c r="J10" s="1">
        <v>2</v>
      </c>
      <c r="K10" s="1">
        <v>3</v>
      </c>
      <c r="L10" s="1">
        <v>4</v>
      </c>
      <c r="M10" s="1">
        <v>4</v>
      </c>
      <c r="N10" s="1">
        <v>4</v>
      </c>
      <c r="O10" s="1">
        <v>4</v>
      </c>
      <c r="P10" s="1">
        <v>11</v>
      </c>
      <c r="Q10" s="1">
        <v>12</v>
      </c>
      <c r="R10" s="1">
        <v>15</v>
      </c>
      <c r="S10" s="1">
        <v>15</v>
      </c>
      <c r="T10" s="1">
        <v>16</v>
      </c>
      <c r="U10" s="1">
        <v>19</v>
      </c>
      <c r="V10" s="1">
        <v>23</v>
      </c>
      <c r="W10" s="1">
        <v>24</v>
      </c>
      <c r="X10" s="1">
        <v>24</v>
      </c>
      <c r="Y10" s="1">
        <v>25</v>
      </c>
      <c r="Z10" s="1">
        <v>27</v>
      </c>
      <c r="AA10" s="1">
        <v>28</v>
      </c>
      <c r="AB10" s="1">
        <v>28</v>
      </c>
      <c r="AC10" s="1">
        <v>28</v>
      </c>
      <c r="AD10" s="1">
        <v>28</v>
      </c>
      <c r="AE10" s="1">
        <v>28</v>
      </c>
      <c r="AF10" s="1">
        <v>29</v>
      </c>
      <c r="AG10" s="1">
        <v>30</v>
      </c>
      <c r="AH10" s="1">
        <v>31</v>
      </c>
      <c r="AI10" s="1">
        <v>31</v>
      </c>
      <c r="AJ10" s="1">
        <v>104</v>
      </c>
      <c r="AK10" s="1">
        <v>204</v>
      </c>
      <c r="AL10" s="1">
        <v>433</v>
      </c>
      <c r="AM10" s="1">
        <v>602</v>
      </c>
      <c r="AN10" s="1">
        <v>833</v>
      </c>
      <c r="AO10" s="1">
        <v>977</v>
      </c>
      <c r="AP10" s="1">
        <v>1261</v>
      </c>
      <c r="AQ10" s="1">
        <v>1766</v>
      </c>
      <c r="AR10" s="1">
        <v>2337</v>
      </c>
      <c r="AS10" s="1">
        <v>3150</v>
      </c>
      <c r="AT10" s="1">
        <v>3736</v>
      </c>
      <c r="AU10" s="1">
        <v>4335</v>
      </c>
      <c r="AV10" s="1">
        <v>5186</v>
      </c>
      <c r="AW10" s="1">
        <v>5621</v>
      </c>
      <c r="AX10" s="1">
        <v>6088</v>
      </c>
      <c r="AY10" s="1">
        <v>6593</v>
      </c>
      <c r="AZ10" s="1">
        <v>7041</v>
      </c>
      <c r="BA10" s="1">
        <v>7314</v>
      </c>
      <c r="BB10" s="1">
        <v>7478</v>
      </c>
      <c r="BC10" s="1">
        <v>7513</v>
      </c>
      <c r="BD10" s="1">
        <v>7755</v>
      </c>
      <c r="BE10" s="1">
        <v>7869</v>
      </c>
      <c r="BF10" s="1">
        <v>7979</v>
      </c>
      <c r="BG10" s="1">
        <v>8086</v>
      </c>
      <c r="BH10" s="1">
        <v>8162</v>
      </c>
      <c r="BI10" s="1">
        <v>8236</v>
      </c>
      <c r="BJ10" s="1">
        <v>8320</v>
      </c>
      <c r="BK10" s="1">
        <v>8413</v>
      </c>
      <c r="BL10" s="1">
        <v>8565</v>
      </c>
      <c r="BM10" s="1">
        <v>8652</v>
      </c>
      <c r="BN10" s="1">
        <v>8799</v>
      </c>
      <c r="BO10" s="1">
        <v>8961</v>
      </c>
      <c r="BP10" s="1">
        <v>8961</v>
      </c>
      <c r="BQ10" s="1">
        <v>9037</v>
      </c>
      <c r="BR10" s="1">
        <v>9137</v>
      </c>
      <c r="BS10" s="1">
        <v>9241</v>
      </c>
      <c r="BT10" s="1">
        <v>9332</v>
      </c>
      <c r="BU10" s="1">
        <v>9478</v>
      </c>
      <c r="BV10" s="1">
        <v>9583</v>
      </c>
      <c r="BW10" s="1">
        <v>9661</v>
      </c>
    </row>
    <row r="11" spans="1:75" x14ac:dyDescent="0.25">
      <c r="A11" t="s">
        <v>176</v>
      </c>
      <c r="B11" s="1">
        <v>145934462</v>
      </c>
      <c r="C11">
        <v>16376870</v>
      </c>
      <c r="D11">
        <v>1836</v>
      </c>
      <c r="E11" s="2">
        <v>1.2580989951999999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</v>
      </c>
      <c r="Q11" s="1">
        <v>2</v>
      </c>
      <c r="R11" s="1">
        <v>2</v>
      </c>
      <c r="S11" s="1">
        <v>2</v>
      </c>
      <c r="T11" s="1">
        <v>2</v>
      </c>
      <c r="U11" s="1">
        <v>2</v>
      </c>
      <c r="V11" s="1">
        <v>2</v>
      </c>
      <c r="W11" s="1">
        <v>2</v>
      </c>
      <c r="X11" s="1">
        <v>2</v>
      </c>
      <c r="Y11" s="1">
        <v>2</v>
      </c>
      <c r="Z11" s="1">
        <v>2</v>
      </c>
      <c r="AA11" s="1">
        <v>2</v>
      </c>
      <c r="AB11" s="1">
        <v>2</v>
      </c>
      <c r="AC11" s="1">
        <v>2</v>
      </c>
      <c r="AD11" s="1">
        <v>2</v>
      </c>
      <c r="AE11" s="1">
        <v>2</v>
      </c>
      <c r="AF11" s="1">
        <v>2</v>
      </c>
      <c r="AG11" s="1">
        <v>2</v>
      </c>
      <c r="AH11" s="1">
        <v>2</v>
      </c>
      <c r="AI11" s="1">
        <v>2</v>
      </c>
      <c r="AJ11" s="1">
        <v>2</v>
      </c>
      <c r="AK11" s="1">
        <v>2</v>
      </c>
      <c r="AL11" s="1">
        <v>2</v>
      </c>
      <c r="AM11" s="1">
        <v>2</v>
      </c>
      <c r="AN11" s="1">
        <v>2</v>
      </c>
      <c r="AO11" s="1">
        <v>2</v>
      </c>
      <c r="AP11" s="1">
        <v>2</v>
      </c>
      <c r="AQ11" s="1">
        <v>2</v>
      </c>
      <c r="AR11" s="1">
        <v>2</v>
      </c>
      <c r="AS11" s="1">
        <v>2</v>
      </c>
      <c r="AT11" s="1">
        <v>2</v>
      </c>
      <c r="AU11" s="1">
        <v>3</v>
      </c>
      <c r="AV11" s="1">
        <v>3</v>
      </c>
      <c r="AW11" s="1">
        <v>3</v>
      </c>
      <c r="AX11" s="1">
        <v>4</v>
      </c>
      <c r="AY11" s="1">
        <v>13</v>
      </c>
      <c r="AZ11" s="1">
        <v>13</v>
      </c>
      <c r="BA11" s="1">
        <v>17</v>
      </c>
      <c r="BB11" s="1">
        <v>17</v>
      </c>
      <c r="BC11" s="1">
        <v>20</v>
      </c>
      <c r="BD11" s="1">
        <v>20</v>
      </c>
      <c r="BE11" s="1">
        <v>28</v>
      </c>
      <c r="BF11" s="1">
        <v>45</v>
      </c>
      <c r="BG11" s="1">
        <v>59</v>
      </c>
      <c r="BH11" s="1">
        <v>63</v>
      </c>
      <c r="BI11" s="1">
        <v>90</v>
      </c>
      <c r="BJ11" s="1">
        <v>114</v>
      </c>
      <c r="BK11" s="1">
        <v>147</v>
      </c>
      <c r="BL11" s="1">
        <v>199</v>
      </c>
      <c r="BM11" s="1">
        <v>253</v>
      </c>
      <c r="BN11" s="1">
        <v>306</v>
      </c>
      <c r="BO11" s="1">
        <v>367</v>
      </c>
      <c r="BP11" s="1">
        <v>438</v>
      </c>
      <c r="BQ11" s="1">
        <v>495</v>
      </c>
      <c r="BR11" s="1">
        <v>658</v>
      </c>
      <c r="BS11" s="1">
        <v>840</v>
      </c>
      <c r="BT11" s="1">
        <v>1036</v>
      </c>
      <c r="BU11" s="1">
        <v>1264</v>
      </c>
      <c r="BV11" s="1">
        <v>1534</v>
      </c>
      <c r="BW11" s="1">
        <v>1836</v>
      </c>
    </row>
    <row r="12" spans="1:75" x14ac:dyDescent="0.25">
      <c r="A12" t="s">
        <v>175</v>
      </c>
      <c r="B12" s="1">
        <v>46754778</v>
      </c>
      <c r="C12">
        <v>498800</v>
      </c>
      <c r="D12">
        <v>87956</v>
      </c>
      <c r="E12" s="2">
        <v>188.12194980370001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2</v>
      </c>
      <c r="Z12" s="1">
        <v>2</v>
      </c>
      <c r="AA12" s="1">
        <v>2</v>
      </c>
      <c r="AB12" s="1">
        <v>2</v>
      </c>
      <c r="AC12" s="1">
        <v>2</v>
      </c>
      <c r="AD12" s="1">
        <v>2</v>
      </c>
      <c r="AE12" s="1">
        <v>2</v>
      </c>
      <c r="AF12" s="1">
        <v>2</v>
      </c>
      <c r="AG12" s="1">
        <v>2</v>
      </c>
      <c r="AH12" s="1">
        <v>2</v>
      </c>
      <c r="AI12" s="1">
        <v>2</v>
      </c>
      <c r="AJ12" s="1">
        <v>2</v>
      </c>
      <c r="AK12" s="1">
        <v>2</v>
      </c>
      <c r="AL12" s="1">
        <v>2</v>
      </c>
      <c r="AM12" s="1">
        <v>2</v>
      </c>
      <c r="AN12" s="1">
        <v>2</v>
      </c>
      <c r="AO12" s="1">
        <v>6</v>
      </c>
      <c r="AP12" s="1">
        <v>13</v>
      </c>
      <c r="AQ12" s="1">
        <v>15</v>
      </c>
      <c r="AR12" s="1">
        <v>32</v>
      </c>
      <c r="AS12" s="1">
        <v>45</v>
      </c>
      <c r="AT12" s="1">
        <v>84</v>
      </c>
      <c r="AU12" s="1">
        <v>120</v>
      </c>
      <c r="AV12" s="1">
        <v>165</v>
      </c>
      <c r="AW12" s="1">
        <v>222</v>
      </c>
      <c r="AX12" s="1">
        <v>259</v>
      </c>
      <c r="AY12" s="1">
        <v>400</v>
      </c>
      <c r="AZ12" s="1">
        <v>500</v>
      </c>
      <c r="BA12" s="1">
        <v>673</v>
      </c>
      <c r="BB12" s="1">
        <v>1073</v>
      </c>
      <c r="BC12" s="1">
        <v>1695</v>
      </c>
      <c r="BD12" s="1">
        <v>2277</v>
      </c>
      <c r="BE12" s="1">
        <v>2277</v>
      </c>
      <c r="BF12" s="1">
        <v>5232</v>
      </c>
      <c r="BG12" s="1">
        <v>6391</v>
      </c>
      <c r="BH12" s="1">
        <v>7798</v>
      </c>
      <c r="BI12" s="1">
        <v>9942</v>
      </c>
      <c r="BJ12" s="1">
        <v>11748</v>
      </c>
      <c r="BK12" s="1">
        <v>13910</v>
      </c>
      <c r="BL12" s="1">
        <v>17963</v>
      </c>
      <c r="BM12" s="1">
        <v>20410</v>
      </c>
      <c r="BN12" s="1">
        <v>25374</v>
      </c>
      <c r="BO12" s="1">
        <v>28768</v>
      </c>
      <c r="BP12" s="1">
        <v>35136</v>
      </c>
      <c r="BQ12" s="1">
        <v>39885</v>
      </c>
      <c r="BR12" s="1">
        <v>49515</v>
      </c>
      <c r="BS12" s="1">
        <v>57786</v>
      </c>
      <c r="BT12" s="1">
        <v>65719</v>
      </c>
      <c r="BU12" s="1">
        <v>73235</v>
      </c>
      <c r="BV12" s="1">
        <v>80110</v>
      </c>
      <c r="BW12" s="1">
        <v>87956</v>
      </c>
    </row>
    <row r="13" spans="1:75" x14ac:dyDescent="0.25">
      <c r="A13" t="s">
        <v>174</v>
      </c>
      <c r="B13" s="1">
        <v>10099265</v>
      </c>
      <c r="C13">
        <v>410340</v>
      </c>
      <c r="D13">
        <v>4028</v>
      </c>
      <c r="E13" s="2">
        <v>39.8840905749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2</v>
      </c>
      <c r="AQ13" s="1">
        <v>7</v>
      </c>
      <c r="AR13" s="1">
        <v>7</v>
      </c>
      <c r="AS13" s="1">
        <v>12</v>
      </c>
      <c r="AT13" s="1">
        <v>14</v>
      </c>
      <c r="AU13" s="1">
        <v>15</v>
      </c>
      <c r="AV13" s="1">
        <v>21</v>
      </c>
      <c r="AW13" s="1">
        <v>35</v>
      </c>
      <c r="AX13" s="1">
        <v>94</v>
      </c>
      <c r="AY13" s="1">
        <v>101</v>
      </c>
      <c r="AZ13" s="1">
        <v>161</v>
      </c>
      <c r="BA13" s="1">
        <v>203</v>
      </c>
      <c r="BB13" s="1">
        <v>248</v>
      </c>
      <c r="BC13" s="1">
        <v>355</v>
      </c>
      <c r="BD13" s="1">
        <v>500</v>
      </c>
      <c r="BE13" s="1">
        <v>599</v>
      </c>
      <c r="BF13" s="1">
        <v>814</v>
      </c>
      <c r="BG13" s="1">
        <v>961</v>
      </c>
      <c r="BH13" s="1">
        <v>1022</v>
      </c>
      <c r="BI13" s="1">
        <v>1103</v>
      </c>
      <c r="BJ13" s="1">
        <v>1190</v>
      </c>
      <c r="BK13" s="1">
        <v>1279</v>
      </c>
      <c r="BL13" s="1">
        <v>1439</v>
      </c>
      <c r="BM13" s="1">
        <v>1639</v>
      </c>
      <c r="BN13" s="1">
        <v>1763</v>
      </c>
      <c r="BO13" s="1">
        <v>1934</v>
      </c>
      <c r="BP13" s="1">
        <v>2046</v>
      </c>
      <c r="BQ13" s="1">
        <v>2286</v>
      </c>
      <c r="BR13" s="1">
        <v>2526</v>
      </c>
      <c r="BS13" s="1">
        <v>2840</v>
      </c>
      <c r="BT13" s="1">
        <v>3069</v>
      </c>
      <c r="BU13" s="1">
        <v>3447</v>
      </c>
      <c r="BV13" s="1">
        <v>3700</v>
      </c>
      <c r="BW13" s="1">
        <v>4028</v>
      </c>
    </row>
    <row r="14" spans="1:75" x14ac:dyDescent="0.25">
      <c r="A14" t="s">
        <v>0</v>
      </c>
      <c r="B14" s="1">
        <v>8654622</v>
      </c>
      <c r="C14">
        <v>39516</v>
      </c>
      <c r="D14">
        <v>15922</v>
      </c>
      <c r="E14" s="2">
        <v>183.97106193659999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1</v>
      </c>
      <c r="AP14" s="1">
        <v>1</v>
      </c>
      <c r="AQ14" s="1">
        <v>8</v>
      </c>
      <c r="AR14" s="1">
        <v>8</v>
      </c>
      <c r="AS14" s="1">
        <v>18</v>
      </c>
      <c r="AT14" s="1">
        <v>27</v>
      </c>
      <c r="AU14" s="1">
        <v>42</v>
      </c>
      <c r="AV14" s="1">
        <v>56</v>
      </c>
      <c r="AW14" s="1">
        <v>90</v>
      </c>
      <c r="AX14" s="1">
        <v>114</v>
      </c>
      <c r="AY14" s="1">
        <v>214</v>
      </c>
      <c r="AZ14" s="1">
        <v>268</v>
      </c>
      <c r="BA14" s="1">
        <v>337</v>
      </c>
      <c r="BB14" s="1">
        <v>374</v>
      </c>
      <c r="BC14" s="1">
        <v>491</v>
      </c>
      <c r="BD14" s="1">
        <v>652</v>
      </c>
      <c r="BE14" s="1">
        <v>652</v>
      </c>
      <c r="BF14" s="1">
        <v>1139</v>
      </c>
      <c r="BG14" s="1">
        <v>1359</v>
      </c>
      <c r="BH14" s="1">
        <v>2200</v>
      </c>
      <c r="BI14" s="1">
        <v>2200</v>
      </c>
      <c r="BJ14" s="1">
        <v>2700</v>
      </c>
      <c r="BK14" s="1">
        <v>3028</v>
      </c>
      <c r="BL14" s="1">
        <v>4075</v>
      </c>
      <c r="BM14" s="1">
        <v>5294</v>
      </c>
      <c r="BN14" s="1">
        <v>6575</v>
      </c>
      <c r="BO14" s="1">
        <v>7474</v>
      </c>
      <c r="BP14" s="1">
        <v>8795</v>
      </c>
      <c r="BQ14" s="1">
        <v>9877</v>
      </c>
      <c r="BR14" s="1">
        <v>10897</v>
      </c>
      <c r="BS14" s="1">
        <v>11811</v>
      </c>
      <c r="BT14" s="1">
        <v>12928</v>
      </c>
      <c r="BU14" s="1">
        <v>14076</v>
      </c>
      <c r="BV14" s="1">
        <v>14829</v>
      </c>
      <c r="BW14" s="1">
        <v>15922</v>
      </c>
    </row>
    <row r="15" spans="1:75" x14ac:dyDescent="0.25">
      <c r="A15" t="s">
        <v>173</v>
      </c>
      <c r="B15" s="1">
        <v>331002651</v>
      </c>
      <c r="C15">
        <v>9147420</v>
      </c>
      <c r="D15">
        <v>161807</v>
      </c>
      <c r="E15" s="2">
        <v>48.883898516000002</v>
      </c>
      <c r="G15" s="1">
        <v>1</v>
      </c>
      <c r="H15" s="1">
        <v>1</v>
      </c>
      <c r="I15" s="1">
        <v>2</v>
      </c>
      <c r="J15" s="1">
        <v>2</v>
      </c>
      <c r="K15" s="1">
        <v>5</v>
      </c>
      <c r="L15" s="1">
        <v>5</v>
      </c>
      <c r="M15" s="1">
        <v>5</v>
      </c>
      <c r="N15" s="1">
        <v>5</v>
      </c>
      <c r="O15" s="1">
        <v>5</v>
      </c>
      <c r="P15" s="1">
        <v>7</v>
      </c>
      <c r="Q15" s="1">
        <v>8</v>
      </c>
      <c r="R15" s="1">
        <v>8</v>
      </c>
      <c r="S15" s="1">
        <v>11</v>
      </c>
      <c r="T15" s="1">
        <v>11</v>
      </c>
      <c r="U15" s="1">
        <v>11</v>
      </c>
      <c r="V15" s="1">
        <v>11</v>
      </c>
      <c r="W15" s="1">
        <v>11</v>
      </c>
      <c r="X15" s="1">
        <v>11</v>
      </c>
      <c r="Y15" s="1">
        <v>11</v>
      </c>
      <c r="Z15" s="1">
        <v>11</v>
      </c>
      <c r="AA15" s="1">
        <v>12</v>
      </c>
      <c r="AB15" s="1">
        <v>12</v>
      </c>
      <c r="AC15" s="1">
        <v>13</v>
      </c>
      <c r="AD15" s="1">
        <v>13</v>
      </c>
      <c r="AE15" s="1">
        <v>13</v>
      </c>
      <c r="AF15" s="1">
        <v>13</v>
      </c>
      <c r="AG15" s="1">
        <v>13</v>
      </c>
      <c r="AH15" s="1">
        <v>13</v>
      </c>
      <c r="AI15" s="1">
        <v>13</v>
      </c>
      <c r="AJ15" s="1">
        <v>13</v>
      </c>
      <c r="AK15" s="1">
        <v>15</v>
      </c>
      <c r="AL15" s="1">
        <v>15</v>
      </c>
      <c r="AM15" s="1">
        <v>15</v>
      </c>
      <c r="AN15" s="1">
        <v>51</v>
      </c>
      <c r="AO15" s="1">
        <v>51</v>
      </c>
      <c r="AP15" s="1">
        <v>57</v>
      </c>
      <c r="AQ15" s="1">
        <v>58</v>
      </c>
      <c r="AR15" s="1">
        <v>60</v>
      </c>
      <c r="AS15" s="1">
        <v>68</v>
      </c>
      <c r="AT15" s="1">
        <v>74</v>
      </c>
      <c r="AU15" s="1">
        <v>98</v>
      </c>
      <c r="AV15" s="1">
        <v>118</v>
      </c>
      <c r="AW15" s="1">
        <v>149</v>
      </c>
      <c r="AX15" s="1">
        <v>217</v>
      </c>
      <c r="AY15" s="1">
        <v>262</v>
      </c>
      <c r="AZ15" s="1">
        <v>402</v>
      </c>
      <c r="BA15" s="1">
        <v>518</v>
      </c>
      <c r="BB15" s="1">
        <v>583</v>
      </c>
      <c r="BC15" s="1">
        <v>959</v>
      </c>
      <c r="BD15" s="1">
        <v>1281</v>
      </c>
      <c r="BE15" s="1">
        <v>1663</v>
      </c>
      <c r="BF15" s="1">
        <v>2179</v>
      </c>
      <c r="BG15" s="1">
        <v>2727</v>
      </c>
      <c r="BH15" s="1">
        <v>3499</v>
      </c>
      <c r="BI15" s="1">
        <v>4632</v>
      </c>
      <c r="BJ15" s="1">
        <v>6421</v>
      </c>
      <c r="BK15" s="1">
        <v>7783</v>
      </c>
      <c r="BL15" s="1">
        <v>13677</v>
      </c>
      <c r="BM15" s="1">
        <v>19100</v>
      </c>
      <c r="BN15" s="1">
        <v>25489</v>
      </c>
      <c r="BO15" s="1">
        <v>33276</v>
      </c>
      <c r="BP15" s="1">
        <v>43847</v>
      </c>
      <c r="BQ15" s="1">
        <v>53740</v>
      </c>
      <c r="BR15" s="1">
        <v>65778</v>
      </c>
      <c r="BS15" s="1">
        <v>83836</v>
      </c>
      <c r="BT15" s="1">
        <v>101657</v>
      </c>
      <c r="BU15" s="1">
        <v>121478</v>
      </c>
      <c r="BV15" s="1">
        <v>140886</v>
      </c>
      <c r="BW15" s="1">
        <v>161807</v>
      </c>
    </row>
    <row r="16" spans="1:75" x14ac:dyDescent="0.25">
      <c r="A16" t="s">
        <v>186</v>
      </c>
      <c r="B16" s="1">
        <v>67886011</v>
      </c>
      <c r="C16">
        <v>241930</v>
      </c>
      <c r="D16">
        <v>22141</v>
      </c>
      <c r="E16" s="2">
        <v>32.614966874399997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2</v>
      </c>
      <c r="Q16" s="1">
        <v>2</v>
      </c>
      <c r="R16" s="1">
        <v>2</v>
      </c>
      <c r="S16" s="1">
        <v>2</v>
      </c>
      <c r="T16" s="1">
        <v>2</v>
      </c>
      <c r="U16" s="1">
        <v>2</v>
      </c>
      <c r="V16" s="1">
        <v>2</v>
      </c>
      <c r="W16" s="1">
        <v>3</v>
      </c>
      <c r="X16" s="1">
        <v>3</v>
      </c>
      <c r="Y16" s="1">
        <v>3</v>
      </c>
      <c r="Z16" s="1">
        <v>8</v>
      </c>
      <c r="AA16" s="1">
        <v>8</v>
      </c>
      <c r="AB16" s="1">
        <v>9</v>
      </c>
      <c r="AC16" s="1">
        <v>9</v>
      </c>
      <c r="AD16" s="1">
        <v>9</v>
      </c>
      <c r="AE16" s="1">
        <v>9</v>
      </c>
      <c r="AF16" s="1">
        <v>9</v>
      </c>
      <c r="AG16" s="1">
        <v>9</v>
      </c>
      <c r="AH16" s="1">
        <v>9</v>
      </c>
      <c r="AI16" s="1">
        <v>9</v>
      </c>
      <c r="AJ16" s="1">
        <v>9</v>
      </c>
      <c r="AK16" s="1">
        <v>9</v>
      </c>
      <c r="AL16" s="1">
        <v>9</v>
      </c>
      <c r="AM16" s="1">
        <v>9</v>
      </c>
      <c r="AN16" s="1">
        <v>13</v>
      </c>
      <c r="AO16" s="1">
        <v>13</v>
      </c>
      <c r="AP16" s="1">
        <v>13</v>
      </c>
      <c r="AQ16" s="1">
        <v>15</v>
      </c>
      <c r="AR16" s="1">
        <v>20</v>
      </c>
      <c r="AS16" s="1">
        <v>23</v>
      </c>
      <c r="AT16" s="1">
        <v>36</v>
      </c>
      <c r="AU16" s="1">
        <v>40</v>
      </c>
      <c r="AV16" s="1">
        <v>51</v>
      </c>
      <c r="AW16" s="1">
        <v>85</v>
      </c>
      <c r="AX16" s="1">
        <v>115</v>
      </c>
      <c r="AY16" s="1">
        <v>163</v>
      </c>
      <c r="AZ16" s="1">
        <v>206</v>
      </c>
      <c r="BA16" s="1">
        <v>273</v>
      </c>
      <c r="BB16" s="1">
        <v>321</v>
      </c>
      <c r="BC16" s="1">
        <v>382</v>
      </c>
      <c r="BD16" s="1">
        <v>456</v>
      </c>
      <c r="BE16" s="1">
        <v>456</v>
      </c>
      <c r="BF16" s="1">
        <v>798</v>
      </c>
      <c r="BG16" s="1">
        <v>1140</v>
      </c>
      <c r="BH16" s="1">
        <v>1140</v>
      </c>
      <c r="BI16" s="1">
        <v>1543</v>
      </c>
      <c r="BJ16" s="1">
        <v>1950</v>
      </c>
      <c r="BK16" s="1">
        <v>2626</v>
      </c>
      <c r="BL16" s="1">
        <v>2689</v>
      </c>
      <c r="BM16" s="1">
        <v>3983</v>
      </c>
      <c r="BN16" s="1">
        <v>5018</v>
      </c>
      <c r="BO16" s="1">
        <v>5683</v>
      </c>
      <c r="BP16" s="1">
        <v>6650</v>
      </c>
      <c r="BQ16" s="1">
        <v>8077</v>
      </c>
      <c r="BR16" s="1">
        <v>9529</v>
      </c>
      <c r="BS16" s="1">
        <v>11658</v>
      </c>
      <c r="BT16" s="1">
        <v>14543</v>
      </c>
      <c r="BU16" s="1">
        <v>17089</v>
      </c>
      <c r="BV16" s="1">
        <v>19522</v>
      </c>
      <c r="BW16" s="1">
        <v>22141</v>
      </c>
    </row>
  </sheetData>
  <autoFilter ref="A1:BW16" xr:uid="{09873AF8-D7E1-4A29-A0E3-73AAD79A982C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9EB7-DDE8-4BAF-B47C-C18069C6EFB8}">
  <dimension ref="A1:BW16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75" width="11.42578125" style="1"/>
  </cols>
  <sheetData>
    <row r="1" spans="1:75" x14ac:dyDescent="0.25">
      <c r="A1" t="s">
        <v>66</v>
      </c>
      <c r="B1" s="1" t="s">
        <v>65</v>
      </c>
      <c r="C1" t="s">
        <v>63</v>
      </c>
      <c r="D1" s="2" t="s">
        <v>62</v>
      </c>
      <c r="E1" s="3" t="s">
        <v>130</v>
      </c>
      <c r="F1" t="s">
        <v>61</v>
      </c>
      <c r="G1" s="1" t="s">
        <v>129</v>
      </c>
      <c r="H1" s="1" t="s">
        <v>128</v>
      </c>
      <c r="I1" s="1" t="s">
        <v>127</v>
      </c>
      <c r="J1" s="1" t="s">
        <v>126</v>
      </c>
      <c r="K1" s="1" t="s">
        <v>125</v>
      </c>
      <c r="L1" s="1" t="s">
        <v>124</v>
      </c>
      <c r="M1" s="1" t="s">
        <v>123</v>
      </c>
      <c r="N1" s="1" t="s">
        <v>122</v>
      </c>
      <c r="O1" s="1" t="s">
        <v>121</v>
      </c>
      <c r="P1" s="1" t="s">
        <v>120</v>
      </c>
      <c r="Q1" s="1" t="s">
        <v>119</v>
      </c>
      <c r="R1" s="1" t="s">
        <v>118</v>
      </c>
      <c r="S1" s="1" t="s">
        <v>117</v>
      </c>
      <c r="T1" s="1" t="s">
        <v>116</v>
      </c>
      <c r="U1" s="1" t="s">
        <v>115</v>
      </c>
      <c r="V1" s="1" t="s">
        <v>114</v>
      </c>
      <c r="W1" s="1" t="s">
        <v>113</v>
      </c>
      <c r="X1" s="1" t="s">
        <v>112</v>
      </c>
      <c r="Y1" s="1" t="s">
        <v>111</v>
      </c>
      <c r="Z1" s="1" t="s">
        <v>110</v>
      </c>
      <c r="AA1" s="1" t="s">
        <v>109</v>
      </c>
      <c r="AB1" s="1" t="s">
        <v>108</v>
      </c>
      <c r="AC1" s="1" t="s">
        <v>107</v>
      </c>
      <c r="AD1" s="1" t="s">
        <v>106</v>
      </c>
      <c r="AE1" s="1" t="s">
        <v>105</v>
      </c>
      <c r="AF1" s="1" t="s">
        <v>104</v>
      </c>
      <c r="AG1" s="1" t="s">
        <v>103</v>
      </c>
      <c r="AH1" s="1" t="s">
        <v>102</v>
      </c>
      <c r="AI1" s="1" t="s">
        <v>101</v>
      </c>
      <c r="AJ1" s="1" t="s">
        <v>100</v>
      </c>
      <c r="AK1" s="1" t="s">
        <v>99</v>
      </c>
      <c r="AL1" s="1" t="s">
        <v>98</v>
      </c>
      <c r="AM1" s="1" t="s">
        <v>97</v>
      </c>
      <c r="AN1" s="1" t="s">
        <v>96</v>
      </c>
      <c r="AO1" s="1" t="s">
        <v>95</v>
      </c>
      <c r="AP1" s="1" t="s">
        <v>94</v>
      </c>
      <c r="AQ1" s="1" t="s">
        <v>93</v>
      </c>
      <c r="AR1" s="1" t="s">
        <v>92</v>
      </c>
      <c r="AS1" s="1" t="s">
        <v>91</v>
      </c>
      <c r="AT1" s="1" t="s">
        <v>90</v>
      </c>
      <c r="AU1" s="1" t="s">
        <v>89</v>
      </c>
      <c r="AV1" s="1" t="s">
        <v>88</v>
      </c>
      <c r="AW1" s="1" t="s">
        <v>87</v>
      </c>
      <c r="AX1" s="1" t="s">
        <v>86</v>
      </c>
      <c r="AY1" s="1" t="s">
        <v>85</v>
      </c>
      <c r="AZ1" s="1" t="s">
        <v>84</v>
      </c>
      <c r="BA1" s="1" t="s">
        <v>83</v>
      </c>
      <c r="BB1" s="1" t="s">
        <v>82</v>
      </c>
      <c r="BC1" s="1" t="s">
        <v>81</v>
      </c>
      <c r="BD1" s="1" t="s">
        <v>80</v>
      </c>
      <c r="BE1" s="1" t="s">
        <v>79</v>
      </c>
      <c r="BF1" s="1" t="s">
        <v>78</v>
      </c>
      <c r="BG1" s="1" t="s">
        <v>77</v>
      </c>
      <c r="BH1" s="1" t="s">
        <v>76</v>
      </c>
      <c r="BI1" s="1" t="s">
        <v>75</v>
      </c>
      <c r="BJ1" s="1" t="s">
        <v>74</v>
      </c>
      <c r="BK1" s="1" t="s">
        <v>73</v>
      </c>
      <c r="BL1" s="1" t="s">
        <v>72</v>
      </c>
      <c r="BM1" s="1" t="s">
        <v>71</v>
      </c>
      <c r="BN1" s="1" t="s">
        <v>70</v>
      </c>
      <c r="BO1" s="1" t="s">
        <v>145</v>
      </c>
      <c r="BP1" s="1" t="s">
        <v>159</v>
      </c>
      <c r="BQ1" s="1" t="s">
        <v>161</v>
      </c>
      <c r="BR1" s="1" t="s">
        <v>163</v>
      </c>
      <c r="BS1" s="1" t="s">
        <v>188</v>
      </c>
      <c r="BT1" s="1" t="s">
        <v>192</v>
      </c>
      <c r="BU1" s="1" t="s">
        <v>191</v>
      </c>
      <c r="BV1" s="1" t="s">
        <v>194</v>
      </c>
      <c r="BW1" s="1" t="s">
        <v>196</v>
      </c>
    </row>
    <row r="2" spans="1:75" x14ac:dyDescent="0.25">
      <c r="A2" t="s">
        <v>185</v>
      </c>
      <c r="B2" s="1">
        <v>9006398</v>
      </c>
      <c r="C2">
        <v>9618</v>
      </c>
      <c r="D2" s="2">
        <v>106.7907503088</v>
      </c>
      <c r="E2" s="3">
        <v>0.2400715772</v>
      </c>
      <c r="G2" s="1">
        <v>55</v>
      </c>
      <c r="H2" s="1">
        <v>79</v>
      </c>
      <c r="I2" s="1">
        <v>104</v>
      </c>
      <c r="J2" s="1">
        <v>131</v>
      </c>
      <c r="K2" s="1">
        <v>182</v>
      </c>
      <c r="L2" s="1">
        <v>246</v>
      </c>
      <c r="M2" s="1">
        <v>302</v>
      </c>
      <c r="N2" s="1">
        <v>504</v>
      </c>
      <c r="O2" s="1">
        <v>655</v>
      </c>
      <c r="P2" s="1">
        <v>860</v>
      </c>
      <c r="Q2" s="1">
        <v>1018</v>
      </c>
      <c r="R2" s="1">
        <v>1332</v>
      </c>
      <c r="S2" s="1">
        <v>1646</v>
      </c>
      <c r="T2" s="1">
        <v>2013</v>
      </c>
      <c r="U2" s="1">
        <v>2388</v>
      </c>
      <c r="V2" s="1">
        <v>2814</v>
      </c>
      <c r="W2" s="1">
        <v>3582</v>
      </c>
      <c r="X2" s="1">
        <v>4474</v>
      </c>
      <c r="Y2" s="1">
        <v>5283</v>
      </c>
      <c r="Z2" s="1">
        <v>5588</v>
      </c>
      <c r="AA2" s="1">
        <v>6909</v>
      </c>
      <c r="AB2" s="1">
        <v>7657</v>
      </c>
      <c r="AC2" s="1">
        <v>8271</v>
      </c>
      <c r="AD2" s="1">
        <v>8788</v>
      </c>
      <c r="AE2" s="1">
        <v>9618</v>
      </c>
    </row>
    <row r="3" spans="1:75" x14ac:dyDescent="0.25">
      <c r="A3" t="s">
        <v>184</v>
      </c>
      <c r="B3" s="1">
        <v>11589623</v>
      </c>
      <c r="C3">
        <v>11899</v>
      </c>
      <c r="D3" s="2">
        <v>102.6694310937</v>
      </c>
      <c r="E3" s="3">
        <v>0.24469119810000001</v>
      </c>
      <c r="G3" s="1">
        <v>50</v>
      </c>
      <c r="H3" s="1">
        <v>109</v>
      </c>
      <c r="I3" s="1">
        <v>169</v>
      </c>
      <c r="J3" s="1">
        <v>200</v>
      </c>
      <c r="K3" s="1">
        <v>239</v>
      </c>
      <c r="L3" s="1">
        <v>267</v>
      </c>
      <c r="M3" s="1">
        <v>314</v>
      </c>
      <c r="N3" s="1">
        <v>314</v>
      </c>
      <c r="O3" s="1">
        <v>559</v>
      </c>
      <c r="P3" s="1">
        <v>689</v>
      </c>
      <c r="Q3" s="1">
        <v>886</v>
      </c>
      <c r="R3" s="1">
        <v>1058</v>
      </c>
      <c r="S3" s="1">
        <v>1243</v>
      </c>
      <c r="T3" s="1">
        <v>1486</v>
      </c>
      <c r="U3" s="1">
        <v>1795</v>
      </c>
      <c r="V3" s="1">
        <v>2257</v>
      </c>
      <c r="W3" s="1">
        <v>2815</v>
      </c>
      <c r="X3" s="1">
        <v>3401</v>
      </c>
      <c r="Y3" s="1">
        <v>3743</v>
      </c>
      <c r="Z3" s="1">
        <v>4269</v>
      </c>
      <c r="AA3" s="1">
        <v>4937</v>
      </c>
      <c r="AB3" s="1">
        <v>6235</v>
      </c>
      <c r="AC3" s="1">
        <v>7284</v>
      </c>
      <c r="AD3" s="1">
        <v>9134</v>
      </c>
      <c r="AE3" s="1">
        <v>10836</v>
      </c>
      <c r="AF3" s="1">
        <v>11899</v>
      </c>
    </row>
    <row r="4" spans="1:75" x14ac:dyDescent="0.25">
      <c r="A4" t="s">
        <v>183</v>
      </c>
      <c r="B4" s="1">
        <v>37742154</v>
      </c>
      <c r="C4">
        <v>7385</v>
      </c>
      <c r="D4" s="2">
        <v>19.566980729299999</v>
      </c>
      <c r="E4" s="3">
        <v>0.23841922230000001</v>
      </c>
      <c r="G4" s="1">
        <v>54</v>
      </c>
      <c r="H4" s="1">
        <v>64</v>
      </c>
      <c r="I4" s="1">
        <v>77</v>
      </c>
      <c r="J4" s="1">
        <v>79</v>
      </c>
      <c r="K4" s="1">
        <v>108</v>
      </c>
      <c r="L4" s="1">
        <v>117</v>
      </c>
      <c r="M4" s="1">
        <v>191</v>
      </c>
      <c r="N4" s="1">
        <v>196</v>
      </c>
      <c r="O4" s="1">
        <v>250</v>
      </c>
      <c r="P4" s="1">
        <v>413</v>
      </c>
      <c r="Q4" s="1">
        <v>470</v>
      </c>
      <c r="R4" s="1">
        <v>648</v>
      </c>
      <c r="S4" s="1">
        <v>791</v>
      </c>
      <c r="T4" s="1">
        <v>933</v>
      </c>
      <c r="U4" s="1">
        <v>1267</v>
      </c>
      <c r="V4" s="1">
        <v>1456</v>
      </c>
      <c r="W4" s="1">
        <v>2075</v>
      </c>
      <c r="X4" s="1">
        <v>2777</v>
      </c>
      <c r="Y4" s="1">
        <v>3238</v>
      </c>
      <c r="Z4" s="1">
        <v>4029</v>
      </c>
      <c r="AA4" s="1">
        <v>4669</v>
      </c>
      <c r="AB4" s="1">
        <v>5563</v>
      </c>
      <c r="AC4" s="1">
        <v>6267</v>
      </c>
      <c r="AD4" s="1">
        <v>7385</v>
      </c>
    </row>
    <row r="5" spans="1:75" x14ac:dyDescent="0.25">
      <c r="A5" t="s">
        <v>182</v>
      </c>
      <c r="B5" s="1">
        <v>1439323776</v>
      </c>
      <c r="C5">
        <v>82198</v>
      </c>
      <c r="D5" s="2">
        <v>5.7108762719000001</v>
      </c>
      <c r="E5" s="3">
        <v>7.6468154900000002E-2</v>
      </c>
      <c r="G5" s="1">
        <v>548</v>
      </c>
      <c r="H5" s="1">
        <v>643</v>
      </c>
      <c r="I5" s="1">
        <v>920</v>
      </c>
      <c r="J5" s="1">
        <v>1406</v>
      </c>
      <c r="K5" s="1">
        <v>2075</v>
      </c>
      <c r="L5" s="1">
        <v>2877</v>
      </c>
      <c r="M5" s="1">
        <v>5509</v>
      </c>
      <c r="N5" s="1">
        <v>6087</v>
      </c>
      <c r="O5" s="1">
        <v>8141</v>
      </c>
      <c r="P5" s="1">
        <v>9802</v>
      </c>
      <c r="Q5" s="1">
        <v>11891</v>
      </c>
      <c r="R5" s="1">
        <v>16630</v>
      </c>
      <c r="S5" s="1">
        <v>19716</v>
      </c>
      <c r="T5" s="1">
        <v>23707</v>
      </c>
      <c r="U5" s="1">
        <v>27440</v>
      </c>
      <c r="V5" s="1">
        <v>30587</v>
      </c>
      <c r="W5" s="1">
        <v>34110</v>
      </c>
      <c r="X5" s="1">
        <v>36814</v>
      </c>
      <c r="Y5" s="1">
        <v>39829</v>
      </c>
      <c r="Z5" s="1">
        <v>42354</v>
      </c>
      <c r="AA5" s="1">
        <v>44386</v>
      </c>
      <c r="AB5" s="1">
        <v>44759</v>
      </c>
      <c r="AC5" s="1">
        <v>59895</v>
      </c>
      <c r="AD5" s="1">
        <v>66358</v>
      </c>
      <c r="AE5" s="1">
        <v>68413</v>
      </c>
      <c r="AF5" s="1">
        <v>70513</v>
      </c>
      <c r="AG5" s="1">
        <v>72434</v>
      </c>
      <c r="AH5" s="1">
        <v>74211</v>
      </c>
      <c r="AI5" s="1">
        <v>74619</v>
      </c>
      <c r="AJ5" s="1">
        <v>75077</v>
      </c>
      <c r="AK5" s="1">
        <v>75550</v>
      </c>
      <c r="AL5" s="1">
        <v>77001</v>
      </c>
      <c r="AM5" s="1">
        <v>77022</v>
      </c>
      <c r="AN5" s="1">
        <v>77241</v>
      </c>
      <c r="AO5" s="1">
        <v>77754</v>
      </c>
      <c r="AP5" s="1">
        <v>78166</v>
      </c>
      <c r="AQ5" s="1">
        <v>78600</v>
      </c>
      <c r="AR5" s="1">
        <v>78928</v>
      </c>
      <c r="AS5" s="1">
        <v>79356</v>
      </c>
      <c r="AT5" s="1">
        <v>79932</v>
      </c>
      <c r="AU5" s="1">
        <v>80136</v>
      </c>
      <c r="AV5" s="1">
        <v>80261</v>
      </c>
      <c r="AW5" s="1">
        <v>80386</v>
      </c>
      <c r="AX5" s="1">
        <v>80537</v>
      </c>
      <c r="AY5" s="1">
        <v>80690</v>
      </c>
      <c r="AZ5" s="1">
        <v>80770</v>
      </c>
      <c r="BA5" s="1">
        <v>80823</v>
      </c>
      <c r="BB5" s="1">
        <v>80860</v>
      </c>
      <c r="BC5" s="1">
        <v>80887</v>
      </c>
      <c r="BD5" s="1">
        <v>80921</v>
      </c>
      <c r="BE5" s="1">
        <v>80932</v>
      </c>
      <c r="BF5" s="1">
        <v>80945</v>
      </c>
      <c r="BG5" s="1">
        <v>80977</v>
      </c>
      <c r="BH5" s="1">
        <v>81003</v>
      </c>
      <c r="BI5" s="1">
        <v>81033</v>
      </c>
      <c r="BJ5" s="1">
        <v>81058</v>
      </c>
      <c r="BK5" s="1">
        <v>81102</v>
      </c>
      <c r="BL5" s="1">
        <v>81156</v>
      </c>
      <c r="BM5" s="1">
        <v>81250</v>
      </c>
      <c r="BN5" s="1">
        <v>81305</v>
      </c>
      <c r="BO5" s="1">
        <v>81435</v>
      </c>
      <c r="BP5" s="1">
        <v>81498</v>
      </c>
      <c r="BQ5" s="1">
        <v>81591</v>
      </c>
      <c r="BR5" s="1">
        <v>81661</v>
      </c>
      <c r="BS5" s="1">
        <v>81782</v>
      </c>
      <c r="BT5" s="1">
        <v>81897</v>
      </c>
      <c r="BU5" s="1">
        <v>81999</v>
      </c>
      <c r="BV5" s="1">
        <v>82122</v>
      </c>
      <c r="BW5" s="1">
        <v>82198</v>
      </c>
    </row>
    <row r="6" spans="1:75" x14ac:dyDescent="0.25">
      <c r="A6" t="s">
        <v>181</v>
      </c>
      <c r="B6" s="1">
        <v>65273511</v>
      </c>
      <c r="C6">
        <v>44550</v>
      </c>
      <c r="D6" s="2">
        <v>68.251269645999997</v>
      </c>
      <c r="E6" s="3">
        <v>0.23971456869999999</v>
      </c>
      <c r="G6" s="1">
        <v>57</v>
      </c>
      <c r="H6" s="1">
        <v>100</v>
      </c>
      <c r="I6" s="1">
        <v>130</v>
      </c>
      <c r="J6" s="1">
        <v>191</v>
      </c>
      <c r="K6" s="1">
        <v>204</v>
      </c>
      <c r="L6" s="1">
        <v>285</v>
      </c>
      <c r="M6" s="1">
        <v>377</v>
      </c>
      <c r="N6" s="1">
        <v>653</v>
      </c>
      <c r="O6" s="1">
        <v>949</v>
      </c>
      <c r="P6" s="1">
        <v>1126</v>
      </c>
      <c r="Q6" s="1">
        <v>1209</v>
      </c>
      <c r="R6" s="1">
        <v>1784</v>
      </c>
      <c r="S6" s="1">
        <v>2281</v>
      </c>
      <c r="T6" s="1">
        <v>2281</v>
      </c>
      <c r="U6" s="1">
        <v>3661</v>
      </c>
      <c r="V6" s="1">
        <v>4469</v>
      </c>
      <c r="W6" s="1">
        <v>4499</v>
      </c>
      <c r="X6" s="1">
        <v>6633</v>
      </c>
      <c r="Y6" s="1">
        <v>7652</v>
      </c>
      <c r="Z6" s="1">
        <v>9043</v>
      </c>
      <c r="AA6" s="1">
        <v>10871</v>
      </c>
      <c r="AB6" s="1">
        <v>12612</v>
      </c>
      <c r="AC6" s="1">
        <v>14282</v>
      </c>
      <c r="AD6" s="1">
        <v>16018</v>
      </c>
      <c r="AE6" s="1">
        <v>19856</v>
      </c>
      <c r="AF6" s="1">
        <v>22304</v>
      </c>
      <c r="AG6" s="1">
        <v>25233</v>
      </c>
      <c r="AH6" s="1">
        <v>29155</v>
      </c>
      <c r="AI6" s="1">
        <v>32964</v>
      </c>
      <c r="AJ6" s="1">
        <v>37575</v>
      </c>
      <c r="AK6" s="1">
        <v>40174</v>
      </c>
      <c r="AL6" s="1">
        <v>44550</v>
      </c>
    </row>
    <row r="7" spans="1:75" x14ac:dyDescent="0.25">
      <c r="A7" t="s">
        <v>180</v>
      </c>
      <c r="B7" s="1">
        <v>83783942</v>
      </c>
      <c r="C7">
        <v>66885</v>
      </c>
      <c r="D7" s="2">
        <v>79.830333120399999</v>
      </c>
      <c r="E7" s="3">
        <v>0.2519588505</v>
      </c>
      <c r="G7" s="1">
        <v>79</v>
      </c>
      <c r="H7" s="1">
        <v>130</v>
      </c>
      <c r="I7" s="1">
        <v>159</v>
      </c>
      <c r="J7" s="1">
        <v>196</v>
      </c>
      <c r="K7" s="1">
        <v>262</v>
      </c>
      <c r="L7" s="1">
        <v>482</v>
      </c>
      <c r="M7" s="1">
        <v>670</v>
      </c>
      <c r="N7" s="1">
        <v>799</v>
      </c>
      <c r="O7" s="1">
        <v>1040</v>
      </c>
      <c r="P7" s="1">
        <v>1176</v>
      </c>
      <c r="Q7" s="1">
        <v>1457</v>
      </c>
      <c r="R7" s="1">
        <v>1908</v>
      </c>
      <c r="S7" s="1">
        <v>2078</v>
      </c>
      <c r="T7" s="1">
        <v>3675</v>
      </c>
      <c r="U7" s="1">
        <v>4585</v>
      </c>
      <c r="V7" s="1">
        <v>5795</v>
      </c>
      <c r="W7" s="1">
        <v>7272</v>
      </c>
      <c r="X7" s="1">
        <v>9257</v>
      </c>
      <c r="Y7" s="1">
        <v>12327</v>
      </c>
      <c r="Z7" s="1">
        <v>15320</v>
      </c>
      <c r="AA7" s="1">
        <v>19848</v>
      </c>
      <c r="AB7" s="1">
        <v>22213</v>
      </c>
      <c r="AC7" s="1">
        <v>24873</v>
      </c>
      <c r="AD7" s="1">
        <v>29056</v>
      </c>
      <c r="AE7" s="1">
        <v>32986</v>
      </c>
      <c r="AF7" s="1">
        <v>37323</v>
      </c>
      <c r="AG7" s="1">
        <v>43938</v>
      </c>
      <c r="AH7" s="1">
        <v>50871</v>
      </c>
      <c r="AI7" s="1">
        <v>57695</v>
      </c>
      <c r="AJ7" s="1">
        <v>62095</v>
      </c>
      <c r="AK7" s="1">
        <v>66885</v>
      </c>
    </row>
    <row r="8" spans="1:75" x14ac:dyDescent="0.25">
      <c r="A8" t="s">
        <v>179</v>
      </c>
      <c r="B8" s="1">
        <v>1380004385</v>
      </c>
      <c r="C8">
        <v>1251</v>
      </c>
      <c r="D8" s="2">
        <v>9.0651885900000007E-2</v>
      </c>
      <c r="E8" s="3">
        <v>0.16802856560000001</v>
      </c>
      <c r="G8" s="1">
        <v>56</v>
      </c>
      <c r="H8" s="1">
        <v>62</v>
      </c>
      <c r="I8" s="1">
        <v>73</v>
      </c>
      <c r="J8" s="1">
        <v>82</v>
      </c>
      <c r="K8" s="1">
        <v>102</v>
      </c>
      <c r="L8" s="1">
        <v>113</v>
      </c>
      <c r="M8" s="1">
        <v>119</v>
      </c>
      <c r="N8" s="1">
        <v>142</v>
      </c>
      <c r="O8" s="1">
        <v>156</v>
      </c>
      <c r="P8" s="1">
        <v>194</v>
      </c>
      <c r="Q8" s="1">
        <v>244</v>
      </c>
      <c r="R8" s="1">
        <v>330</v>
      </c>
      <c r="S8" s="1">
        <v>396</v>
      </c>
      <c r="T8" s="1">
        <v>499</v>
      </c>
      <c r="U8" s="1">
        <v>536</v>
      </c>
      <c r="V8" s="1">
        <v>657</v>
      </c>
      <c r="W8" s="1">
        <v>727</v>
      </c>
      <c r="X8" s="1">
        <v>887</v>
      </c>
      <c r="Y8" s="1">
        <v>987</v>
      </c>
      <c r="Z8" s="1">
        <v>1024</v>
      </c>
      <c r="AA8" s="1">
        <v>1251</v>
      </c>
    </row>
    <row r="9" spans="1:75" x14ac:dyDescent="0.25">
      <c r="A9" t="s">
        <v>178</v>
      </c>
      <c r="B9" s="1">
        <v>60461826</v>
      </c>
      <c r="C9">
        <v>101739</v>
      </c>
      <c r="D9" s="2">
        <v>168.26981044199999</v>
      </c>
      <c r="E9" s="3">
        <v>0.2215028382</v>
      </c>
      <c r="G9" s="1">
        <v>62</v>
      </c>
      <c r="H9" s="1">
        <v>155</v>
      </c>
      <c r="I9" s="1">
        <v>229</v>
      </c>
      <c r="J9" s="1">
        <v>322</v>
      </c>
      <c r="K9" s="1">
        <v>453</v>
      </c>
      <c r="L9" s="1">
        <v>655</v>
      </c>
      <c r="M9" s="1">
        <v>888</v>
      </c>
      <c r="N9" s="1">
        <v>1128</v>
      </c>
      <c r="O9" s="1">
        <v>1694</v>
      </c>
      <c r="P9" s="1">
        <v>2036</v>
      </c>
      <c r="Q9" s="1">
        <v>2502</v>
      </c>
      <c r="R9" s="1">
        <v>3089</v>
      </c>
      <c r="S9" s="1">
        <v>3858</v>
      </c>
      <c r="T9" s="1">
        <v>4636</v>
      </c>
      <c r="U9" s="1">
        <v>5883</v>
      </c>
      <c r="V9" s="1">
        <v>7375</v>
      </c>
      <c r="W9" s="1">
        <v>9172</v>
      </c>
      <c r="X9" s="1">
        <v>10149</v>
      </c>
      <c r="Y9" s="1">
        <v>12462</v>
      </c>
      <c r="Z9" s="1">
        <v>12462</v>
      </c>
      <c r="AA9" s="1">
        <v>17660</v>
      </c>
      <c r="AB9" s="1">
        <v>21157</v>
      </c>
      <c r="AC9" s="1">
        <v>24747</v>
      </c>
      <c r="AD9" s="1">
        <v>27980</v>
      </c>
      <c r="AE9" s="1">
        <v>31506</v>
      </c>
      <c r="AF9" s="1">
        <v>35713</v>
      </c>
      <c r="AG9" s="1">
        <v>41035</v>
      </c>
      <c r="AH9" s="1">
        <v>47021</v>
      </c>
      <c r="AI9" s="1">
        <v>53578</v>
      </c>
      <c r="AJ9" s="1">
        <v>59138</v>
      </c>
      <c r="AK9" s="1">
        <v>63927</v>
      </c>
      <c r="AL9" s="1">
        <v>69176</v>
      </c>
      <c r="AM9" s="1">
        <v>74386</v>
      </c>
      <c r="AN9" s="1">
        <v>80589</v>
      </c>
      <c r="AO9" s="1">
        <v>86498</v>
      </c>
      <c r="AP9" s="1">
        <v>92472</v>
      </c>
      <c r="AQ9" s="1">
        <v>97689</v>
      </c>
      <c r="AR9" s="1">
        <v>101739</v>
      </c>
    </row>
    <row r="10" spans="1:75" x14ac:dyDescent="0.25">
      <c r="A10" t="s">
        <v>177</v>
      </c>
      <c r="B10" s="1">
        <v>51269185</v>
      </c>
      <c r="C10">
        <v>9661</v>
      </c>
      <c r="D10" s="2">
        <v>18.8436777374</v>
      </c>
      <c r="E10" s="3">
        <v>0.1232107461</v>
      </c>
      <c r="G10" s="1">
        <v>104</v>
      </c>
      <c r="H10" s="1">
        <v>204</v>
      </c>
      <c r="I10" s="1">
        <v>433</v>
      </c>
      <c r="J10" s="1">
        <v>602</v>
      </c>
      <c r="K10" s="1">
        <v>833</v>
      </c>
      <c r="L10" s="1">
        <v>977</v>
      </c>
      <c r="M10" s="1">
        <v>1261</v>
      </c>
      <c r="N10" s="1">
        <v>1766</v>
      </c>
      <c r="O10" s="1">
        <v>2337</v>
      </c>
      <c r="P10" s="1">
        <v>3150</v>
      </c>
      <c r="Q10" s="1">
        <v>3736</v>
      </c>
      <c r="R10" s="1">
        <v>4335</v>
      </c>
      <c r="S10" s="1">
        <v>5186</v>
      </c>
      <c r="T10" s="1">
        <v>5621</v>
      </c>
      <c r="U10" s="1">
        <v>6088</v>
      </c>
      <c r="V10" s="1">
        <v>6593</v>
      </c>
      <c r="W10" s="1">
        <v>7041</v>
      </c>
      <c r="X10" s="1">
        <v>7314</v>
      </c>
      <c r="Y10" s="1">
        <v>7478</v>
      </c>
      <c r="Z10" s="1">
        <v>7513</v>
      </c>
      <c r="AA10" s="1">
        <v>7755</v>
      </c>
      <c r="AB10" s="1">
        <v>7869</v>
      </c>
      <c r="AC10" s="1">
        <v>7979</v>
      </c>
      <c r="AD10" s="1">
        <v>8086</v>
      </c>
      <c r="AE10" s="1">
        <v>8162</v>
      </c>
      <c r="AF10" s="1">
        <v>8236</v>
      </c>
      <c r="AG10" s="1">
        <v>8320</v>
      </c>
      <c r="AH10" s="1">
        <v>8413</v>
      </c>
      <c r="AI10" s="1">
        <v>8565</v>
      </c>
      <c r="AJ10" s="1">
        <v>8652</v>
      </c>
      <c r="AK10" s="1">
        <v>8799</v>
      </c>
      <c r="AL10" s="1">
        <v>8961</v>
      </c>
      <c r="AM10" s="1">
        <v>8961</v>
      </c>
      <c r="AN10" s="1">
        <v>9037</v>
      </c>
      <c r="AO10" s="1">
        <v>9137</v>
      </c>
      <c r="AP10" s="1">
        <v>9241</v>
      </c>
      <c r="AQ10" s="1">
        <v>9332</v>
      </c>
      <c r="AR10" s="1">
        <v>9478</v>
      </c>
      <c r="AS10" s="1">
        <v>9583</v>
      </c>
      <c r="AT10" s="1">
        <v>9661</v>
      </c>
    </row>
    <row r="11" spans="1:75" x14ac:dyDescent="0.25">
      <c r="A11" t="s">
        <v>176</v>
      </c>
      <c r="B11" s="1">
        <v>145934462</v>
      </c>
      <c r="C11">
        <v>1836</v>
      </c>
      <c r="D11" s="2">
        <v>1.2580989951999999</v>
      </c>
      <c r="E11" s="3">
        <v>0.23969197989999999</v>
      </c>
      <c r="G11" s="1">
        <v>59</v>
      </c>
      <c r="H11" s="1">
        <v>63</v>
      </c>
      <c r="I11" s="1">
        <v>90</v>
      </c>
      <c r="J11" s="1">
        <v>114</v>
      </c>
      <c r="K11" s="1">
        <v>147</v>
      </c>
      <c r="L11" s="1">
        <v>199</v>
      </c>
      <c r="M11" s="1">
        <v>253</v>
      </c>
      <c r="N11" s="1">
        <v>306</v>
      </c>
      <c r="O11" s="1">
        <v>367</v>
      </c>
      <c r="P11" s="1">
        <v>438</v>
      </c>
      <c r="Q11" s="1">
        <v>495</v>
      </c>
      <c r="R11" s="1">
        <v>658</v>
      </c>
      <c r="S11" s="1">
        <v>840</v>
      </c>
      <c r="T11" s="1">
        <v>1036</v>
      </c>
      <c r="U11" s="1">
        <v>1264</v>
      </c>
      <c r="V11" s="1">
        <v>1534</v>
      </c>
      <c r="W11" s="1">
        <v>1836</v>
      </c>
    </row>
    <row r="12" spans="1:75" x14ac:dyDescent="0.25">
      <c r="A12" t="s">
        <v>175</v>
      </c>
      <c r="B12" s="1">
        <v>46754778</v>
      </c>
      <c r="C12">
        <v>87956</v>
      </c>
      <c r="D12" s="2">
        <v>188.12194980370001</v>
      </c>
      <c r="E12" s="3">
        <v>0.27097630680000001</v>
      </c>
      <c r="G12" s="1">
        <v>84</v>
      </c>
      <c r="H12" s="1">
        <v>120</v>
      </c>
      <c r="I12" s="1">
        <v>165</v>
      </c>
      <c r="J12" s="1">
        <v>222</v>
      </c>
      <c r="K12" s="1">
        <v>259</v>
      </c>
      <c r="L12" s="1">
        <v>400</v>
      </c>
      <c r="M12" s="1">
        <v>500</v>
      </c>
      <c r="N12" s="1">
        <v>673</v>
      </c>
      <c r="O12" s="1">
        <v>1073</v>
      </c>
      <c r="P12" s="1">
        <v>1695</v>
      </c>
      <c r="Q12" s="1">
        <v>2277</v>
      </c>
      <c r="R12" s="1">
        <v>2277</v>
      </c>
      <c r="S12" s="1">
        <v>5232</v>
      </c>
      <c r="T12" s="1">
        <v>6391</v>
      </c>
      <c r="U12" s="1">
        <v>7798</v>
      </c>
      <c r="V12" s="1">
        <v>9942</v>
      </c>
      <c r="W12" s="1">
        <v>11748</v>
      </c>
      <c r="X12" s="1">
        <v>13910</v>
      </c>
      <c r="Y12" s="1">
        <v>17963</v>
      </c>
      <c r="Z12" s="1">
        <v>20410</v>
      </c>
      <c r="AA12" s="1">
        <v>25374</v>
      </c>
      <c r="AB12" s="1">
        <v>28768</v>
      </c>
      <c r="AC12" s="1">
        <v>35136</v>
      </c>
      <c r="AD12" s="1">
        <v>39885</v>
      </c>
      <c r="AE12" s="1">
        <v>49515</v>
      </c>
      <c r="AF12" s="1">
        <v>57786</v>
      </c>
      <c r="AG12" s="1">
        <v>65719</v>
      </c>
      <c r="AH12" s="1">
        <v>73235</v>
      </c>
      <c r="AI12" s="1">
        <v>80110</v>
      </c>
      <c r="AJ12" s="1">
        <v>87956</v>
      </c>
    </row>
    <row r="13" spans="1:75" x14ac:dyDescent="0.25">
      <c r="A13" t="s">
        <v>174</v>
      </c>
      <c r="B13" s="1">
        <v>10099265</v>
      </c>
      <c r="C13">
        <v>4028</v>
      </c>
      <c r="D13" s="2">
        <v>39.8840905749</v>
      </c>
      <c r="E13" s="3">
        <v>0.16219355930000001</v>
      </c>
      <c r="G13" s="1">
        <v>94</v>
      </c>
      <c r="H13" s="1">
        <v>101</v>
      </c>
      <c r="I13" s="1">
        <v>161</v>
      </c>
      <c r="J13" s="1">
        <v>203</v>
      </c>
      <c r="K13" s="1">
        <v>248</v>
      </c>
      <c r="L13" s="1">
        <v>355</v>
      </c>
      <c r="M13" s="1">
        <v>500</v>
      </c>
      <c r="N13" s="1">
        <v>599</v>
      </c>
      <c r="O13" s="1">
        <v>814</v>
      </c>
      <c r="P13" s="1">
        <v>961</v>
      </c>
      <c r="Q13" s="1">
        <v>1022</v>
      </c>
      <c r="R13" s="1">
        <v>1103</v>
      </c>
      <c r="S13" s="1">
        <v>1190</v>
      </c>
      <c r="T13" s="1">
        <v>1279</v>
      </c>
      <c r="U13" s="1">
        <v>1439</v>
      </c>
      <c r="V13" s="1">
        <v>1639</v>
      </c>
      <c r="W13" s="1">
        <v>1763</v>
      </c>
      <c r="X13" s="1">
        <v>1934</v>
      </c>
      <c r="Y13" s="1">
        <v>2046</v>
      </c>
      <c r="Z13" s="1">
        <v>2286</v>
      </c>
      <c r="AA13" s="1">
        <v>2526</v>
      </c>
      <c r="AB13" s="1">
        <v>2840</v>
      </c>
      <c r="AC13" s="1">
        <v>3069</v>
      </c>
      <c r="AD13" s="1">
        <v>3447</v>
      </c>
      <c r="AE13" s="1">
        <v>3700</v>
      </c>
      <c r="AF13" s="1">
        <v>4028</v>
      </c>
    </row>
    <row r="14" spans="1:75" x14ac:dyDescent="0.25">
      <c r="A14" t="s">
        <v>0</v>
      </c>
      <c r="B14" s="1">
        <v>8654622</v>
      </c>
      <c r="C14">
        <v>15922</v>
      </c>
      <c r="D14" s="2">
        <v>183.97106193659999</v>
      </c>
      <c r="E14" s="3">
        <v>0.2327693746</v>
      </c>
      <c r="G14" s="1">
        <v>56</v>
      </c>
      <c r="H14" s="1">
        <v>90</v>
      </c>
      <c r="I14" s="1">
        <v>114</v>
      </c>
      <c r="J14" s="1">
        <v>214</v>
      </c>
      <c r="K14" s="1">
        <v>268</v>
      </c>
      <c r="L14" s="1">
        <v>337</v>
      </c>
      <c r="M14" s="1">
        <v>374</v>
      </c>
      <c r="N14" s="1">
        <v>491</v>
      </c>
      <c r="O14" s="1">
        <v>652</v>
      </c>
      <c r="P14" s="1">
        <v>652</v>
      </c>
      <c r="Q14" s="1">
        <v>1139</v>
      </c>
      <c r="R14" s="1">
        <v>1359</v>
      </c>
      <c r="S14" s="1">
        <v>2200</v>
      </c>
      <c r="T14" s="1">
        <v>2200</v>
      </c>
      <c r="U14" s="1">
        <v>2700</v>
      </c>
      <c r="V14" s="1">
        <v>3028</v>
      </c>
      <c r="W14" s="1">
        <v>4075</v>
      </c>
      <c r="X14" s="1">
        <v>5294</v>
      </c>
      <c r="Y14" s="1">
        <v>6575</v>
      </c>
      <c r="Z14" s="1">
        <v>7474</v>
      </c>
      <c r="AA14" s="1">
        <v>8795</v>
      </c>
      <c r="AB14" s="1">
        <v>9877</v>
      </c>
      <c r="AC14" s="1">
        <v>10897</v>
      </c>
      <c r="AD14" s="1">
        <v>11811</v>
      </c>
      <c r="AE14" s="1">
        <v>12928</v>
      </c>
      <c r="AF14" s="1">
        <v>14076</v>
      </c>
      <c r="AG14" s="1">
        <v>14829</v>
      </c>
      <c r="AH14" s="1">
        <v>15922</v>
      </c>
    </row>
    <row r="15" spans="1:75" x14ac:dyDescent="0.25">
      <c r="A15" t="s">
        <v>173</v>
      </c>
      <c r="B15" s="1">
        <v>331002651</v>
      </c>
      <c r="C15">
        <v>161807</v>
      </c>
      <c r="D15" s="2">
        <v>48.883898516000002</v>
      </c>
      <c r="E15" s="3">
        <v>0.2590436156</v>
      </c>
      <c r="G15" s="1">
        <v>51</v>
      </c>
      <c r="H15" s="1">
        <v>51</v>
      </c>
      <c r="I15" s="1">
        <v>57</v>
      </c>
      <c r="J15" s="1">
        <v>58</v>
      </c>
      <c r="K15" s="1">
        <v>60</v>
      </c>
      <c r="L15" s="1">
        <v>68</v>
      </c>
      <c r="M15" s="1">
        <v>74</v>
      </c>
      <c r="N15" s="1">
        <v>98</v>
      </c>
      <c r="O15" s="1">
        <v>118</v>
      </c>
      <c r="P15" s="1">
        <v>149</v>
      </c>
      <c r="Q15" s="1">
        <v>217</v>
      </c>
      <c r="R15" s="1">
        <v>262</v>
      </c>
      <c r="S15" s="1">
        <v>402</v>
      </c>
      <c r="T15" s="1">
        <v>518</v>
      </c>
      <c r="U15" s="1">
        <v>583</v>
      </c>
      <c r="V15" s="1">
        <v>959</v>
      </c>
      <c r="W15" s="1">
        <v>1281</v>
      </c>
      <c r="X15" s="1">
        <v>1663</v>
      </c>
      <c r="Y15" s="1">
        <v>2179</v>
      </c>
      <c r="Z15" s="1">
        <v>2727</v>
      </c>
      <c r="AA15" s="1">
        <v>3499</v>
      </c>
      <c r="AB15" s="1">
        <v>4632</v>
      </c>
      <c r="AC15" s="1">
        <v>6421</v>
      </c>
      <c r="AD15" s="1">
        <v>7783</v>
      </c>
      <c r="AE15" s="1">
        <v>13677</v>
      </c>
      <c r="AF15" s="1">
        <v>19100</v>
      </c>
      <c r="AG15" s="1">
        <v>25489</v>
      </c>
      <c r="AH15" s="1">
        <v>33276</v>
      </c>
      <c r="AI15" s="1">
        <v>43847</v>
      </c>
      <c r="AJ15" s="1">
        <v>53740</v>
      </c>
      <c r="AK15" s="1">
        <v>65778</v>
      </c>
      <c r="AL15" s="1">
        <v>83836</v>
      </c>
      <c r="AM15" s="1">
        <v>101657</v>
      </c>
      <c r="AN15" s="1">
        <v>121478</v>
      </c>
      <c r="AO15" s="1">
        <v>140886</v>
      </c>
      <c r="AP15" s="1">
        <v>161807</v>
      </c>
    </row>
    <row r="16" spans="1:75" x14ac:dyDescent="0.25">
      <c r="A16" t="s">
        <v>186</v>
      </c>
      <c r="B16" s="1">
        <v>67886011</v>
      </c>
      <c r="C16">
        <v>22141</v>
      </c>
      <c r="D16" s="2">
        <v>32.614966874399997</v>
      </c>
      <c r="E16" s="3">
        <v>0.25224668579999998</v>
      </c>
      <c r="G16" s="1">
        <v>51</v>
      </c>
      <c r="H16" s="1">
        <v>85</v>
      </c>
      <c r="I16" s="1">
        <v>115</v>
      </c>
      <c r="J16" s="1">
        <v>163</v>
      </c>
      <c r="K16" s="1">
        <v>206</v>
      </c>
      <c r="L16" s="1">
        <v>273</v>
      </c>
      <c r="M16" s="1">
        <v>321</v>
      </c>
      <c r="N16" s="1">
        <v>382</v>
      </c>
      <c r="O16" s="1">
        <v>456</v>
      </c>
      <c r="P16" s="1">
        <v>456</v>
      </c>
      <c r="Q16" s="1">
        <v>798</v>
      </c>
      <c r="R16" s="1">
        <v>1140</v>
      </c>
      <c r="S16" s="1">
        <v>1140</v>
      </c>
      <c r="T16" s="1">
        <v>1543</v>
      </c>
      <c r="U16" s="1">
        <v>1950</v>
      </c>
      <c r="V16" s="1">
        <v>2626</v>
      </c>
      <c r="W16" s="1">
        <v>2689</v>
      </c>
      <c r="X16" s="1">
        <v>3983</v>
      </c>
      <c r="Y16" s="1">
        <v>5018</v>
      </c>
      <c r="Z16" s="1">
        <v>5683</v>
      </c>
      <c r="AA16" s="1">
        <v>6650</v>
      </c>
      <c r="AB16" s="1">
        <v>8077</v>
      </c>
      <c r="AC16" s="1">
        <v>9529</v>
      </c>
      <c r="AD16" s="1">
        <v>11658</v>
      </c>
      <c r="AE16" s="1">
        <v>14543</v>
      </c>
      <c r="AF16" s="1">
        <v>17089</v>
      </c>
      <c r="AG16" s="1">
        <v>19522</v>
      </c>
      <c r="AH16" s="1">
        <v>22141</v>
      </c>
    </row>
  </sheetData>
  <autoFilter ref="A1:BW16" xr:uid="{E0F715BC-5B93-4E6B-B27D-388362108E56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34942-DD55-40B3-A463-FC67598AD7DB}">
  <dimension ref="A1:BX16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6" width="11.42578125" style="3"/>
  </cols>
  <sheetData>
    <row r="1" spans="1:76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3" t="s">
        <v>60</v>
      </c>
      <c r="H1" s="3" t="s">
        <v>59</v>
      </c>
      <c r="I1" s="3" t="s">
        <v>58</v>
      </c>
      <c r="J1" s="3" t="s">
        <v>57</v>
      </c>
      <c r="K1" s="3" t="s">
        <v>56</v>
      </c>
      <c r="L1" s="3" t="s">
        <v>55</v>
      </c>
      <c r="M1" s="3" t="s">
        <v>54</v>
      </c>
      <c r="N1" s="3" t="s">
        <v>53</v>
      </c>
      <c r="O1" s="3" t="s">
        <v>52</v>
      </c>
      <c r="P1" s="3" t="s">
        <v>51</v>
      </c>
      <c r="Q1" s="3" t="s">
        <v>50</v>
      </c>
      <c r="R1" s="3" t="s">
        <v>49</v>
      </c>
      <c r="S1" s="3" t="s">
        <v>48</v>
      </c>
      <c r="T1" s="3" t="s">
        <v>47</v>
      </c>
      <c r="U1" s="3" t="s">
        <v>46</v>
      </c>
      <c r="V1" s="3" t="s">
        <v>45</v>
      </c>
      <c r="W1" s="3" t="s">
        <v>44</v>
      </c>
      <c r="X1" s="3" t="s">
        <v>43</v>
      </c>
      <c r="Y1" s="3" t="s">
        <v>42</v>
      </c>
      <c r="Z1" s="3" t="s">
        <v>41</v>
      </c>
      <c r="AA1" s="3" t="s">
        <v>40</v>
      </c>
      <c r="AB1" s="3" t="s">
        <v>39</v>
      </c>
      <c r="AC1" s="3" t="s">
        <v>38</v>
      </c>
      <c r="AD1" s="3" t="s">
        <v>37</v>
      </c>
      <c r="AE1" s="3" t="s">
        <v>36</v>
      </c>
      <c r="AF1" s="3" t="s">
        <v>35</v>
      </c>
      <c r="AG1" s="3" t="s">
        <v>34</v>
      </c>
      <c r="AH1" s="3" t="s">
        <v>33</v>
      </c>
      <c r="AI1" s="3" t="s">
        <v>32</v>
      </c>
      <c r="AJ1" s="3" t="s">
        <v>31</v>
      </c>
      <c r="AK1" s="3" t="s">
        <v>30</v>
      </c>
      <c r="AL1" s="3" t="s">
        <v>29</v>
      </c>
      <c r="AM1" s="3" t="s">
        <v>28</v>
      </c>
      <c r="AN1" s="3" t="s">
        <v>27</v>
      </c>
      <c r="AO1" s="3" t="s">
        <v>26</v>
      </c>
      <c r="AP1" s="3" t="s">
        <v>25</v>
      </c>
      <c r="AQ1" s="3" t="s">
        <v>24</v>
      </c>
      <c r="AR1" s="3" t="s">
        <v>23</v>
      </c>
      <c r="AS1" s="3" t="s">
        <v>22</v>
      </c>
      <c r="AT1" s="3" t="s">
        <v>21</v>
      </c>
      <c r="AU1" s="3" t="s">
        <v>20</v>
      </c>
      <c r="AV1" s="3" t="s">
        <v>19</v>
      </c>
      <c r="AW1" s="3" t="s">
        <v>18</v>
      </c>
      <c r="AX1" s="3" t="s">
        <v>17</v>
      </c>
      <c r="AY1" s="3" t="s">
        <v>16</v>
      </c>
      <c r="AZ1" s="3" t="s">
        <v>15</v>
      </c>
      <c r="BA1" s="3" t="s">
        <v>14</v>
      </c>
      <c r="BB1" s="3" t="s">
        <v>13</v>
      </c>
      <c r="BC1" s="3" t="s">
        <v>12</v>
      </c>
      <c r="BD1" s="3" t="s">
        <v>11</v>
      </c>
      <c r="BE1" s="3" t="s">
        <v>10</v>
      </c>
      <c r="BF1" s="3" t="s">
        <v>9</v>
      </c>
      <c r="BG1" s="3" t="s">
        <v>8</v>
      </c>
      <c r="BH1" s="3" t="s">
        <v>7</v>
      </c>
      <c r="BI1" s="3" t="s">
        <v>6</v>
      </c>
      <c r="BJ1" s="3" t="s">
        <v>5</v>
      </c>
      <c r="BK1" s="3" t="s">
        <v>4</v>
      </c>
      <c r="BL1" s="3" t="s">
        <v>3</v>
      </c>
      <c r="BM1" s="3" t="s">
        <v>2</v>
      </c>
      <c r="BN1" s="3" t="s">
        <v>1</v>
      </c>
      <c r="BO1" s="3" t="s">
        <v>146</v>
      </c>
      <c r="BP1" s="3" t="s">
        <v>158</v>
      </c>
      <c r="BQ1" s="3" t="s">
        <v>160</v>
      </c>
      <c r="BR1" s="3" t="s">
        <v>162</v>
      </c>
      <c r="BS1" s="3" t="s">
        <v>187</v>
      </c>
      <c r="BT1" s="3" t="s">
        <v>190</v>
      </c>
      <c r="BU1" s="3" t="s">
        <v>189</v>
      </c>
      <c r="BV1" s="3" t="s">
        <v>193</v>
      </c>
      <c r="BW1" s="3" t="s">
        <v>195</v>
      </c>
      <c r="BX1" s="3" t="s">
        <v>131</v>
      </c>
    </row>
    <row r="2" spans="1:76" x14ac:dyDescent="0.25">
      <c r="A2" t="s">
        <v>185</v>
      </c>
      <c r="B2" s="1">
        <v>9006398</v>
      </c>
      <c r="C2">
        <v>82409</v>
      </c>
      <c r="D2">
        <v>9618</v>
      </c>
      <c r="E2" s="2">
        <v>106.7907503088</v>
      </c>
      <c r="AZ2" s="3">
        <v>0.34800202549999998</v>
      </c>
      <c r="BA2" s="3">
        <v>0.3677823999</v>
      </c>
      <c r="BB2" s="3">
        <v>0.36292533300000002</v>
      </c>
      <c r="BC2" s="3">
        <v>0.35147031379999999</v>
      </c>
      <c r="BD2" s="3">
        <v>0.33688312009999999</v>
      </c>
      <c r="BE2" s="3">
        <v>0.32338581659999999</v>
      </c>
      <c r="BF2" s="3">
        <v>0.35291814960000001</v>
      </c>
      <c r="BG2" s="3">
        <v>0.36813369880000002</v>
      </c>
      <c r="BH2" s="3">
        <v>0.37857731509999998</v>
      </c>
      <c r="BI2" s="3">
        <v>0.36482849899999997</v>
      </c>
      <c r="BJ2" s="3">
        <v>0.32166784199999998</v>
      </c>
      <c r="BK2" s="3">
        <v>0.28600843129999998</v>
      </c>
      <c r="BL2" s="3">
        <v>0.25389974119999997</v>
      </c>
      <c r="BM2" s="3">
        <v>0.2430144997</v>
      </c>
      <c r="BN2" s="3">
        <v>0.22442679709999999</v>
      </c>
      <c r="BO2" s="3">
        <v>0.21763384720000001</v>
      </c>
      <c r="BP2" s="3">
        <v>0.21481597290000001</v>
      </c>
      <c r="BQ2" s="3">
        <v>0.2186972355</v>
      </c>
      <c r="BR2" s="3">
        <v>0.20762651330000001</v>
      </c>
      <c r="BS2" s="3">
        <v>0.19277865129999999</v>
      </c>
      <c r="BT2" s="3">
        <v>0.16689808610000001</v>
      </c>
      <c r="BU2" s="3">
        <v>0.1438759916</v>
      </c>
      <c r="BV2" s="3">
        <v>0.12655609979999999</v>
      </c>
      <c r="BW2" s="3">
        <v>0.1067545295</v>
      </c>
      <c r="BX2" s="3">
        <v>9.4446973099999998E-2</v>
      </c>
    </row>
    <row r="3" spans="1:76" x14ac:dyDescent="0.25">
      <c r="A3" t="s">
        <v>184</v>
      </c>
      <c r="B3" s="1">
        <v>11589623</v>
      </c>
      <c r="C3">
        <v>30280</v>
      </c>
      <c r="D3">
        <v>11899</v>
      </c>
      <c r="E3" s="2">
        <v>102.6694310937</v>
      </c>
      <c r="BB3" s="3">
        <v>0.63061443279999996</v>
      </c>
      <c r="BC3" s="3">
        <v>0.40340599780000003</v>
      </c>
      <c r="BD3" s="3">
        <v>0.25743342969999999</v>
      </c>
      <c r="BE3" s="3">
        <v>0.1697654358</v>
      </c>
      <c r="BF3" s="3">
        <v>0.1820525519</v>
      </c>
      <c r="BG3" s="3">
        <v>0.2196046797</v>
      </c>
      <c r="BH3" s="3">
        <v>0.2701211288</v>
      </c>
      <c r="BI3" s="3">
        <v>0.30965515259999998</v>
      </c>
      <c r="BJ3" s="3">
        <v>0.2800673964</v>
      </c>
      <c r="BK3" s="3">
        <v>0.24782467380000001</v>
      </c>
      <c r="BL3" s="3">
        <v>0.20665202290000001</v>
      </c>
      <c r="BM3" s="3">
        <v>0.20427459049999999</v>
      </c>
      <c r="BN3" s="3">
        <v>0.2115636809</v>
      </c>
      <c r="BO3" s="3">
        <v>0.22302539630000001</v>
      </c>
      <c r="BP3" s="3">
        <v>0.2180729085</v>
      </c>
      <c r="BQ3" s="3">
        <v>0.19815144670000001</v>
      </c>
      <c r="BR3" s="3">
        <v>0.1718372413</v>
      </c>
      <c r="BS3" s="3">
        <v>0.1618753933</v>
      </c>
      <c r="BT3" s="3">
        <v>0.16675712670000001</v>
      </c>
      <c r="BU3" s="3">
        <v>0.18694740949999999</v>
      </c>
      <c r="BV3" s="3">
        <v>0.20447698280000001</v>
      </c>
      <c r="BW3" s="3">
        <v>0.19859718479999999</v>
      </c>
      <c r="BX3" s="3">
        <v>9.8098929500000001E-2</v>
      </c>
    </row>
    <row r="4" spans="1:76" x14ac:dyDescent="0.25">
      <c r="A4" t="s">
        <v>183</v>
      </c>
      <c r="B4" s="1">
        <v>37742154</v>
      </c>
      <c r="C4">
        <v>9093510</v>
      </c>
      <c r="D4">
        <v>7385</v>
      </c>
      <c r="E4" s="2">
        <v>19.566980729299999</v>
      </c>
      <c r="AT4" s="3">
        <v>0.16029789359999999</v>
      </c>
      <c r="AU4" s="3">
        <v>0.1934317183</v>
      </c>
      <c r="AV4" s="3">
        <v>0.20830161389999999</v>
      </c>
      <c r="AW4" s="3">
        <v>0.1763489329</v>
      </c>
      <c r="AX4" s="3">
        <v>0.14589019049999999</v>
      </c>
      <c r="AY4" s="3">
        <v>0.13781630559999999</v>
      </c>
      <c r="AZ4" s="3">
        <v>0.1465968761</v>
      </c>
      <c r="BA4" s="3">
        <v>0.16712800620000001</v>
      </c>
      <c r="BB4" s="3">
        <v>0.18170385650000001</v>
      </c>
      <c r="BC4" s="3">
        <v>0.16605471629999999</v>
      </c>
      <c r="BD4" s="3">
        <v>0.17184176600000001</v>
      </c>
      <c r="BE4" s="3">
        <v>0.16155366139999999</v>
      </c>
      <c r="BF4" s="3">
        <v>0.2085501589</v>
      </c>
      <c r="BG4" s="3">
        <v>0.23027433420000001</v>
      </c>
      <c r="BH4" s="3">
        <v>0.24633237459999999</v>
      </c>
      <c r="BI4" s="3">
        <v>0.29652201369999998</v>
      </c>
      <c r="BJ4" s="3">
        <v>0.28464799909999999</v>
      </c>
      <c r="BK4" s="3">
        <v>0.32018916330000002</v>
      </c>
      <c r="BL4" s="3">
        <v>0.31572953599999998</v>
      </c>
      <c r="BM4" s="3">
        <v>0.28908151319999997</v>
      </c>
      <c r="BN4" s="3">
        <v>0.27466665759999997</v>
      </c>
      <c r="BO4" s="3">
        <v>0.2431048163</v>
      </c>
      <c r="BP4" s="3">
        <v>0.25910972650000003</v>
      </c>
      <c r="BQ4" s="3">
        <v>0.27700985839999998</v>
      </c>
      <c r="BR4" s="3">
        <v>0.28242810480000002</v>
      </c>
      <c r="BS4" s="3">
        <v>0.28743445940000001</v>
      </c>
      <c r="BT4" s="3">
        <v>0.25588432989999998</v>
      </c>
      <c r="BU4" s="3">
        <v>0.2262092101</v>
      </c>
      <c r="BV4" s="3">
        <v>0.19502578249999999</v>
      </c>
      <c r="BW4" s="3">
        <v>0.17607067530000001</v>
      </c>
      <c r="BX4" s="3">
        <v>0.1783947662</v>
      </c>
    </row>
    <row r="5" spans="1:76" x14ac:dyDescent="0.25">
      <c r="A5" t="s">
        <v>182</v>
      </c>
      <c r="B5" s="1">
        <v>1439323776</v>
      </c>
      <c r="C5">
        <v>9388211</v>
      </c>
      <c r="D5">
        <v>82198</v>
      </c>
      <c r="E5" s="2">
        <v>5.7108762719000001</v>
      </c>
      <c r="M5" s="3">
        <v>0.4920083106</v>
      </c>
      <c r="N5" s="3">
        <v>0.48589147529999999</v>
      </c>
      <c r="O5" s="3">
        <v>0.45523269360000002</v>
      </c>
      <c r="P5" s="3">
        <v>0.39430669210000002</v>
      </c>
      <c r="Q5" s="3">
        <v>0.29952479659999998</v>
      </c>
      <c r="R5" s="3">
        <v>0.27563149780000001</v>
      </c>
      <c r="S5" s="3">
        <v>0.25033039029999998</v>
      </c>
      <c r="T5" s="3">
        <v>0.25731829299999998</v>
      </c>
      <c r="U5" s="3">
        <v>0.24144365239999999</v>
      </c>
      <c r="V5" s="3">
        <v>0.20846983290000001</v>
      </c>
      <c r="W5" s="3">
        <v>0.17561046759999999</v>
      </c>
      <c r="X5" s="3">
        <v>0.14023560869999999</v>
      </c>
      <c r="Y5" s="3">
        <v>0.1181086084</v>
      </c>
      <c r="Z5" s="3">
        <v>9.8457642499999998E-2</v>
      </c>
      <c r="AA5" s="3">
        <v>8.2613205800000006E-2</v>
      </c>
      <c r="AB5" s="3">
        <v>6.6847480799999998E-2</v>
      </c>
      <c r="AC5" s="3">
        <v>7.70524073E-2</v>
      </c>
      <c r="AD5" s="3">
        <v>9.48954308E-2</v>
      </c>
      <c r="AE5" s="3">
        <v>0.1136294031</v>
      </c>
      <c r="AF5" s="3">
        <v>0.11778470520000001</v>
      </c>
      <c r="AG5" s="3">
        <v>9.1264405100000001E-2</v>
      </c>
      <c r="AH5" s="3">
        <v>6.1542317800000003E-2</v>
      </c>
      <c r="AI5" s="3">
        <v>3.25359073E-2</v>
      </c>
      <c r="AJ5" s="3">
        <v>2.1946457199999998E-2</v>
      </c>
      <c r="AK5" s="3">
        <v>1.6034773400000001E-2</v>
      </c>
      <c r="AL5" s="3">
        <v>1.18414408E-2</v>
      </c>
      <c r="AM5" s="3">
        <v>9.2587250000000006E-3</v>
      </c>
      <c r="AN5" s="3">
        <v>8.1150318000000003E-3</v>
      </c>
      <c r="AO5" s="3">
        <v>7.4318568E-3</v>
      </c>
      <c r="AP5" s="3">
        <v>6.0221820000000001E-3</v>
      </c>
      <c r="AQ5" s="3">
        <v>5.3441820999999999E-3</v>
      </c>
      <c r="AR5" s="3">
        <v>4.7548783000000002E-3</v>
      </c>
      <c r="AS5" s="3">
        <v>5.2034725000000004E-3</v>
      </c>
      <c r="AT5" s="3">
        <v>5.3765578E-3</v>
      </c>
      <c r="AU5" s="3">
        <v>5.1871987999999999E-3</v>
      </c>
      <c r="AV5" s="3">
        <v>4.8804870999999998E-3</v>
      </c>
      <c r="AW5" s="3">
        <v>4.0897260000000001E-3</v>
      </c>
      <c r="AX5" s="3">
        <v>3.1003719000000001E-3</v>
      </c>
      <c r="AY5" s="3">
        <v>2.2778988999999999E-3</v>
      </c>
      <c r="AZ5" s="3">
        <v>1.7306236999999999E-3</v>
      </c>
      <c r="BA5" s="3">
        <v>1.5537938E-3</v>
      </c>
      <c r="BB5" s="3">
        <v>1.3127983000000001E-3</v>
      </c>
      <c r="BC5" s="3">
        <v>9.8875250000000003E-4</v>
      </c>
      <c r="BD5" s="3">
        <v>6.9247079999999999E-4</v>
      </c>
      <c r="BE5" s="3">
        <v>4.7122279999999998E-4</v>
      </c>
      <c r="BF5" s="3">
        <v>3.5554940000000001E-4</v>
      </c>
      <c r="BG5" s="3">
        <v>2.9257060000000001E-4</v>
      </c>
      <c r="BH5" s="3">
        <v>2.6465990000000002E-4</v>
      </c>
      <c r="BI5" s="3">
        <v>2.8104649999999997E-4</v>
      </c>
      <c r="BJ5" s="3">
        <v>3.0464089999999999E-4</v>
      </c>
      <c r="BK5" s="3">
        <v>3.4879259999999999E-4</v>
      </c>
      <c r="BL5" s="3">
        <v>4.0214489999999999E-4</v>
      </c>
      <c r="BM5" s="3">
        <v>5.0884349999999999E-4</v>
      </c>
      <c r="BN5" s="3">
        <v>6.3392519999999999E-4</v>
      </c>
      <c r="BO5" s="3">
        <v>8.1830309999999997E-4</v>
      </c>
      <c r="BP5" s="3">
        <v>9.4598459999999996E-4</v>
      </c>
      <c r="BQ5" s="3">
        <v>1.0414587999999999E-3</v>
      </c>
      <c r="BR5" s="3">
        <v>1.0641118E-3</v>
      </c>
      <c r="BS5" s="3">
        <v>1.0680037999999999E-3</v>
      </c>
      <c r="BT5" s="3">
        <v>1.1260945E-3</v>
      </c>
      <c r="BU5" s="3">
        <v>1.177761E-3</v>
      </c>
      <c r="BV5" s="3">
        <v>1.2926903999999999E-3</v>
      </c>
      <c r="BW5" s="3">
        <v>1.3084722E-3</v>
      </c>
      <c r="BX5" s="3">
        <v>9.2545240000000003E-4</v>
      </c>
    </row>
    <row r="6" spans="1:76" x14ac:dyDescent="0.25">
      <c r="A6" t="s">
        <v>181</v>
      </c>
      <c r="B6" s="1">
        <v>65273511</v>
      </c>
      <c r="C6">
        <v>547557</v>
      </c>
      <c r="D6">
        <v>44550</v>
      </c>
      <c r="E6" s="2">
        <v>68.251269645999997</v>
      </c>
      <c r="AD6" s="3">
        <v>0</v>
      </c>
      <c r="AE6" s="3">
        <v>7.4911602000000002E-3</v>
      </c>
      <c r="AF6" s="3">
        <v>1.4818851399999999E-2</v>
      </c>
      <c r="AG6" s="3">
        <v>2.1991162299999999E-2</v>
      </c>
      <c r="AH6" s="3">
        <v>2.1991162299999999E-2</v>
      </c>
      <c r="AI6" s="3">
        <v>1.4392187900000001E-2</v>
      </c>
      <c r="AJ6" s="3">
        <v>7.0675775E-3</v>
      </c>
      <c r="AK6" s="3">
        <v>0</v>
      </c>
      <c r="AL6" s="3">
        <v>0</v>
      </c>
      <c r="AM6" s="3">
        <v>0</v>
      </c>
      <c r="AN6" s="3">
        <v>0</v>
      </c>
      <c r="AO6" s="3">
        <v>1.3608570299999999E-2</v>
      </c>
      <c r="AP6" s="3">
        <v>5.1447381799999997E-2</v>
      </c>
      <c r="AQ6" s="3">
        <v>0.18086128630000001</v>
      </c>
      <c r="AR6" s="3">
        <v>0.33104882279999998</v>
      </c>
      <c r="AS6" s="3">
        <v>0.50509098230000005</v>
      </c>
      <c r="AT6" s="3">
        <v>0.59811234030000004</v>
      </c>
      <c r="AU6" s="3">
        <v>0.56601534740000004</v>
      </c>
      <c r="AV6" s="3">
        <v>0.46814927499999998</v>
      </c>
      <c r="AW6" s="3">
        <v>0.36652812769999998</v>
      </c>
      <c r="AX6" s="3">
        <v>0.31798054269999998</v>
      </c>
      <c r="AY6" s="3">
        <v>0.32941603949999998</v>
      </c>
      <c r="AZ6" s="3">
        <v>0.39338657760000001</v>
      </c>
      <c r="BA6" s="3">
        <v>0.4152522803</v>
      </c>
      <c r="BB6" s="3">
        <v>0.39547260169999998</v>
      </c>
      <c r="BC6" s="3">
        <v>0.3303518252</v>
      </c>
      <c r="BD6" s="3">
        <v>0.27768437219999997</v>
      </c>
      <c r="BE6" s="3">
        <v>0.23499137749999999</v>
      </c>
      <c r="BF6" s="3">
        <v>0.2579309004</v>
      </c>
      <c r="BG6" s="3">
        <v>0.26088408670000002</v>
      </c>
      <c r="BH6" s="3">
        <v>0.2439622736</v>
      </c>
      <c r="BI6" s="3">
        <v>0.25216941669999998</v>
      </c>
      <c r="BJ6" s="3">
        <v>0.2293893521</v>
      </c>
      <c r="BK6" s="3">
        <v>0.2234782833</v>
      </c>
      <c r="BL6" s="3">
        <v>0.2154894597</v>
      </c>
      <c r="BM6" s="3">
        <v>0.2016266598</v>
      </c>
      <c r="BN6" s="3">
        <v>0.19076305700000001</v>
      </c>
      <c r="BO6" s="3">
        <v>0.16459604899999999</v>
      </c>
      <c r="BP6" s="3">
        <v>0.16141461139999999</v>
      </c>
      <c r="BQ6" s="3">
        <v>0.15646377210000001</v>
      </c>
      <c r="BR6" s="3">
        <v>0.15579636720000001</v>
      </c>
      <c r="BS6" s="3">
        <v>0.1562262549</v>
      </c>
      <c r="BT6" s="3">
        <v>0.1487816501</v>
      </c>
      <c r="BU6" s="3">
        <v>0.14413575689999999</v>
      </c>
      <c r="BV6" s="3">
        <v>0.1321291101</v>
      </c>
      <c r="BW6" s="3">
        <v>0.1237461338</v>
      </c>
      <c r="BX6" s="3">
        <v>0.1089261712</v>
      </c>
    </row>
    <row r="7" spans="1:76" x14ac:dyDescent="0.25">
      <c r="A7" t="s">
        <v>180</v>
      </c>
      <c r="B7" s="1">
        <v>83783942</v>
      </c>
      <c r="C7">
        <v>348560</v>
      </c>
      <c r="D7">
        <v>66885</v>
      </c>
      <c r="E7" s="2">
        <v>79.830333120399999</v>
      </c>
      <c r="X7" s="3">
        <v>2.8196615299999998E-2</v>
      </c>
      <c r="Y7" s="3">
        <v>2.6690096100000001E-2</v>
      </c>
      <c r="Z7" s="3">
        <v>3.3047614099999997E-2</v>
      </c>
      <c r="AA7" s="3">
        <v>4.4269847100000002E-2</v>
      </c>
      <c r="AB7" s="3">
        <v>4.8922880100000003E-2</v>
      </c>
      <c r="AC7" s="3">
        <v>4.6635139399999997E-2</v>
      </c>
      <c r="AD7" s="3">
        <v>4.0194001899999998E-2</v>
      </c>
      <c r="AE7" s="3">
        <v>2.1991162299999999E-2</v>
      </c>
      <c r="AF7" s="3">
        <v>1.06967087E-2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5.1681308000000002E-3</v>
      </c>
      <c r="AP7" s="3">
        <v>5.7371263399999997E-2</v>
      </c>
      <c r="AQ7" s="3">
        <v>0.17017365970000001</v>
      </c>
      <c r="AR7" s="3">
        <v>0.26004493579999999</v>
      </c>
      <c r="AS7" s="3">
        <v>0.37076341810000002</v>
      </c>
      <c r="AT7" s="3">
        <v>0.43861792830000002</v>
      </c>
      <c r="AU7" s="3">
        <v>0.42200566750000001</v>
      </c>
      <c r="AV7" s="3">
        <v>0.41494347929999997</v>
      </c>
      <c r="AW7" s="3">
        <v>0.3742310761</v>
      </c>
      <c r="AX7" s="3">
        <v>0.38292517469999998</v>
      </c>
      <c r="AY7" s="3">
        <v>0.40007208849999998</v>
      </c>
      <c r="AZ7" s="3">
        <v>0.41621399809999998</v>
      </c>
      <c r="BA7" s="3">
        <v>0.42005077870000002</v>
      </c>
      <c r="BB7" s="3">
        <v>0.33825805390000002</v>
      </c>
      <c r="BC7" s="3">
        <v>0.2695297418</v>
      </c>
      <c r="BD7" s="3">
        <v>0.235160965</v>
      </c>
      <c r="BE7" s="3">
        <v>0.2136247322</v>
      </c>
      <c r="BF7" s="3">
        <v>0.26255276249999998</v>
      </c>
      <c r="BG7" s="3">
        <v>0.2952508915</v>
      </c>
      <c r="BH7" s="3">
        <v>0.32638571830000002</v>
      </c>
      <c r="BI7" s="3">
        <v>0.34195791479999998</v>
      </c>
      <c r="BJ7" s="3">
        <v>0.30653677369999999</v>
      </c>
      <c r="BK7" s="3">
        <v>0.29255758450000002</v>
      </c>
      <c r="BL7" s="3">
        <v>0.27294795560000001</v>
      </c>
      <c r="BM7" s="3">
        <v>0.28074743070000002</v>
      </c>
      <c r="BN7" s="3">
        <v>0.26619042399999998</v>
      </c>
      <c r="BO7" s="3">
        <v>0.23410656469999999</v>
      </c>
      <c r="BP7" s="3">
        <v>0.1984990928</v>
      </c>
      <c r="BQ7" s="3">
        <v>0.1630856852</v>
      </c>
      <c r="BR7" s="3">
        <v>0.14713975560000001</v>
      </c>
      <c r="BS7" s="3">
        <v>0.14300862189999999</v>
      </c>
      <c r="BT7" s="3">
        <v>0.1477463812</v>
      </c>
      <c r="BU7" s="3">
        <v>0.15092394349999999</v>
      </c>
      <c r="BV7" s="3">
        <v>0.1447883794</v>
      </c>
      <c r="BW7" s="3">
        <v>0.1306035344</v>
      </c>
      <c r="BX7" s="3">
        <v>7.7139866299999998E-2</v>
      </c>
    </row>
    <row r="8" spans="1:76" x14ac:dyDescent="0.25">
      <c r="A8" t="s">
        <v>179</v>
      </c>
      <c r="B8" s="1">
        <v>1380004385</v>
      </c>
      <c r="C8">
        <v>2973190</v>
      </c>
      <c r="D8">
        <v>1251</v>
      </c>
      <c r="E8" s="2">
        <v>9.0651885900000007E-2</v>
      </c>
      <c r="BC8" s="3">
        <v>0.115892272</v>
      </c>
      <c r="BD8" s="3">
        <v>0.1409735262</v>
      </c>
      <c r="BE8" s="3">
        <v>0.1641260481</v>
      </c>
      <c r="BF8" s="3">
        <v>0.16950056550000001</v>
      </c>
      <c r="BG8" s="3">
        <v>0.16819006719999999</v>
      </c>
      <c r="BH8" s="3">
        <v>0.16542047360000001</v>
      </c>
      <c r="BI8" s="3">
        <v>0.14994819240000001</v>
      </c>
      <c r="BJ8" s="3">
        <v>0.1457845639</v>
      </c>
      <c r="BK8" s="3">
        <v>0.1286277726</v>
      </c>
      <c r="BL8" s="3">
        <v>0.13449389549999999</v>
      </c>
      <c r="BM8" s="3">
        <v>0.15480856030000001</v>
      </c>
      <c r="BN8" s="3">
        <v>0.1970778762</v>
      </c>
      <c r="BO8" s="3">
        <v>0.2349771433</v>
      </c>
      <c r="BP8" s="3">
        <v>0.2561535976</v>
      </c>
      <c r="BQ8" s="3">
        <v>0.24584294500000001</v>
      </c>
      <c r="BR8" s="3">
        <v>0.21831554240000001</v>
      </c>
      <c r="BS8" s="3">
        <v>0.18613022730000001</v>
      </c>
      <c r="BT8" s="3">
        <v>0.16686405409999999</v>
      </c>
      <c r="BU8" s="3">
        <v>0.16111485040000001</v>
      </c>
      <c r="BV8" s="3">
        <v>0.14399599909999999</v>
      </c>
      <c r="BW8" s="3">
        <v>0.14168338820000001</v>
      </c>
      <c r="BX8" s="3">
        <v>0.2216796875</v>
      </c>
    </row>
    <row r="9" spans="1:76" x14ac:dyDescent="0.25">
      <c r="A9" t="s">
        <v>178</v>
      </c>
      <c r="B9" s="1">
        <v>60461826</v>
      </c>
      <c r="C9">
        <v>294140</v>
      </c>
      <c r="D9">
        <v>101739</v>
      </c>
      <c r="E9" s="2">
        <v>168.26981044199999</v>
      </c>
      <c r="AQ9" s="3">
        <v>0.56728119539999999</v>
      </c>
      <c r="AR9" s="3">
        <v>0.45447553149999997</v>
      </c>
      <c r="AS9" s="3">
        <v>0.3946566332</v>
      </c>
      <c r="AT9" s="3">
        <v>0.38646863460000003</v>
      </c>
      <c r="AU9" s="3">
        <v>0.35762669289999999</v>
      </c>
      <c r="AV9" s="3">
        <v>0.3292807848</v>
      </c>
      <c r="AW9" s="3">
        <v>0.29992999399999998</v>
      </c>
      <c r="AX9" s="3">
        <v>0.26328978619999999</v>
      </c>
      <c r="AY9" s="3">
        <v>0.242627288</v>
      </c>
      <c r="AZ9" s="3">
        <v>0.23242417000000001</v>
      </c>
      <c r="BA9" s="3">
        <v>0.23762314239999999</v>
      </c>
      <c r="BB9" s="3">
        <v>0.2412545576</v>
      </c>
      <c r="BC9" s="3">
        <v>0.2321292975</v>
      </c>
      <c r="BD9" s="3">
        <v>0.21935918439999999</v>
      </c>
      <c r="BE9" s="3">
        <v>0.18322236650000001</v>
      </c>
      <c r="BF9" s="3">
        <v>0.17382754080000001</v>
      </c>
      <c r="BG9" s="3">
        <v>0.1772625759</v>
      </c>
      <c r="BH9" s="3">
        <v>0.1891977608</v>
      </c>
      <c r="BI9" s="3">
        <v>0.20474288769999999</v>
      </c>
      <c r="BJ9" s="3">
        <v>0.1859297228</v>
      </c>
      <c r="BK9" s="3">
        <v>0.16727506880000001</v>
      </c>
      <c r="BL9" s="3">
        <v>0.1423736665</v>
      </c>
      <c r="BM9" s="3">
        <v>0.13766754959999999</v>
      </c>
      <c r="BN9" s="3">
        <v>0.13873144379999999</v>
      </c>
      <c r="BO9" s="3">
        <v>0.13813370359999999</v>
      </c>
      <c r="BP9" s="3">
        <v>0.13022034269999999</v>
      </c>
      <c r="BQ9" s="3">
        <v>0.11637096769999999</v>
      </c>
      <c r="BR9" s="3">
        <v>0.100162631</v>
      </c>
      <c r="BS9" s="3">
        <v>8.8388111300000002E-2</v>
      </c>
      <c r="BT9" s="3">
        <v>8.1292115999999998E-2</v>
      </c>
      <c r="BU9" s="3">
        <v>7.7947274699999999E-2</v>
      </c>
      <c r="BV9" s="3">
        <v>7.4576729100000003E-2</v>
      </c>
      <c r="BW9" s="3">
        <v>6.8251112000000003E-2</v>
      </c>
      <c r="BX9" s="3">
        <v>4.1458096600000001E-2</v>
      </c>
    </row>
    <row r="10" spans="1:76" x14ac:dyDescent="0.25">
      <c r="A10" t="s">
        <v>177</v>
      </c>
      <c r="B10" s="1">
        <v>51269185</v>
      </c>
      <c r="C10">
        <v>97230</v>
      </c>
      <c r="D10">
        <v>9661</v>
      </c>
      <c r="E10" s="2">
        <v>18.8436777374</v>
      </c>
      <c r="V10" s="3">
        <v>0.11150417730000001</v>
      </c>
      <c r="W10" s="3">
        <v>0.11962776899999999</v>
      </c>
      <c r="X10" s="3">
        <v>0.1146156312</v>
      </c>
      <c r="Y10" s="3">
        <v>9.9229092300000002E-2</v>
      </c>
      <c r="Z10" s="3">
        <v>6.9907913299999999E-2</v>
      </c>
      <c r="AA10" s="3">
        <v>4.9268204599999997E-2</v>
      </c>
      <c r="AB10" s="3">
        <v>3.9812265300000003E-2</v>
      </c>
      <c r="AC10" s="3">
        <v>3.5712234599999997E-2</v>
      </c>
      <c r="AD10" s="3">
        <v>2.5336513599999999E-2</v>
      </c>
      <c r="AE10" s="3">
        <v>1.22722344E-2</v>
      </c>
      <c r="AF10" s="3">
        <v>5.9704145E-3</v>
      </c>
      <c r="AG10" s="3">
        <v>8.811424E-3</v>
      </c>
      <c r="AH10" s="3">
        <v>1.7397827300000002E-2</v>
      </c>
      <c r="AI10" s="3">
        <v>2.3003537099999999E-2</v>
      </c>
      <c r="AJ10" s="3">
        <v>0.18214919430000001</v>
      </c>
      <c r="AK10" s="3">
        <v>0.40497990080000001</v>
      </c>
      <c r="AL10" s="3">
        <v>0.69392401309999996</v>
      </c>
      <c r="AM10" s="3">
        <v>0.91567075720000002</v>
      </c>
      <c r="AN10" s="3">
        <v>0.83154332350000004</v>
      </c>
      <c r="AO10" s="3">
        <v>0.63321891610000003</v>
      </c>
      <c r="AP10" s="3">
        <v>0.426807561</v>
      </c>
      <c r="AQ10" s="3">
        <v>0.3407743426</v>
      </c>
      <c r="AR10" s="3">
        <v>0.30175116289999998</v>
      </c>
      <c r="AS10" s="3">
        <v>0.3168463172</v>
      </c>
      <c r="AT10" s="3">
        <v>0.31643099190000001</v>
      </c>
      <c r="AU10" s="3">
        <v>0.29385132050000001</v>
      </c>
      <c r="AV10" s="3">
        <v>0.25383134219999998</v>
      </c>
      <c r="AW10" s="3">
        <v>0.20203300099999999</v>
      </c>
      <c r="AX10" s="3">
        <v>0.16337974129999999</v>
      </c>
      <c r="AY10" s="3">
        <v>0.13009966749999999</v>
      </c>
      <c r="AZ10" s="3">
        <v>0.10440006759999999</v>
      </c>
      <c r="BA10" s="3">
        <v>8.4525657300000001E-2</v>
      </c>
      <c r="BB10" s="3">
        <v>6.6200310499999998E-2</v>
      </c>
      <c r="BC10" s="3">
        <v>5.06931942E-2</v>
      </c>
      <c r="BD10" s="3">
        <v>3.6307210899999998E-2</v>
      </c>
      <c r="BE10" s="3">
        <v>2.5158744E-2</v>
      </c>
      <c r="BF10" s="3">
        <v>1.96789359E-2</v>
      </c>
      <c r="BG10" s="3">
        <v>1.77784821E-2</v>
      </c>
      <c r="BH10" s="3">
        <v>1.58945983E-2</v>
      </c>
      <c r="BI10" s="3">
        <v>1.4247231799999999E-2</v>
      </c>
      <c r="BJ10" s="3">
        <v>1.16063117E-2</v>
      </c>
      <c r="BK10" s="3">
        <v>1.0639959399999999E-2</v>
      </c>
      <c r="BL10" s="3">
        <v>1.08730939E-2</v>
      </c>
      <c r="BM10" s="3">
        <v>1.15015645E-2</v>
      </c>
      <c r="BN10" s="3">
        <v>1.28772088E-2</v>
      </c>
      <c r="BO10" s="3">
        <v>1.41449556E-2</v>
      </c>
      <c r="BP10" s="3">
        <v>1.37751226E-2</v>
      </c>
      <c r="BQ10" s="3">
        <v>1.2718615500000001E-2</v>
      </c>
      <c r="BR10" s="3">
        <v>1.05837847E-2</v>
      </c>
      <c r="BS10" s="3">
        <v>9.3615114999999992E-3</v>
      </c>
      <c r="BT10" s="3">
        <v>9.1272985000000004E-3</v>
      </c>
      <c r="BU10" s="3">
        <v>9.9762059999999996E-3</v>
      </c>
      <c r="BV10" s="3">
        <v>1.13939796E-2</v>
      </c>
      <c r="BW10" s="3">
        <v>1.1711314400000001E-2</v>
      </c>
      <c r="BX10" s="3">
        <v>8.1394134999999996E-3</v>
      </c>
    </row>
    <row r="11" spans="1:76" x14ac:dyDescent="0.25">
      <c r="A11" t="s">
        <v>176</v>
      </c>
      <c r="B11" s="1">
        <v>145934462</v>
      </c>
      <c r="C11">
        <v>16376870</v>
      </c>
      <c r="D11">
        <v>1836</v>
      </c>
      <c r="E11" s="2">
        <v>1.2580989951999999</v>
      </c>
      <c r="BE11" s="3">
        <v>0.1213988704</v>
      </c>
      <c r="BF11" s="3">
        <v>0.18603163380000001</v>
      </c>
      <c r="BG11" s="3">
        <v>0.25038870749999997</v>
      </c>
      <c r="BH11" s="3">
        <v>0.30830922570000002</v>
      </c>
      <c r="BI11" s="3">
        <v>0.32879118089999998</v>
      </c>
      <c r="BJ11" s="3">
        <v>0.3016885305</v>
      </c>
      <c r="BK11" s="3">
        <v>0.2769776504</v>
      </c>
      <c r="BL11" s="3">
        <v>0.28828022399999997</v>
      </c>
      <c r="BM11" s="3">
        <v>0.29650065460000002</v>
      </c>
      <c r="BN11" s="3">
        <v>0.29804421520000002</v>
      </c>
      <c r="BO11" s="3">
        <v>0.27445929050000001</v>
      </c>
      <c r="BP11" s="3">
        <v>0.24663425659999999</v>
      </c>
      <c r="BQ11" s="3">
        <v>0.2137496914</v>
      </c>
      <c r="BR11" s="3">
        <v>0.20365006469999999</v>
      </c>
      <c r="BS11" s="3">
        <v>0.21122291330000001</v>
      </c>
      <c r="BT11" s="3">
        <v>0.22891865789999999</v>
      </c>
      <c r="BU11" s="3">
        <v>0.24665583460000001</v>
      </c>
      <c r="BV11" s="3">
        <v>0.24593527630000001</v>
      </c>
      <c r="BW11" s="3">
        <v>0.23484424679999999</v>
      </c>
      <c r="BX11" s="3">
        <v>0.1968709257</v>
      </c>
    </row>
    <row r="12" spans="1:76" x14ac:dyDescent="0.25">
      <c r="A12" t="s">
        <v>175</v>
      </c>
      <c r="B12" s="1">
        <v>46754778</v>
      </c>
      <c r="C12">
        <v>498800</v>
      </c>
      <c r="D12">
        <v>87956</v>
      </c>
      <c r="E12" s="2">
        <v>188.12194980370001</v>
      </c>
      <c r="AV12" s="3">
        <v>0.57477596929999997</v>
      </c>
      <c r="AW12" s="3">
        <v>0.5321632208</v>
      </c>
      <c r="AX12" s="3">
        <v>0.41531027790000002</v>
      </c>
      <c r="AY12" s="3">
        <v>0.37149472109999998</v>
      </c>
      <c r="AZ12" s="3">
        <v>0.33126424360000001</v>
      </c>
      <c r="BA12" s="3">
        <v>0.3271811074</v>
      </c>
      <c r="BB12" s="3">
        <v>0.36550818750000003</v>
      </c>
      <c r="BC12" s="3">
        <v>0.40581182170000002</v>
      </c>
      <c r="BD12" s="3">
        <v>0.44442312779999998</v>
      </c>
      <c r="BE12" s="3">
        <v>0.41179113499999997</v>
      </c>
      <c r="BF12" s="3">
        <v>0.44477049810000002</v>
      </c>
      <c r="BG12" s="3">
        <v>0.4176940998</v>
      </c>
      <c r="BH12" s="3">
        <v>0.40072411130000002</v>
      </c>
      <c r="BI12" s="3">
        <v>0.40181660079999998</v>
      </c>
      <c r="BJ12" s="3">
        <v>0.31752852500000001</v>
      </c>
      <c r="BK12" s="3">
        <v>0.26505322879999998</v>
      </c>
      <c r="BL12" s="3">
        <v>0.22421023840000001</v>
      </c>
      <c r="BM12" s="3">
        <v>0.21323881149999999</v>
      </c>
      <c r="BN12" s="3">
        <v>0.21256103509999999</v>
      </c>
      <c r="BO12" s="3">
        <v>0.20296315349999999</v>
      </c>
      <c r="BP12" s="3">
        <v>0.19608545399999999</v>
      </c>
      <c r="BQ12" s="3">
        <v>0.18699176789999999</v>
      </c>
      <c r="BR12" s="3">
        <v>0.18224855070000001</v>
      </c>
      <c r="BS12" s="3">
        <v>0.18536418460000001</v>
      </c>
      <c r="BT12" s="3">
        <v>0.17988033749999999</v>
      </c>
      <c r="BU12" s="3">
        <v>0.1733709581</v>
      </c>
      <c r="BV12" s="3">
        <v>0.1516460577</v>
      </c>
      <c r="BW12" s="3">
        <v>0.13154845170000001</v>
      </c>
      <c r="BX12" s="3">
        <v>9.7940332000000005E-2</v>
      </c>
    </row>
    <row r="13" spans="1:76" x14ac:dyDescent="0.25">
      <c r="A13" t="s">
        <v>174</v>
      </c>
      <c r="B13" s="1">
        <v>10099265</v>
      </c>
      <c r="C13">
        <v>410340</v>
      </c>
      <c r="D13">
        <v>4028</v>
      </c>
      <c r="E13" s="2">
        <v>39.8840905749</v>
      </c>
      <c r="AY13" s="3">
        <v>0.53899069779999997</v>
      </c>
      <c r="AZ13" s="3">
        <v>0.63350323320000002</v>
      </c>
      <c r="BA13" s="3">
        <v>0.59973722620000003</v>
      </c>
      <c r="BB13" s="3">
        <v>0.42123220750000001</v>
      </c>
      <c r="BC13" s="3">
        <v>0.36820697930000001</v>
      </c>
      <c r="BD13" s="3">
        <v>0.32672642299999999</v>
      </c>
      <c r="BE13" s="3">
        <v>0.32977408000000002</v>
      </c>
      <c r="BF13" s="3">
        <v>0.329660866</v>
      </c>
      <c r="BG13" s="3">
        <v>0.31004561619999998</v>
      </c>
      <c r="BH13" s="3">
        <v>0.26191248880000001</v>
      </c>
      <c r="BI13" s="3">
        <v>0.20700169169999999</v>
      </c>
      <c r="BJ13" s="3">
        <v>0.14734001560000001</v>
      </c>
      <c r="BK13" s="3">
        <v>0.1075355721</v>
      </c>
      <c r="BL13" s="3">
        <v>8.7215216700000001E-2</v>
      </c>
      <c r="BM13" s="3">
        <v>9.0053740600000001E-2</v>
      </c>
      <c r="BN13" s="3">
        <v>9.9291544499999995E-2</v>
      </c>
      <c r="BO13" s="3">
        <v>0.1055441546</v>
      </c>
      <c r="BP13" s="3">
        <v>0.10102217350000001</v>
      </c>
      <c r="BQ13" s="3">
        <v>9.50922555E-2</v>
      </c>
      <c r="BR13" s="3">
        <v>9.0977011699999999E-2</v>
      </c>
      <c r="BS13" s="3">
        <v>9.4308531500000001E-2</v>
      </c>
      <c r="BT13" s="3">
        <v>0.1008713455</v>
      </c>
      <c r="BU13" s="3">
        <v>0.10541398740000001</v>
      </c>
      <c r="BV13" s="3">
        <v>0.1047674012</v>
      </c>
      <c r="BW13" s="3">
        <v>9.9304846399999994E-2</v>
      </c>
      <c r="BX13" s="3">
        <v>8.8648648600000005E-2</v>
      </c>
    </row>
    <row r="14" spans="1:76" x14ac:dyDescent="0.25">
      <c r="A14" t="s">
        <v>0</v>
      </c>
      <c r="B14" s="1">
        <v>8654622</v>
      </c>
      <c r="C14">
        <v>39516</v>
      </c>
      <c r="D14">
        <v>15922</v>
      </c>
      <c r="E14" s="2">
        <v>183.97106193659999</v>
      </c>
      <c r="AY14" s="3">
        <v>0.4805199275</v>
      </c>
      <c r="AZ14" s="3">
        <v>0.4776924749</v>
      </c>
      <c r="BA14" s="3">
        <v>0.44471277510000001</v>
      </c>
      <c r="BB14" s="3">
        <v>0.39300391169999999</v>
      </c>
      <c r="BC14" s="3">
        <v>0.3022130596</v>
      </c>
      <c r="BD14" s="3">
        <v>0.26309155150000002</v>
      </c>
      <c r="BE14" s="3">
        <v>0.21673258179999999</v>
      </c>
      <c r="BF14" s="3">
        <v>0.25685504809999998</v>
      </c>
      <c r="BG14" s="3">
        <v>0.2723351389</v>
      </c>
      <c r="BH14" s="3">
        <v>0.32657515079999999</v>
      </c>
      <c r="BI14" s="3">
        <v>0.33835293729999999</v>
      </c>
      <c r="BJ14" s="3">
        <v>0.30567088650000002</v>
      </c>
      <c r="BK14" s="3">
        <v>0.25954379259999999</v>
      </c>
      <c r="BL14" s="3">
        <v>0.20188107720000001</v>
      </c>
      <c r="BM14" s="3">
        <v>0.2112739595</v>
      </c>
      <c r="BN14" s="3">
        <v>0.22415027430000001</v>
      </c>
      <c r="BO14" s="3">
        <v>0.2497986395</v>
      </c>
      <c r="BP14" s="3">
        <v>0.23552997780000001</v>
      </c>
      <c r="BQ14" s="3">
        <v>0.2050974401</v>
      </c>
      <c r="BR14" s="3">
        <v>0.16697039329999999</v>
      </c>
      <c r="BS14" s="3">
        <v>0.13926163699999999</v>
      </c>
      <c r="BT14" s="3">
        <v>0.11758148879999999</v>
      </c>
      <c r="BU14" s="3">
        <v>0.10382082519999999</v>
      </c>
      <c r="BV14" s="3">
        <v>9.0612807099999998E-2</v>
      </c>
      <c r="BW14" s="3">
        <v>8.30050643E-2</v>
      </c>
      <c r="BX14" s="3">
        <v>7.3706925600000001E-2</v>
      </c>
    </row>
    <row r="15" spans="1:76" x14ac:dyDescent="0.25">
      <c r="A15" t="s">
        <v>173</v>
      </c>
      <c r="B15" s="1">
        <v>331002651</v>
      </c>
      <c r="C15">
        <v>9147420</v>
      </c>
      <c r="D15">
        <v>161807</v>
      </c>
      <c r="E15" s="2">
        <v>48.883898516000002</v>
      </c>
      <c r="Y15" s="3">
        <v>0</v>
      </c>
      <c r="Z15" s="3">
        <v>0</v>
      </c>
      <c r="AA15" s="3">
        <v>7.4911602000000002E-3</v>
      </c>
      <c r="AB15" s="3">
        <v>1.4818851399999999E-2</v>
      </c>
      <c r="AC15" s="3">
        <v>2.90155699E-2</v>
      </c>
      <c r="AD15" s="3">
        <v>3.5899000899999998E-2</v>
      </c>
      <c r="AE15" s="3">
        <v>3.4895318799999998E-2</v>
      </c>
      <c r="AF15" s="3">
        <v>2.74226617E-2</v>
      </c>
      <c r="AG15" s="3">
        <v>1.32479196E-2</v>
      </c>
      <c r="AH15" s="3">
        <v>6.5150025000000004E-3</v>
      </c>
      <c r="AI15" s="3">
        <v>0</v>
      </c>
      <c r="AJ15" s="3">
        <v>0</v>
      </c>
      <c r="AK15" s="3">
        <v>1.25810895E-2</v>
      </c>
      <c r="AL15" s="3">
        <v>2.4709971000000001E-2</v>
      </c>
      <c r="AM15" s="3">
        <v>3.64228438E-2</v>
      </c>
      <c r="AN15" s="3">
        <v>0.20048048060000001</v>
      </c>
      <c r="AO15" s="3">
        <v>0.29972209300000002</v>
      </c>
      <c r="AP15" s="3">
        <v>0.38669888769999999</v>
      </c>
      <c r="AQ15" s="3">
        <v>0.38587446720000002</v>
      </c>
      <c r="AR15" s="3">
        <v>0.21237858749999999</v>
      </c>
      <c r="AS15" s="3">
        <v>0.1228759254</v>
      </c>
      <c r="AT15" s="3">
        <v>6.1667593999999999E-2</v>
      </c>
      <c r="AU15" s="3">
        <v>9.6543306999999995E-2</v>
      </c>
      <c r="AV15" s="3">
        <v>0.13459270609999999</v>
      </c>
      <c r="AW15" s="3">
        <v>0.18357281119999999</v>
      </c>
      <c r="AX15" s="3">
        <v>0.24415216049999999</v>
      </c>
      <c r="AY15" s="3">
        <v>0.27185353239999999</v>
      </c>
      <c r="AZ15" s="3">
        <v>0.32021443710000003</v>
      </c>
      <c r="BA15" s="3">
        <v>0.34147058149999998</v>
      </c>
      <c r="BB15" s="3">
        <v>0.32748127789999998</v>
      </c>
      <c r="BC15" s="3">
        <v>0.34578875190000002</v>
      </c>
      <c r="BD15" s="3">
        <v>0.33793107989999999</v>
      </c>
      <c r="BE15" s="3">
        <v>0.34801668810000003</v>
      </c>
      <c r="BF15" s="3">
        <v>0.35875559000000001</v>
      </c>
      <c r="BG15" s="3">
        <v>0.33631243700000002</v>
      </c>
      <c r="BH15" s="3">
        <v>0.3135805519</v>
      </c>
      <c r="BI15" s="3">
        <v>0.29148040590000002</v>
      </c>
      <c r="BJ15" s="3">
        <v>0.29822384740000002</v>
      </c>
      <c r="BK15" s="3">
        <v>0.30128479419999998</v>
      </c>
      <c r="BL15" s="3">
        <v>0.34956142810000002</v>
      </c>
      <c r="BM15" s="3">
        <v>0.39023118849999999</v>
      </c>
      <c r="BN15" s="3">
        <v>0.41456572079999998</v>
      </c>
      <c r="BO15" s="3">
        <v>0.42589780849999997</v>
      </c>
      <c r="BP15" s="3">
        <v>0.38507232419999998</v>
      </c>
      <c r="BQ15" s="3">
        <v>0.3402312233</v>
      </c>
      <c r="BR15" s="3">
        <v>0.29400499619999998</v>
      </c>
      <c r="BS15" s="3">
        <v>0.27124017049999999</v>
      </c>
      <c r="BT15" s="3">
        <v>0.25093877349999999</v>
      </c>
      <c r="BU15" s="3">
        <v>0.23757098639999999</v>
      </c>
      <c r="BV15" s="3">
        <v>0.221776747</v>
      </c>
      <c r="BW15" s="3">
        <v>0.20177195079999999</v>
      </c>
      <c r="BX15" s="3">
        <v>0.1484959471</v>
      </c>
    </row>
    <row r="16" spans="1:76" x14ac:dyDescent="0.25">
      <c r="A16" t="s">
        <v>186</v>
      </c>
      <c r="B16" s="1">
        <v>67886011</v>
      </c>
      <c r="C16">
        <v>241930</v>
      </c>
      <c r="D16">
        <v>22141</v>
      </c>
      <c r="E16" s="2">
        <v>32.614966874399997</v>
      </c>
      <c r="AT16" s="3">
        <v>0.1930004873</v>
      </c>
      <c r="AU16" s="3">
        <v>0.24655898809999999</v>
      </c>
      <c r="AV16" s="3">
        <v>0.2753829914</v>
      </c>
      <c r="AW16" s="3">
        <v>0.3198396423</v>
      </c>
      <c r="AX16" s="3">
        <v>0.3350934263</v>
      </c>
      <c r="AY16" s="3">
        <v>0.38378257519999998</v>
      </c>
      <c r="AZ16" s="3">
        <v>0.39720589779999999</v>
      </c>
      <c r="BA16" s="3">
        <v>0.38199219420000002</v>
      </c>
      <c r="BB16" s="3">
        <v>0.33614646300000001</v>
      </c>
      <c r="BC16" s="3">
        <v>0.28051832589999998</v>
      </c>
      <c r="BD16" s="3">
        <v>0.2439688877</v>
      </c>
      <c r="BE16" s="3">
        <v>0.1915158176</v>
      </c>
      <c r="BF16" s="3">
        <v>0.20913983959999999</v>
      </c>
      <c r="BG16" s="3">
        <v>0.25146463689999998</v>
      </c>
      <c r="BH16" s="3">
        <v>0.27657488180000001</v>
      </c>
      <c r="BI16" s="3">
        <v>0.31104471880000001</v>
      </c>
      <c r="BJ16" s="3">
        <v>0.28297013640000002</v>
      </c>
      <c r="BK16" s="3">
        <v>0.2644133622</v>
      </c>
      <c r="BL16" s="3">
        <v>0.23948635679999999</v>
      </c>
      <c r="BM16" s="3">
        <v>0.24880983670000001</v>
      </c>
      <c r="BN16" s="3">
        <v>0.26034096600000001</v>
      </c>
      <c r="BO16" s="3">
        <v>0.2446320515</v>
      </c>
      <c r="BP16" s="3">
        <v>0.24314624579999999</v>
      </c>
      <c r="BQ16" s="3">
        <v>0.2172039855</v>
      </c>
      <c r="BR16" s="3">
        <v>0.2001932176</v>
      </c>
      <c r="BS16" s="3">
        <v>0.18815288829999999</v>
      </c>
      <c r="BT16" s="3">
        <v>0.19791809899999999</v>
      </c>
      <c r="BU16" s="3">
        <v>0.20680234459999999</v>
      </c>
      <c r="BV16" s="3">
        <v>0.2050778496</v>
      </c>
      <c r="BW16" s="3">
        <v>0.1903433273</v>
      </c>
      <c r="BX16" s="3">
        <v>0.13415633639999999</v>
      </c>
    </row>
  </sheetData>
  <autoFilter ref="A1:BX16" xr:uid="{D5889F67-747F-48AB-AC40-2BBB67C83264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336E4-5261-4DDA-8CB4-55BC73764776}">
  <dimension ref="A1:BW16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5" width="11.42578125" style="1"/>
  </cols>
  <sheetData>
    <row r="1" spans="1:75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  <c r="BS1" s="1" t="s">
        <v>187</v>
      </c>
      <c r="BT1" s="1" t="s">
        <v>190</v>
      </c>
      <c r="BU1" s="1" t="s">
        <v>189</v>
      </c>
      <c r="BV1" s="1" t="s">
        <v>193</v>
      </c>
      <c r="BW1" s="1" t="s">
        <v>195</v>
      </c>
    </row>
    <row r="2" spans="1:75" x14ac:dyDescent="0.25">
      <c r="A2" t="s">
        <v>185</v>
      </c>
      <c r="B2" s="1">
        <v>9006398</v>
      </c>
      <c r="C2">
        <v>82409</v>
      </c>
      <c r="D2">
        <v>9618</v>
      </c>
      <c r="E2" s="2">
        <v>106.7907503088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</row>
    <row r="3" spans="1:75" x14ac:dyDescent="0.25">
      <c r="A3" t="s">
        <v>184</v>
      </c>
      <c r="B3" s="1">
        <v>11589623</v>
      </c>
      <c r="C3">
        <v>30280</v>
      </c>
      <c r="D3">
        <v>11899</v>
      </c>
      <c r="E3" s="2">
        <v>102.6694310937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</row>
    <row r="4" spans="1:75" x14ac:dyDescent="0.25">
      <c r="A4" t="s">
        <v>183</v>
      </c>
      <c r="B4" s="1">
        <v>37742154</v>
      </c>
      <c r="C4">
        <v>9093510</v>
      </c>
      <c r="D4">
        <v>7385</v>
      </c>
      <c r="E4" s="2">
        <v>19.566980729299999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</row>
    <row r="5" spans="1:75" x14ac:dyDescent="0.25">
      <c r="A5" t="s">
        <v>182</v>
      </c>
      <c r="B5" s="1">
        <v>1439323776</v>
      </c>
      <c r="C5">
        <v>9388211</v>
      </c>
      <c r="D5">
        <v>82198</v>
      </c>
      <c r="E5" s="2">
        <v>5.7108762719000001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</row>
    <row r="6" spans="1:75" x14ac:dyDescent="0.25">
      <c r="A6" t="s">
        <v>181</v>
      </c>
      <c r="B6" s="1">
        <v>65273511</v>
      </c>
      <c r="C6">
        <v>547557</v>
      </c>
      <c r="D6">
        <v>44550</v>
      </c>
      <c r="E6" s="2">
        <v>68.251269645999997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</row>
    <row r="7" spans="1:75" x14ac:dyDescent="0.25">
      <c r="A7" t="s">
        <v>180</v>
      </c>
      <c r="B7" s="1">
        <v>83783942</v>
      </c>
      <c r="C7">
        <v>348560</v>
      </c>
      <c r="D7">
        <v>66885</v>
      </c>
      <c r="E7" s="2">
        <v>79.830333120399999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</row>
    <row r="8" spans="1:75" x14ac:dyDescent="0.25">
      <c r="A8" t="s">
        <v>179</v>
      </c>
      <c r="B8" s="1">
        <v>1380004385</v>
      </c>
      <c r="C8">
        <v>2973190</v>
      </c>
      <c r="D8">
        <v>1251</v>
      </c>
      <c r="E8" s="2">
        <v>9.0651885900000007E-2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</row>
    <row r="9" spans="1:75" x14ac:dyDescent="0.25">
      <c r="A9" t="s">
        <v>178</v>
      </c>
      <c r="B9" s="1">
        <v>60461826</v>
      </c>
      <c r="C9">
        <v>294140</v>
      </c>
      <c r="D9">
        <v>101739</v>
      </c>
      <c r="E9" s="2">
        <v>168.26981044199999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</row>
    <row r="10" spans="1:75" x14ac:dyDescent="0.25">
      <c r="A10" t="s">
        <v>177</v>
      </c>
      <c r="B10" s="1">
        <v>51269185</v>
      </c>
      <c r="C10">
        <v>97230</v>
      </c>
      <c r="D10">
        <v>9661</v>
      </c>
      <c r="E10" s="2">
        <v>18.8436777374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</row>
    <row r="11" spans="1:75" x14ac:dyDescent="0.25">
      <c r="A11" t="s">
        <v>176</v>
      </c>
      <c r="B11" s="1">
        <v>145934462</v>
      </c>
      <c r="C11">
        <v>16376870</v>
      </c>
      <c r="D11">
        <v>1836</v>
      </c>
      <c r="E11" s="2">
        <v>1.2580989951999999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</row>
    <row r="12" spans="1:75" x14ac:dyDescent="0.25">
      <c r="A12" t="s">
        <v>175</v>
      </c>
      <c r="B12" s="1">
        <v>46754778</v>
      </c>
      <c r="C12">
        <v>498800</v>
      </c>
      <c r="D12">
        <v>87956</v>
      </c>
      <c r="E12" s="2">
        <v>188.12194980370001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</row>
    <row r="13" spans="1:75" x14ac:dyDescent="0.25">
      <c r="A13" t="s">
        <v>174</v>
      </c>
      <c r="B13" s="1">
        <v>10099265</v>
      </c>
      <c r="C13">
        <v>410340</v>
      </c>
      <c r="D13">
        <v>4028</v>
      </c>
      <c r="E13" s="2">
        <v>39.8840905749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</row>
    <row r="14" spans="1:75" x14ac:dyDescent="0.25">
      <c r="A14" t="s">
        <v>0</v>
      </c>
      <c r="B14" s="1">
        <v>8654622</v>
      </c>
      <c r="C14">
        <v>39516</v>
      </c>
      <c r="D14">
        <v>15922</v>
      </c>
      <c r="E14" s="2">
        <v>183.97106193659999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</row>
    <row r="15" spans="1:75" x14ac:dyDescent="0.25">
      <c r="A15" t="s">
        <v>173</v>
      </c>
      <c r="B15" s="1">
        <v>331002651</v>
      </c>
      <c r="C15">
        <v>9147420</v>
      </c>
      <c r="D15">
        <v>161807</v>
      </c>
      <c r="E15" s="2">
        <v>48.883898516000002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</row>
    <row r="16" spans="1:75" x14ac:dyDescent="0.25">
      <c r="A16" t="s">
        <v>186</v>
      </c>
      <c r="B16" s="1">
        <v>67886011</v>
      </c>
      <c r="C16">
        <v>241930</v>
      </c>
      <c r="D16">
        <v>22141</v>
      </c>
      <c r="E16" s="2">
        <v>32.614966874399997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</row>
  </sheetData>
  <autoFilter ref="A1:BW16" xr:uid="{26B0E704-0CCA-4D31-B3A4-E8D4AFC25591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523A2-4236-4B03-8C1B-75E877279FB1}">
  <dimension ref="A1:BW16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5" width="11.42578125" style="1"/>
  </cols>
  <sheetData>
    <row r="1" spans="1:75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  <c r="BS1" s="1" t="s">
        <v>187</v>
      </c>
      <c r="BT1" s="1" t="s">
        <v>190</v>
      </c>
      <c r="BU1" s="1" t="s">
        <v>189</v>
      </c>
      <c r="BV1" s="1" t="s">
        <v>193</v>
      </c>
      <c r="BW1" s="1" t="s">
        <v>195</v>
      </c>
    </row>
    <row r="2" spans="1:75" x14ac:dyDescent="0.25">
      <c r="A2" t="s">
        <v>185</v>
      </c>
      <c r="B2" s="1">
        <v>9006398</v>
      </c>
      <c r="C2">
        <v>82409</v>
      </c>
      <c r="D2">
        <v>9618</v>
      </c>
      <c r="E2" s="2">
        <v>106.7907503088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2</v>
      </c>
      <c r="BD2" s="1">
        <v>2</v>
      </c>
      <c r="BE2" s="1">
        <v>2</v>
      </c>
      <c r="BF2" s="1">
        <v>2</v>
      </c>
      <c r="BG2" s="1">
        <v>8</v>
      </c>
      <c r="BH2" s="1">
        <v>13</v>
      </c>
      <c r="BI2" s="1">
        <v>15</v>
      </c>
      <c r="BJ2" s="1">
        <v>18</v>
      </c>
      <c r="BK2" s="1">
        <v>25</v>
      </c>
      <c r="BL2" s="1">
        <v>35</v>
      </c>
      <c r="BM2" s="1">
        <v>49</v>
      </c>
      <c r="BN2" s="1">
        <v>71</v>
      </c>
      <c r="BO2" s="1">
        <v>88</v>
      </c>
      <c r="BP2" s="1">
        <v>110</v>
      </c>
      <c r="BQ2" s="1">
        <v>154</v>
      </c>
      <c r="BR2" s="1">
        <v>216</v>
      </c>
      <c r="BS2" s="1">
        <v>253</v>
      </c>
      <c r="BT2" s="1">
        <v>446</v>
      </c>
      <c r="BU2" s="1">
        <v>587</v>
      </c>
      <c r="BV2" s="1">
        <v>774</v>
      </c>
      <c r="BW2" s="1">
        <v>910</v>
      </c>
    </row>
    <row r="3" spans="1:75" x14ac:dyDescent="0.25">
      <c r="A3" t="s">
        <v>184</v>
      </c>
      <c r="B3" s="1">
        <v>11589623</v>
      </c>
      <c r="C3">
        <v>30280</v>
      </c>
      <c r="D3">
        <v>11899</v>
      </c>
      <c r="E3" s="2">
        <v>102.6694310937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1</v>
      </c>
      <c r="AI3" s="1">
        <v>1</v>
      </c>
      <c r="AJ3" s="1">
        <v>1</v>
      </c>
      <c r="AK3" s="1">
        <v>1</v>
      </c>
      <c r="AL3" s="1">
        <v>1</v>
      </c>
      <c r="AM3" s="1">
        <v>1</v>
      </c>
      <c r="AN3" s="1">
        <v>1</v>
      </c>
      <c r="AO3" s="1">
        <v>1</v>
      </c>
      <c r="AP3" s="1">
        <v>1</v>
      </c>
      <c r="AQ3" s="1">
        <v>1</v>
      </c>
      <c r="AR3" s="1">
        <v>1</v>
      </c>
      <c r="AS3" s="1">
        <v>1</v>
      </c>
      <c r="AT3" s="1">
        <v>1</v>
      </c>
      <c r="AU3" s="1">
        <v>1</v>
      </c>
      <c r="AV3" s="1">
        <v>1</v>
      </c>
      <c r="AW3" s="1">
        <v>1</v>
      </c>
      <c r="AX3" s="1">
        <v>1</v>
      </c>
      <c r="AY3" s="1">
        <v>1</v>
      </c>
      <c r="AZ3" s="1">
        <v>1</v>
      </c>
      <c r="BA3" s="1">
        <v>1</v>
      </c>
      <c r="BB3" s="1">
        <v>1</v>
      </c>
      <c r="BC3" s="1">
        <v>1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3</v>
      </c>
      <c r="BJ3" s="1">
        <v>3</v>
      </c>
      <c r="BK3" s="1">
        <v>9</v>
      </c>
      <c r="BL3" s="1">
        <v>29</v>
      </c>
      <c r="BM3" s="1">
        <v>72</v>
      </c>
      <c r="BN3" s="1">
        <v>102</v>
      </c>
      <c r="BO3" s="1">
        <v>125</v>
      </c>
      <c r="BP3" s="1">
        <v>151</v>
      </c>
      <c r="BQ3" s="1">
        <v>145</v>
      </c>
      <c r="BR3" s="1">
        <v>136</v>
      </c>
      <c r="BS3" s="1">
        <v>94</v>
      </c>
      <c r="BT3" s="1">
        <v>270</v>
      </c>
      <c r="BU3" s="1">
        <v>336</v>
      </c>
      <c r="BV3" s="1">
        <v>455</v>
      </c>
      <c r="BW3" s="1">
        <v>545</v>
      </c>
    </row>
    <row r="4" spans="1:75" x14ac:dyDescent="0.25">
      <c r="A4" t="s">
        <v>183</v>
      </c>
      <c r="B4" s="1">
        <v>37742154</v>
      </c>
      <c r="C4">
        <v>9093510</v>
      </c>
      <c r="D4">
        <v>7385</v>
      </c>
      <c r="E4" s="2">
        <v>19.566980729299999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1</v>
      </c>
      <c r="Z4" s="1">
        <v>1</v>
      </c>
      <c r="AA4" s="1">
        <v>2</v>
      </c>
      <c r="AB4" s="1">
        <v>2</v>
      </c>
      <c r="AC4" s="1">
        <v>2</v>
      </c>
      <c r="AD4" s="1">
        <v>4</v>
      </c>
      <c r="AE4" s="1">
        <v>4</v>
      </c>
      <c r="AF4" s="1">
        <v>4</v>
      </c>
      <c r="AG4" s="1">
        <v>4</v>
      </c>
      <c r="AH4" s="1">
        <v>4</v>
      </c>
      <c r="AI4" s="1">
        <v>5</v>
      </c>
      <c r="AJ4" s="1">
        <v>5</v>
      </c>
      <c r="AK4" s="1">
        <v>7</v>
      </c>
      <c r="AL4" s="1">
        <v>7</v>
      </c>
      <c r="AM4" s="1">
        <v>7</v>
      </c>
      <c r="AN4" s="1">
        <v>7</v>
      </c>
      <c r="AO4" s="1">
        <v>7</v>
      </c>
      <c r="AP4" s="1">
        <v>7</v>
      </c>
      <c r="AQ4" s="1">
        <v>7</v>
      </c>
      <c r="AR4" s="1">
        <v>7</v>
      </c>
      <c r="AS4" s="1">
        <v>7</v>
      </c>
      <c r="AT4" s="1">
        <v>7</v>
      </c>
      <c r="AU4" s="1">
        <v>8</v>
      </c>
      <c r="AV4" s="1">
        <v>8</v>
      </c>
      <c r="AW4" s="1">
        <v>8</v>
      </c>
      <c r="AX4" s="1">
        <v>8</v>
      </c>
      <c r="AY4" s="1">
        <v>9</v>
      </c>
      <c r="AZ4" s="1">
        <v>9</v>
      </c>
      <c r="BA4" s="1">
        <v>9</v>
      </c>
      <c r="BB4" s="1">
        <v>9</v>
      </c>
      <c r="BC4" s="1">
        <v>10</v>
      </c>
      <c r="BD4" s="1">
        <v>10</v>
      </c>
      <c r="BE4" s="1">
        <v>12</v>
      </c>
      <c r="BF4" s="1">
        <v>13</v>
      </c>
      <c r="BG4" s="1">
        <v>19</v>
      </c>
      <c r="BH4" s="1">
        <v>23</v>
      </c>
      <c r="BI4" s="1">
        <v>23</v>
      </c>
      <c r="BJ4" s="1">
        <v>25</v>
      </c>
      <c r="BK4" s="1">
        <v>25</v>
      </c>
      <c r="BL4" s="1">
        <v>28</v>
      </c>
      <c r="BM4" s="1">
        <v>37</v>
      </c>
      <c r="BN4" s="1">
        <v>35</v>
      </c>
      <c r="BO4" s="1">
        <v>44</v>
      </c>
      <c r="BP4" s="1">
        <v>53</v>
      </c>
      <c r="BQ4" s="1">
        <v>54</v>
      </c>
      <c r="BR4" s="1">
        <v>79</v>
      </c>
      <c r="BS4" s="1">
        <v>80</v>
      </c>
      <c r="BT4" s="1">
        <v>138</v>
      </c>
      <c r="BU4" s="1">
        <v>136</v>
      </c>
      <c r="BV4" s="1">
        <v>187</v>
      </c>
      <c r="BW4" s="1">
        <v>334</v>
      </c>
    </row>
    <row r="5" spans="1:75" x14ac:dyDescent="0.25">
      <c r="A5" t="s">
        <v>182</v>
      </c>
      <c r="B5" s="1">
        <v>1439323776</v>
      </c>
      <c r="C5">
        <v>9388211</v>
      </c>
      <c r="D5">
        <v>82198</v>
      </c>
      <c r="E5" s="2">
        <v>5.7108762719000001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10</v>
      </c>
      <c r="W5" s="1">
        <v>202</v>
      </c>
      <c r="X5" s="1">
        <v>601</v>
      </c>
      <c r="Y5" s="1">
        <v>1170</v>
      </c>
      <c r="Z5" s="1">
        <v>1865</v>
      </c>
      <c r="AA5" s="1">
        <v>4397</v>
      </c>
      <c r="AB5" s="1">
        <v>4970</v>
      </c>
      <c r="AC5" s="1">
        <v>6772</v>
      </c>
      <c r="AD5" s="1">
        <v>8281</v>
      </c>
      <c r="AE5" s="1">
        <v>10228</v>
      </c>
      <c r="AF5" s="1">
        <v>14864</v>
      </c>
      <c r="AG5" s="1">
        <v>17852</v>
      </c>
      <c r="AH5" s="1">
        <v>21704</v>
      </c>
      <c r="AI5" s="1">
        <v>25324</v>
      </c>
      <c r="AJ5" s="1">
        <v>28349</v>
      </c>
      <c r="AK5" s="1">
        <v>31872</v>
      </c>
      <c r="AL5" s="1">
        <v>34371</v>
      </c>
      <c r="AM5" s="1">
        <v>37384</v>
      </c>
      <c r="AN5" s="1">
        <v>39759</v>
      </c>
      <c r="AO5" s="1">
        <v>41721</v>
      </c>
      <c r="AP5" s="1">
        <v>42042</v>
      </c>
      <c r="AQ5" s="1">
        <v>57149</v>
      </c>
      <c r="AR5" s="1">
        <v>63568</v>
      </c>
      <c r="AS5" s="1">
        <v>65576</v>
      </c>
      <c r="AT5" s="1">
        <v>67641</v>
      </c>
      <c r="AU5" s="1">
        <v>69520</v>
      </c>
      <c r="AV5" s="1">
        <v>71264</v>
      </c>
      <c r="AW5" s="1">
        <v>71636</v>
      </c>
      <c r="AX5" s="1">
        <v>72062</v>
      </c>
      <c r="AY5" s="1">
        <v>72506</v>
      </c>
      <c r="AZ5" s="1">
        <v>73929</v>
      </c>
      <c r="BA5" s="1">
        <v>73922</v>
      </c>
      <c r="BB5" s="1">
        <v>74118</v>
      </c>
      <c r="BC5" s="1">
        <v>74615</v>
      </c>
      <c r="BD5" s="1">
        <v>75005</v>
      </c>
      <c r="BE5" s="1">
        <v>75428</v>
      </c>
      <c r="BF5" s="1">
        <v>75748</v>
      </c>
      <c r="BG5" s="1">
        <v>76163</v>
      </c>
      <c r="BH5" s="1">
        <v>76729</v>
      </c>
      <c r="BI5" s="1">
        <v>76919</v>
      </c>
      <c r="BJ5" s="1">
        <v>77031</v>
      </c>
      <c r="BK5" s="1">
        <v>77145</v>
      </c>
      <c r="BL5" s="1">
        <v>77288</v>
      </c>
      <c r="BM5" s="1">
        <v>77437</v>
      </c>
      <c r="BN5" s="1">
        <v>77511</v>
      </c>
      <c r="BO5" s="1">
        <v>77549</v>
      </c>
      <c r="BP5" s="1">
        <v>77586</v>
      </c>
      <c r="BQ5" s="1">
        <v>77606</v>
      </c>
      <c r="BR5" s="1">
        <v>77636</v>
      </c>
      <c r="BS5" s="1">
        <v>77641</v>
      </c>
      <c r="BT5" s="1">
        <v>77649</v>
      </c>
      <c r="BU5" s="1">
        <v>77678</v>
      </c>
      <c r="BV5" s="1">
        <v>77699</v>
      </c>
      <c r="BW5" s="1">
        <v>77725</v>
      </c>
    </row>
    <row r="6" spans="1:75" x14ac:dyDescent="0.25">
      <c r="A6" t="s">
        <v>181</v>
      </c>
      <c r="B6" s="1">
        <v>65273511</v>
      </c>
      <c r="C6">
        <v>547557</v>
      </c>
      <c r="D6">
        <v>44550</v>
      </c>
      <c r="E6" s="2">
        <v>68.251269645999997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2</v>
      </c>
      <c r="X6" s="1">
        <v>3</v>
      </c>
      <c r="Y6" s="1">
        <v>3</v>
      </c>
      <c r="Z6" s="1">
        <v>3</v>
      </c>
      <c r="AA6" s="1">
        <v>4</v>
      </c>
      <c r="AB6" s="1">
        <v>5</v>
      </c>
      <c r="AC6" s="1">
        <v>5</v>
      </c>
      <c r="AD6" s="1">
        <v>5</v>
      </c>
      <c r="AE6" s="1">
        <v>5</v>
      </c>
      <c r="AF6" s="1">
        <v>5</v>
      </c>
      <c r="AG6" s="1">
        <v>5</v>
      </c>
      <c r="AH6" s="1">
        <v>5</v>
      </c>
      <c r="AI6" s="1">
        <v>5</v>
      </c>
      <c r="AJ6" s="1">
        <v>5</v>
      </c>
      <c r="AK6" s="1">
        <v>5</v>
      </c>
      <c r="AL6" s="1">
        <v>10</v>
      </c>
      <c r="AM6" s="1">
        <v>10</v>
      </c>
      <c r="AN6" s="1">
        <v>10</v>
      </c>
      <c r="AO6" s="1">
        <v>10</v>
      </c>
      <c r="AP6" s="1">
        <v>9</v>
      </c>
      <c r="AQ6" s="1">
        <v>9</v>
      </c>
      <c r="AR6" s="1">
        <v>9</v>
      </c>
      <c r="AS6" s="1">
        <v>10</v>
      </c>
      <c r="AT6" s="1">
        <v>10</v>
      </c>
      <c r="AU6" s="1">
        <v>9</v>
      </c>
      <c r="AV6" s="1">
        <v>8</v>
      </c>
      <c r="AW6" s="1">
        <v>8</v>
      </c>
      <c r="AX6" s="1">
        <v>6</v>
      </c>
      <c r="AY6" s="1">
        <v>3</v>
      </c>
      <c r="AZ6" s="1">
        <v>1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9</v>
      </c>
      <c r="BH6" s="1">
        <v>39</v>
      </c>
      <c r="BI6" s="1">
        <v>43</v>
      </c>
      <c r="BJ6" s="1">
        <v>56</v>
      </c>
      <c r="BK6" s="1">
        <v>137</v>
      </c>
      <c r="BL6" s="1">
        <v>134</v>
      </c>
      <c r="BM6" s="1">
        <v>203</v>
      </c>
      <c r="BN6" s="1">
        <v>387</v>
      </c>
      <c r="BO6" s="1">
        <v>452</v>
      </c>
      <c r="BP6" s="1">
        <v>349</v>
      </c>
      <c r="BQ6" s="1">
        <v>684</v>
      </c>
      <c r="BR6" s="1">
        <v>950</v>
      </c>
      <c r="BS6" s="1">
        <v>585</v>
      </c>
      <c r="BT6" s="1">
        <v>1666</v>
      </c>
      <c r="BU6" s="1">
        <v>2155</v>
      </c>
      <c r="BV6" s="1">
        <v>1893</v>
      </c>
      <c r="BW6" s="1">
        <v>3609</v>
      </c>
    </row>
    <row r="7" spans="1:75" x14ac:dyDescent="0.25">
      <c r="A7" t="s">
        <v>180</v>
      </c>
      <c r="B7" s="1">
        <v>83783942</v>
      </c>
      <c r="C7">
        <v>348560</v>
      </c>
      <c r="D7">
        <v>66885</v>
      </c>
      <c r="E7" s="2">
        <v>79.830333120399999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1</v>
      </c>
      <c r="AA7" s="1">
        <v>4</v>
      </c>
      <c r="AB7" s="1">
        <v>4</v>
      </c>
      <c r="AC7" s="1">
        <v>4</v>
      </c>
      <c r="AD7" s="1">
        <v>5</v>
      </c>
      <c r="AE7" s="1">
        <v>8</v>
      </c>
      <c r="AF7" s="1">
        <v>10</v>
      </c>
      <c r="AG7" s="1">
        <v>12</v>
      </c>
      <c r="AH7" s="1">
        <v>12</v>
      </c>
      <c r="AI7" s="1">
        <v>12</v>
      </c>
      <c r="AJ7" s="1">
        <v>12</v>
      </c>
      <c r="AK7" s="1">
        <v>13</v>
      </c>
      <c r="AL7" s="1">
        <v>13</v>
      </c>
      <c r="AM7" s="1">
        <v>14</v>
      </c>
      <c r="AN7" s="1">
        <v>14</v>
      </c>
      <c r="AO7" s="1">
        <v>16</v>
      </c>
      <c r="AP7" s="1">
        <v>16</v>
      </c>
      <c r="AQ7" s="1">
        <v>16</v>
      </c>
      <c r="AR7" s="1">
        <v>16</v>
      </c>
      <c r="AS7" s="1">
        <v>16</v>
      </c>
      <c r="AT7" s="1">
        <v>16</v>
      </c>
      <c r="AU7" s="1">
        <v>16</v>
      </c>
      <c r="AV7" s="1">
        <v>16</v>
      </c>
      <c r="AW7" s="1">
        <v>16</v>
      </c>
      <c r="AX7" s="1">
        <v>16</v>
      </c>
      <c r="AY7" s="1">
        <v>16</v>
      </c>
      <c r="AZ7" s="1">
        <v>16</v>
      </c>
      <c r="BA7" s="1">
        <v>16</v>
      </c>
      <c r="BB7" s="1">
        <v>14</v>
      </c>
      <c r="BC7" s="1">
        <v>15</v>
      </c>
      <c r="BD7" s="1">
        <v>24</v>
      </c>
      <c r="BE7" s="1">
        <v>43</v>
      </c>
      <c r="BF7" s="1">
        <v>41</v>
      </c>
      <c r="BG7" s="1">
        <v>70</v>
      </c>
      <c r="BH7" s="1">
        <v>119</v>
      </c>
      <c r="BI7" s="1">
        <v>142</v>
      </c>
      <c r="BJ7" s="1">
        <v>172</v>
      </c>
      <c r="BK7" s="1">
        <v>234</v>
      </c>
      <c r="BL7" s="1">
        <v>438</v>
      </c>
      <c r="BM7" s="1">
        <v>603</v>
      </c>
      <c r="BN7" s="1">
        <v>715</v>
      </c>
      <c r="BO7" s="1">
        <v>946</v>
      </c>
      <c r="BP7" s="1">
        <v>1053</v>
      </c>
      <c r="BQ7" s="1">
        <v>1300</v>
      </c>
      <c r="BR7" s="1">
        <v>1702</v>
      </c>
      <c r="BS7" s="1">
        <v>1811</v>
      </c>
      <c r="BT7" s="1">
        <v>3333</v>
      </c>
      <c r="BU7" s="1">
        <v>4152</v>
      </c>
      <c r="BV7" s="1">
        <v>5262</v>
      </c>
      <c r="BW7" s="1">
        <v>6627</v>
      </c>
    </row>
    <row r="8" spans="1:75" x14ac:dyDescent="0.25">
      <c r="A8" t="s">
        <v>179</v>
      </c>
      <c r="B8" s="1">
        <v>1380004385</v>
      </c>
      <c r="C8">
        <v>2973190</v>
      </c>
      <c r="D8">
        <v>1251</v>
      </c>
      <c r="E8" s="2">
        <v>9.0651885900000007E-2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1</v>
      </c>
      <c r="AD8" s="1">
        <v>1</v>
      </c>
      <c r="AE8" s="1">
        <v>1</v>
      </c>
      <c r="AF8" s="1">
        <v>2</v>
      </c>
      <c r="AG8" s="1">
        <v>3</v>
      </c>
      <c r="AH8" s="1">
        <v>3</v>
      </c>
      <c r="AI8" s="1">
        <v>3</v>
      </c>
      <c r="AJ8" s="1">
        <v>3</v>
      </c>
      <c r="AK8" s="1">
        <v>3</v>
      </c>
      <c r="AL8" s="1">
        <v>3</v>
      </c>
      <c r="AM8" s="1">
        <v>3</v>
      </c>
      <c r="AN8" s="1">
        <v>3</v>
      </c>
      <c r="AO8" s="1">
        <v>3</v>
      </c>
      <c r="AP8" s="1">
        <v>3</v>
      </c>
      <c r="AQ8" s="1">
        <v>3</v>
      </c>
      <c r="AR8" s="1">
        <v>3</v>
      </c>
      <c r="AS8" s="1">
        <v>3</v>
      </c>
      <c r="AT8" s="1">
        <v>3</v>
      </c>
      <c r="AU8" s="1">
        <v>3</v>
      </c>
      <c r="AV8" s="1">
        <v>3</v>
      </c>
      <c r="AW8" s="1">
        <v>3</v>
      </c>
      <c r="AX8" s="1">
        <v>3</v>
      </c>
      <c r="AY8" s="1">
        <v>3</v>
      </c>
      <c r="AZ8" s="1">
        <v>3</v>
      </c>
      <c r="BA8" s="1">
        <v>3</v>
      </c>
      <c r="BB8" s="1">
        <v>3</v>
      </c>
      <c r="BC8" s="1">
        <v>3</v>
      </c>
      <c r="BD8" s="1">
        <v>2</v>
      </c>
      <c r="BE8" s="1">
        <v>2</v>
      </c>
      <c r="BF8" s="1">
        <v>1</v>
      </c>
      <c r="BG8" s="1">
        <v>1</v>
      </c>
      <c r="BH8" s="1">
        <v>1</v>
      </c>
      <c r="BI8" s="1">
        <v>3</v>
      </c>
      <c r="BJ8" s="1">
        <v>2</v>
      </c>
      <c r="BK8" s="1">
        <v>25</v>
      </c>
      <c r="BL8" s="1">
        <v>26</v>
      </c>
      <c r="BM8" s="1">
        <v>26</v>
      </c>
      <c r="BN8" s="1">
        <v>30</v>
      </c>
      <c r="BO8" s="1">
        <v>32</v>
      </c>
      <c r="BP8" s="1">
        <v>33</v>
      </c>
      <c r="BQ8" s="1">
        <v>46</v>
      </c>
      <c r="BR8" s="1">
        <v>50</v>
      </c>
      <c r="BS8" s="1">
        <v>53</v>
      </c>
      <c r="BT8" s="1">
        <v>62</v>
      </c>
      <c r="BU8" s="1">
        <v>78</v>
      </c>
      <c r="BV8" s="1">
        <v>86</v>
      </c>
      <c r="BW8" s="1">
        <v>87</v>
      </c>
    </row>
    <row r="9" spans="1:75" x14ac:dyDescent="0.25">
      <c r="A9" t="s">
        <v>178</v>
      </c>
      <c r="B9" s="1">
        <v>60461826</v>
      </c>
      <c r="C9">
        <v>294140</v>
      </c>
      <c r="D9">
        <v>101739</v>
      </c>
      <c r="E9" s="2">
        <v>168.26981044199999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2</v>
      </c>
      <c r="AE9" s="1">
        <v>2</v>
      </c>
      <c r="AF9" s="1">
        <v>2</v>
      </c>
      <c r="AG9" s="1">
        <v>2</v>
      </c>
      <c r="AH9" s="1">
        <v>2</v>
      </c>
      <c r="AI9" s="1">
        <v>2</v>
      </c>
      <c r="AJ9" s="1">
        <v>2</v>
      </c>
      <c r="AK9" s="1">
        <v>2</v>
      </c>
      <c r="AL9" s="1">
        <v>1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111</v>
      </c>
      <c r="BL9" s="1">
        <v>453</v>
      </c>
      <c r="BM9" s="1">
        <v>604</v>
      </c>
      <c r="BN9" s="1">
        <v>1058</v>
      </c>
      <c r="BO9" s="1">
        <v>1899</v>
      </c>
      <c r="BP9" s="1">
        <v>3095</v>
      </c>
      <c r="BQ9" s="1">
        <v>3329</v>
      </c>
      <c r="BR9" s="1">
        <v>4959</v>
      </c>
      <c r="BS9" s="1">
        <v>4247</v>
      </c>
      <c r="BT9" s="1">
        <v>8526</v>
      </c>
      <c r="BU9" s="1">
        <v>11134</v>
      </c>
      <c r="BV9" s="1">
        <v>13968</v>
      </c>
      <c r="BW9" s="1">
        <v>16389</v>
      </c>
    </row>
    <row r="10" spans="1:75" x14ac:dyDescent="0.25">
      <c r="A10" t="s">
        <v>177</v>
      </c>
      <c r="B10" s="1">
        <v>51269185</v>
      </c>
      <c r="C10">
        <v>97230</v>
      </c>
      <c r="D10">
        <v>9661</v>
      </c>
      <c r="E10" s="2">
        <v>18.8436777374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1</v>
      </c>
      <c r="V10" s="1">
        <v>1</v>
      </c>
      <c r="W10" s="1">
        <v>2</v>
      </c>
      <c r="X10" s="1">
        <v>2</v>
      </c>
      <c r="Y10" s="1">
        <v>3</v>
      </c>
      <c r="Z10" s="1">
        <v>4</v>
      </c>
      <c r="AA10" s="1">
        <v>4</v>
      </c>
      <c r="AB10" s="1">
        <v>4</v>
      </c>
      <c r="AC10" s="1">
        <v>4</v>
      </c>
      <c r="AD10" s="1">
        <v>11</v>
      </c>
      <c r="AE10" s="1">
        <v>12</v>
      </c>
      <c r="AF10" s="1">
        <v>15</v>
      </c>
      <c r="AG10" s="1">
        <v>15</v>
      </c>
      <c r="AH10" s="1">
        <v>16</v>
      </c>
      <c r="AI10" s="1">
        <v>19</v>
      </c>
      <c r="AJ10" s="1">
        <v>22</v>
      </c>
      <c r="AK10" s="1">
        <v>22</v>
      </c>
      <c r="AL10" s="1">
        <v>22</v>
      </c>
      <c r="AM10" s="1">
        <v>19</v>
      </c>
      <c r="AN10" s="1">
        <v>19</v>
      </c>
      <c r="AO10" s="1">
        <v>18</v>
      </c>
      <c r="AP10" s="1">
        <v>16</v>
      </c>
      <c r="AQ10" s="1">
        <v>15</v>
      </c>
      <c r="AR10" s="1">
        <v>15</v>
      </c>
      <c r="AS10" s="1">
        <v>12</v>
      </c>
      <c r="AT10" s="1">
        <v>12</v>
      </c>
      <c r="AU10" s="1">
        <v>2</v>
      </c>
      <c r="AV10" s="1">
        <v>3</v>
      </c>
      <c r="AW10" s="1">
        <v>0</v>
      </c>
      <c r="AX10" s="1">
        <v>69</v>
      </c>
      <c r="AY10" s="1">
        <v>162</v>
      </c>
      <c r="AZ10" s="1">
        <v>389</v>
      </c>
      <c r="BA10" s="1">
        <v>552</v>
      </c>
      <c r="BB10" s="1">
        <v>780</v>
      </c>
      <c r="BC10" s="1">
        <v>923</v>
      </c>
      <c r="BD10" s="1">
        <v>1201</v>
      </c>
      <c r="BE10" s="1">
        <v>1700</v>
      </c>
      <c r="BF10" s="1">
        <v>2271</v>
      </c>
      <c r="BG10" s="1">
        <v>3078</v>
      </c>
      <c r="BH10" s="1">
        <v>3661</v>
      </c>
      <c r="BI10" s="1">
        <v>4260</v>
      </c>
      <c r="BJ10" s="1">
        <v>5105</v>
      </c>
      <c r="BK10" s="1">
        <v>5537</v>
      </c>
      <c r="BL10" s="1">
        <v>5997</v>
      </c>
      <c r="BM10" s="1">
        <v>6499</v>
      </c>
      <c r="BN10" s="1">
        <v>6939</v>
      </c>
      <c r="BO10" s="1">
        <v>7203</v>
      </c>
      <c r="BP10" s="1">
        <v>7367</v>
      </c>
      <c r="BQ10" s="1">
        <v>7393</v>
      </c>
      <c r="BR10" s="1">
        <v>7629</v>
      </c>
      <c r="BS10" s="1">
        <v>7738</v>
      </c>
      <c r="BT10" s="1">
        <v>7840</v>
      </c>
      <c r="BU10" s="1">
        <v>7942</v>
      </c>
      <c r="BV10" s="1">
        <v>8010</v>
      </c>
      <c r="BW10" s="1">
        <v>8078</v>
      </c>
    </row>
    <row r="11" spans="1:75" x14ac:dyDescent="0.25">
      <c r="A11" t="s">
        <v>176</v>
      </c>
      <c r="B11" s="1">
        <v>145934462</v>
      </c>
      <c r="C11">
        <v>16376870</v>
      </c>
      <c r="D11">
        <v>1836</v>
      </c>
      <c r="E11" s="2">
        <v>1.2580989951999999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2</v>
      </c>
      <c r="AE11" s="1">
        <v>2</v>
      </c>
      <c r="AF11" s="1">
        <v>2</v>
      </c>
      <c r="AG11" s="1">
        <v>2</v>
      </c>
      <c r="AH11" s="1">
        <v>2</v>
      </c>
      <c r="AI11" s="1">
        <v>2</v>
      </c>
      <c r="AJ11" s="1">
        <v>2</v>
      </c>
      <c r="AK11" s="1">
        <v>2</v>
      </c>
      <c r="AL11" s="1">
        <v>2</v>
      </c>
      <c r="AM11" s="1">
        <v>2</v>
      </c>
      <c r="AN11" s="1">
        <v>2</v>
      </c>
      <c r="AO11" s="1">
        <v>2</v>
      </c>
      <c r="AP11" s="1">
        <v>2</v>
      </c>
      <c r="AQ11" s="1">
        <v>2</v>
      </c>
      <c r="AR11" s="1">
        <v>2</v>
      </c>
      <c r="AS11" s="1">
        <v>2</v>
      </c>
      <c r="AT11" s="1">
        <v>2</v>
      </c>
      <c r="AU11" s="1">
        <v>2</v>
      </c>
      <c r="AV11" s="1">
        <v>2</v>
      </c>
      <c r="AW11" s="1">
        <v>2</v>
      </c>
      <c r="AX11" s="1">
        <v>2</v>
      </c>
      <c r="AY11" s="1">
        <v>2</v>
      </c>
      <c r="AZ11" s="1">
        <v>2</v>
      </c>
      <c r="BA11" s="1">
        <v>2</v>
      </c>
      <c r="BB11" s="1">
        <v>2</v>
      </c>
      <c r="BC11" s="1">
        <v>2</v>
      </c>
      <c r="BD11" s="1">
        <v>2</v>
      </c>
      <c r="BE11" s="1">
        <v>2</v>
      </c>
      <c r="BF11" s="1">
        <v>2</v>
      </c>
      <c r="BG11" s="1">
        <v>2</v>
      </c>
      <c r="BH11" s="1">
        <v>2</v>
      </c>
      <c r="BI11" s="1">
        <v>3</v>
      </c>
      <c r="BJ11" s="1">
        <v>3</v>
      </c>
      <c r="BK11" s="1">
        <v>3</v>
      </c>
      <c r="BL11" s="1">
        <v>3</v>
      </c>
      <c r="BM11" s="1">
        <v>12</v>
      </c>
      <c r="BN11" s="1">
        <v>12</v>
      </c>
      <c r="BO11" s="1">
        <v>16</v>
      </c>
      <c r="BP11" s="1">
        <v>16</v>
      </c>
      <c r="BQ11" s="1">
        <v>19</v>
      </c>
      <c r="BR11" s="1">
        <v>17</v>
      </c>
      <c r="BS11" s="1">
        <v>25</v>
      </c>
      <c r="BT11" s="1">
        <v>41</v>
      </c>
      <c r="BU11" s="1">
        <v>55</v>
      </c>
      <c r="BV11" s="1">
        <v>55</v>
      </c>
      <c r="BW11" s="1">
        <v>81</v>
      </c>
    </row>
    <row r="12" spans="1:75" x14ac:dyDescent="0.25">
      <c r="A12" t="s">
        <v>175</v>
      </c>
      <c r="B12" s="1">
        <v>46754778</v>
      </c>
      <c r="C12">
        <v>498800</v>
      </c>
      <c r="D12">
        <v>87956</v>
      </c>
      <c r="E12" s="2">
        <v>188.12194980370001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2</v>
      </c>
      <c r="AN12" s="1">
        <v>2</v>
      </c>
      <c r="AO12" s="1">
        <v>2</v>
      </c>
      <c r="AP12" s="1">
        <v>2</v>
      </c>
      <c r="AQ12" s="1">
        <v>2</v>
      </c>
      <c r="AR12" s="1">
        <v>2</v>
      </c>
      <c r="AS12" s="1">
        <v>2</v>
      </c>
      <c r="AT12" s="1">
        <v>2</v>
      </c>
      <c r="AU12" s="1">
        <v>2</v>
      </c>
      <c r="AV12" s="1">
        <v>1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94</v>
      </c>
      <c r="BU12" s="1">
        <v>409</v>
      </c>
      <c r="BV12" s="1">
        <v>995</v>
      </c>
      <c r="BW12" s="1">
        <v>2226</v>
      </c>
    </row>
    <row r="13" spans="1:75" x14ac:dyDescent="0.25">
      <c r="A13" t="s">
        <v>174</v>
      </c>
      <c r="B13" s="1">
        <v>10099265</v>
      </c>
      <c r="C13">
        <v>410340</v>
      </c>
      <c r="D13">
        <v>4028</v>
      </c>
      <c r="E13" s="2">
        <v>39.8840905749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1</v>
      </c>
      <c r="AY13" s="1">
        <v>1</v>
      </c>
      <c r="AZ13" s="1">
        <v>1</v>
      </c>
      <c r="BA13" s="1">
        <v>1</v>
      </c>
      <c r="BB13" s="1">
        <v>1</v>
      </c>
      <c r="BC13" s="1">
        <v>1</v>
      </c>
      <c r="BD13" s="1">
        <v>1</v>
      </c>
      <c r="BE13" s="1">
        <v>6</v>
      </c>
      <c r="BF13" s="1">
        <v>6</v>
      </c>
      <c r="BG13" s="1">
        <v>10</v>
      </c>
      <c r="BH13" s="1">
        <v>11</v>
      </c>
      <c r="BI13" s="1">
        <v>9</v>
      </c>
      <c r="BJ13" s="1">
        <v>14</v>
      </c>
      <c r="BK13" s="1">
        <v>25</v>
      </c>
      <c r="BL13" s="1">
        <v>83</v>
      </c>
      <c r="BM13" s="1">
        <v>85</v>
      </c>
      <c r="BN13" s="1">
        <v>141</v>
      </c>
      <c r="BO13" s="1">
        <v>182</v>
      </c>
      <c r="BP13" s="1">
        <v>223</v>
      </c>
      <c r="BQ13" s="1">
        <v>319</v>
      </c>
      <c r="BR13" s="1">
        <v>438</v>
      </c>
      <c r="BS13" s="1">
        <v>522</v>
      </c>
      <c r="BT13" s="1">
        <v>709</v>
      </c>
      <c r="BU13" s="1">
        <v>856</v>
      </c>
      <c r="BV13" s="1">
        <v>912</v>
      </c>
      <c r="BW13" s="1">
        <v>957</v>
      </c>
    </row>
    <row r="14" spans="1:75" x14ac:dyDescent="0.25">
      <c r="A14" t="s">
        <v>0</v>
      </c>
      <c r="B14" s="1">
        <v>8654622</v>
      </c>
      <c r="C14">
        <v>39516</v>
      </c>
      <c r="D14">
        <v>15922</v>
      </c>
      <c r="E14" s="2">
        <v>183.97106193659999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4</v>
      </c>
      <c r="BF14" s="1">
        <v>0</v>
      </c>
      <c r="BG14" s="1">
        <v>5</v>
      </c>
      <c r="BH14" s="1">
        <v>13</v>
      </c>
      <c r="BI14" s="1">
        <v>28</v>
      </c>
      <c r="BJ14" s="1">
        <v>29</v>
      </c>
      <c r="BK14" s="1">
        <v>62</v>
      </c>
      <c r="BL14" s="1">
        <v>73</v>
      </c>
      <c r="BM14" s="1">
        <v>160</v>
      </c>
      <c r="BN14" s="1">
        <v>193</v>
      </c>
      <c r="BO14" s="1">
        <v>239</v>
      </c>
      <c r="BP14" s="1">
        <v>254</v>
      </c>
      <c r="BQ14" s="1">
        <v>369</v>
      </c>
      <c r="BR14" s="1">
        <v>499</v>
      </c>
      <c r="BS14" s="1">
        <v>461</v>
      </c>
      <c r="BT14" s="1">
        <v>908</v>
      </c>
      <c r="BU14" s="1">
        <v>1095</v>
      </c>
      <c r="BV14" s="1">
        <v>1900</v>
      </c>
      <c r="BW14" s="1">
        <v>1841</v>
      </c>
    </row>
    <row r="15" spans="1:75" x14ac:dyDescent="0.25">
      <c r="A15" t="s">
        <v>173</v>
      </c>
      <c r="B15" s="1">
        <v>331002651</v>
      </c>
      <c r="C15">
        <v>9147420</v>
      </c>
      <c r="D15">
        <v>161807</v>
      </c>
      <c r="E15" s="2">
        <v>48.883898516000002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1</v>
      </c>
      <c r="V15" s="1">
        <v>1</v>
      </c>
      <c r="W15" s="1">
        <v>2</v>
      </c>
      <c r="X15" s="1">
        <v>2</v>
      </c>
      <c r="Y15" s="1">
        <v>5</v>
      </c>
      <c r="Z15" s="1">
        <v>5</v>
      </c>
      <c r="AA15" s="1">
        <v>5</v>
      </c>
      <c r="AB15" s="1">
        <v>5</v>
      </c>
      <c r="AC15" s="1">
        <v>5</v>
      </c>
      <c r="AD15" s="1">
        <v>7</v>
      </c>
      <c r="AE15" s="1">
        <v>8</v>
      </c>
      <c r="AF15" s="1">
        <v>8</v>
      </c>
      <c r="AG15" s="1">
        <v>11</v>
      </c>
      <c r="AH15" s="1">
        <v>11</v>
      </c>
      <c r="AI15" s="1">
        <v>11</v>
      </c>
      <c r="AJ15" s="1">
        <v>11</v>
      </c>
      <c r="AK15" s="1">
        <v>11</v>
      </c>
      <c r="AL15" s="1">
        <v>11</v>
      </c>
      <c r="AM15" s="1">
        <v>11</v>
      </c>
      <c r="AN15" s="1">
        <v>11</v>
      </c>
      <c r="AO15" s="1">
        <v>12</v>
      </c>
      <c r="AP15" s="1">
        <v>12</v>
      </c>
      <c r="AQ15" s="1">
        <v>13</v>
      </c>
      <c r="AR15" s="1">
        <v>13</v>
      </c>
      <c r="AS15" s="1">
        <v>12</v>
      </c>
      <c r="AT15" s="1">
        <v>12</v>
      </c>
      <c r="AU15" s="1">
        <v>7</v>
      </c>
      <c r="AV15" s="1">
        <v>6</v>
      </c>
      <c r="AW15" s="1">
        <v>2</v>
      </c>
      <c r="AX15" s="1">
        <v>1</v>
      </c>
      <c r="AY15" s="1">
        <v>1</v>
      </c>
      <c r="AZ15" s="1">
        <v>0</v>
      </c>
      <c r="BA15" s="1">
        <v>0</v>
      </c>
      <c r="BB15" s="1">
        <v>29</v>
      </c>
      <c r="BC15" s="1">
        <v>23</v>
      </c>
      <c r="BD15" s="1">
        <v>21</v>
      </c>
      <c r="BE15" s="1">
        <v>18</v>
      </c>
      <c r="BF15" s="1">
        <v>13</v>
      </c>
      <c r="BG15" s="1">
        <v>14</v>
      </c>
      <c r="BH15" s="1">
        <v>11</v>
      </c>
      <c r="BI15" s="1">
        <v>13</v>
      </c>
      <c r="BJ15" s="1">
        <v>10</v>
      </c>
      <c r="BK15" s="1">
        <v>31</v>
      </c>
      <c r="BL15" s="1">
        <v>17</v>
      </c>
      <c r="BM15" s="1">
        <v>18</v>
      </c>
      <c r="BN15" s="1">
        <v>95</v>
      </c>
      <c r="BO15" s="1">
        <v>101</v>
      </c>
      <c r="BP15" s="1">
        <v>26</v>
      </c>
      <c r="BQ15" s="1">
        <v>253</v>
      </c>
      <c r="BR15" s="1">
        <v>339</v>
      </c>
      <c r="BS15" s="1">
        <v>454</v>
      </c>
      <c r="BT15" s="1">
        <v>598</v>
      </c>
      <c r="BU15" s="1">
        <v>701</v>
      </c>
      <c r="BV15" s="1">
        <v>1032</v>
      </c>
      <c r="BW15" s="1">
        <v>1654</v>
      </c>
    </row>
    <row r="16" spans="1:75" x14ac:dyDescent="0.25">
      <c r="A16" t="s">
        <v>186</v>
      </c>
      <c r="B16" s="1">
        <v>67886011</v>
      </c>
      <c r="C16">
        <v>241930</v>
      </c>
      <c r="D16">
        <v>22141</v>
      </c>
      <c r="E16" s="2">
        <v>32.614966874399997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2</v>
      </c>
      <c r="AE16" s="1">
        <v>2</v>
      </c>
      <c r="AF16" s="1">
        <v>2</v>
      </c>
      <c r="AG16" s="1">
        <v>2</v>
      </c>
      <c r="AH16" s="1">
        <v>2</v>
      </c>
      <c r="AI16" s="1">
        <v>2</v>
      </c>
      <c r="AJ16" s="1">
        <v>2</v>
      </c>
      <c r="AK16" s="1">
        <v>3</v>
      </c>
      <c r="AL16" s="1">
        <v>3</v>
      </c>
      <c r="AM16" s="1">
        <v>3</v>
      </c>
      <c r="AN16" s="1">
        <v>8</v>
      </c>
      <c r="AO16" s="1">
        <v>8</v>
      </c>
      <c r="AP16" s="1">
        <v>9</v>
      </c>
      <c r="AQ16" s="1">
        <v>9</v>
      </c>
      <c r="AR16" s="1">
        <v>9</v>
      </c>
      <c r="AS16" s="1">
        <v>9</v>
      </c>
      <c r="AT16" s="1">
        <v>9</v>
      </c>
      <c r="AU16" s="1">
        <v>9</v>
      </c>
      <c r="AV16" s="1">
        <v>9</v>
      </c>
      <c r="AW16" s="1">
        <v>9</v>
      </c>
      <c r="AX16" s="1">
        <v>8</v>
      </c>
      <c r="AY16" s="1">
        <v>7</v>
      </c>
      <c r="AZ16" s="1">
        <v>7</v>
      </c>
      <c r="BA16" s="1">
        <v>6</v>
      </c>
      <c r="BB16" s="1">
        <v>9</v>
      </c>
      <c r="BC16" s="1">
        <v>7</v>
      </c>
      <c r="BD16" s="1">
        <v>5</v>
      </c>
      <c r="BE16" s="1">
        <v>7</v>
      </c>
      <c r="BF16" s="1">
        <v>12</v>
      </c>
      <c r="BG16" s="1">
        <v>2</v>
      </c>
      <c r="BH16" s="1">
        <v>15</v>
      </c>
      <c r="BI16" s="1">
        <v>0</v>
      </c>
      <c r="BJ16" s="1">
        <v>0</v>
      </c>
      <c r="BK16" s="1">
        <v>14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39</v>
      </c>
      <c r="BU16" s="1">
        <v>121</v>
      </c>
      <c r="BV16" s="1">
        <v>0</v>
      </c>
      <c r="BW16" s="1">
        <v>135</v>
      </c>
    </row>
  </sheetData>
  <autoFilter ref="A1:BW16" xr:uid="{35F96E38-6178-4B47-9F6D-3971F7CA5EFF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E46D9-E752-4949-BB5B-534107EA77CD}">
  <dimension ref="A1:BW16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5" width="11.42578125" style="1"/>
  </cols>
  <sheetData>
    <row r="1" spans="1:75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  <c r="BS1" s="1" t="s">
        <v>187</v>
      </c>
      <c r="BT1" s="1" t="s">
        <v>190</v>
      </c>
      <c r="BU1" s="1" t="s">
        <v>189</v>
      </c>
      <c r="BV1" s="1" t="s">
        <v>193</v>
      </c>
      <c r="BW1" s="1" t="s">
        <v>195</v>
      </c>
    </row>
    <row r="2" spans="1:75" x14ac:dyDescent="0.25">
      <c r="A2" t="s">
        <v>185</v>
      </c>
      <c r="B2" s="1">
        <v>9006398</v>
      </c>
      <c r="C2">
        <v>82409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</row>
    <row r="3" spans="1:75" x14ac:dyDescent="0.25">
      <c r="A3" t="s">
        <v>184</v>
      </c>
      <c r="B3" s="1">
        <v>11589623</v>
      </c>
      <c r="C3">
        <v>30280</v>
      </c>
      <c r="D3">
        <v>0</v>
      </c>
      <c r="E3" s="2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</row>
    <row r="4" spans="1:75" x14ac:dyDescent="0.25">
      <c r="A4" t="s">
        <v>183</v>
      </c>
      <c r="B4" s="1">
        <v>37742154</v>
      </c>
      <c r="C4">
        <v>9093510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</row>
    <row r="5" spans="1:75" x14ac:dyDescent="0.25">
      <c r="A5" t="s">
        <v>182</v>
      </c>
      <c r="B5" s="1">
        <v>1439323776</v>
      </c>
      <c r="C5">
        <v>9388211</v>
      </c>
      <c r="D5">
        <v>0</v>
      </c>
      <c r="E5" s="2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</row>
    <row r="6" spans="1:75" x14ac:dyDescent="0.25">
      <c r="A6" t="s">
        <v>181</v>
      </c>
      <c r="B6" s="1">
        <v>65273511</v>
      </c>
      <c r="C6">
        <v>547557</v>
      </c>
      <c r="D6">
        <v>0</v>
      </c>
      <c r="E6" s="2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</row>
    <row r="7" spans="1:75" x14ac:dyDescent="0.25">
      <c r="A7" t="s">
        <v>180</v>
      </c>
      <c r="B7" s="1">
        <v>83783942</v>
      </c>
      <c r="C7">
        <v>348560</v>
      </c>
      <c r="D7">
        <v>0</v>
      </c>
      <c r="E7" s="2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</row>
    <row r="8" spans="1:75" x14ac:dyDescent="0.25">
      <c r="A8" t="s">
        <v>179</v>
      </c>
      <c r="B8" s="1">
        <v>1380004385</v>
      </c>
      <c r="C8">
        <v>2973190</v>
      </c>
      <c r="D8">
        <v>0</v>
      </c>
      <c r="E8" s="2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</row>
    <row r="9" spans="1:75" x14ac:dyDescent="0.25">
      <c r="A9" t="s">
        <v>178</v>
      </c>
      <c r="B9" s="1">
        <v>60461826</v>
      </c>
      <c r="C9">
        <v>294140</v>
      </c>
      <c r="D9">
        <v>0</v>
      </c>
      <c r="E9" s="2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</row>
    <row r="10" spans="1:75" x14ac:dyDescent="0.25">
      <c r="A10" t="s">
        <v>177</v>
      </c>
      <c r="B10" s="1">
        <v>51269185</v>
      </c>
      <c r="C10">
        <v>97230</v>
      </c>
      <c r="D10">
        <v>0</v>
      </c>
      <c r="E10" s="2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</row>
    <row r="11" spans="1:75" x14ac:dyDescent="0.25">
      <c r="A11" t="s">
        <v>176</v>
      </c>
      <c r="B11" s="1">
        <v>145934462</v>
      </c>
      <c r="C11">
        <v>16376870</v>
      </c>
      <c r="D11">
        <v>0</v>
      </c>
      <c r="E11" s="2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</row>
    <row r="12" spans="1:75" x14ac:dyDescent="0.25">
      <c r="A12" t="s">
        <v>175</v>
      </c>
      <c r="B12" s="1">
        <v>46754778</v>
      </c>
      <c r="C12">
        <v>498800</v>
      </c>
      <c r="D12">
        <v>0</v>
      </c>
      <c r="E12" s="2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</row>
    <row r="13" spans="1:75" x14ac:dyDescent="0.25">
      <c r="A13" t="s">
        <v>174</v>
      </c>
      <c r="B13" s="1">
        <v>10099265</v>
      </c>
      <c r="C13">
        <v>410340</v>
      </c>
      <c r="D13">
        <v>0</v>
      </c>
      <c r="E13" s="2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</row>
    <row r="14" spans="1:75" x14ac:dyDescent="0.25">
      <c r="A14" t="s">
        <v>0</v>
      </c>
      <c r="B14" s="1">
        <v>8654622</v>
      </c>
      <c r="C14">
        <v>39516</v>
      </c>
      <c r="D14">
        <v>0</v>
      </c>
      <c r="E14" s="2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</row>
    <row r="15" spans="1:75" x14ac:dyDescent="0.25">
      <c r="A15" t="s">
        <v>173</v>
      </c>
      <c r="B15" s="1">
        <v>331002651</v>
      </c>
      <c r="C15">
        <v>9147420</v>
      </c>
      <c r="D15">
        <v>0</v>
      </c>
      <c r="E15" s="2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</row>
    <row r="16" spans="1:75" x14ac:dyDescent="0.25">
      <c r="A16" t="s">
        <v>186</v>
      </c>
      <c r="B16" s="1">
        <v>67886011</v>
      </c>
      <c r="C16">
        <v>241930</v>
      </c>
      <c r="D16">
        <v>0</v>
      </c>
      <c r="E16" s="2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</row>
  </sheetData>
  <autoFilter ref="A1:BW16" xr:uid="{B0A286C0-A083-48D0-9618-0EF7B1282090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0357B-C0A0-4FDB-B343-DC75C5830DCC}">
  <dimension ref="A1:BY16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77" width="11.42578125" style="1"/>
  </cols>
  <sheetData>
    <row r="1" spans="1:77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s="3" t="s">
        <v>133</v>
      </c>
      <c r="G1" s="3" t="s">
        <v>132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146</v>
      </c>
      <c r="BR1" s="1" t="s">
        <v>158</v>
      </c>
      <c r="BS1" s="1" t="s">
        <v>160</v>
      </c>
      <c r="BT1" s="1" t="s">
        <v>162</v>
      </c>
      <c r="BU1" s="1" t="s">
        <v>187</v>
      </c>
      <c r="BV1" s="1" t="s">
        <v>190</v>
      </c>
      <c r="BW1" s="1" t="s">
        <v>189</v>
      </c>
      <c r="BX1" s="1" t="s">
        <v>193</v>
      </c>
      <c r="BY1" s="1" t="s">
        <v>195</v>
      </c>
    </row>
    <row r="2" spans="1:77" x14ac:dyDescent="0.25">
      <c r="A2" t="s">
        <v>185</v>
      </c>
      <c r="B2" s="1">
        <v>9006398</v>
      </c>
      <c r="C2">
        <v>82409</v>
      </c>
      <c r="D2">
        <v>108</v>
      </c>
      <c r="E2" s="2">
        <v>1.1991475393</v>
      </c>
      <c r="F2" s="3">
        <v>1.12289457E-2</v>
      </c>
      <c r="G2" s="3">
        <v>2.0442930200000001E-2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1</v>
      </c>
      <c r="BH2" s="1">
        <v>1</v>
      </c>
      <c r="BI2" s="1">
        <v>1</v>
      </c>
      <c r="BJ2" s="1">
        <v>1</v>
      </c>
      <c r="BK2" s="1">
        <v>3</v>
      </c>
      <c r="BL2" s="1">
        <v>3</v>
      </c>
      <c r="BM2" s="1">
        <v>4</v>
      </c>
      <c r="BN2" s="1">
        <v>6</v>
      </c>
      <c r="BO2" s="1">
        <v>6</v>
      </c>
      <c r="BP2" s="1">
        <v>8</v>
      </c>
      <c r="BQ2" s="1">
        <v>16</v>
      </c>
      <c r="BR2" s="1">
        <v>21</v>
      </c>
      <c r="BS2" s="1">
        <v>28</v>
      </c>
      <c r="BT2" s="1">
        <v>30</v>
      </c>
      <c r="BU2" s="1">
        <v>49</v>
      </c>
      <c r="BV2" s="1">
        <v>58</v>
      </c>
      <c r="BW2" s="1">
        <v>68</v>
      </c>
      <c r="BX2" s="1">
        <v>86</v>
      </c>
      <c r="BY2" s="1">
        <v>108</v>
      </c>
    </row>
    <row r="3" spans="1:77" x14ac:dyDescent="0.25">
      <c r="A3" t="s">
        <v>184</v>
      </c>
      <c r="B3" s="1">
        <v>11589623</v>
      </c>
      <c r="C3">
        <v>30280</v>
      </c>
      <c r="D3">
        <v>513</v>
      </c>
      <c r="E3" s="2">
        <v>4.4263734895000004</v>
      </c>
      <c r="F3" s="3">
        <v>4.3112866600000001E-2</v>
      </c>
      <c r="G3" s="3">
        <v>0.12016865779999999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3</v>
      </c>
      <c r="BG3" s="1">
        <v>3</v>
      </c>
      <c r="BH3" s="1">
        <v>3</v>
      </c>
      <c r="BI3" s="1">
        <v>4</v>
      </c>
      <c r="BJ3" s="1">
        <v>4</v>
      </c>
      <c r="BK3" s="1">
        <v>5</v>
      </c>
      <c r="BL3" s="1">
        <v>10</v>
      </c>
      <c r="BM3" s="1">
        <v>14</v>
      </c>
      <c r="BN3" s="1">
        <v>21</v>
      </c>
      <c r="BO3" s="1">
        <v>37</v>
      </c>
      <c r="BP3" s="1">
        <v>67</v>
      </c>
      <c r="BQ3" s="1">
        <v>75</v>
      </c>
      <c r="BR3" s="1">
        <v>88</v>
      </c>
      <c r="BS3" s="1">
        <v>122</v>
      </c>
      <c r="BT3" s="1">
        <v>178</v>
      </c>
      <c r="BU3" s="1">
        <v>220</v>
      </c>
      <c r="BV3" s="1">
        <v>289</v>
      </c>
      <c r="BW3" s="1">
        <v>353</v>
      </c>
      <c r="BX3" s="1">
        <v>431</v>
      </c>
      <c r="BY3" s="1">
        <v>513</v>
      </c>
    </row>
    <row r="4" spans="1:77" x14ac:dyDescent="0.25">
      <c r="A4" t="s">
        <v>183</v>
      </c>
      <c r="B4" s="1">
        <v>37742154</v>
      </c>
      <c r="C4">
        <v>9093510</v>
      </c>
      <c r="D4">
        <v>79</v>
      </c>
      <c r="E4" s="2">
        <v>0.20931502739999999</v>
      </c>
      <c r="F4" s="3">
        <v>1.06973595E-2</v>
      </c>
      <c r="G4" s="3">
        <v>2.8447965400000001E-2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1</v>
      </c>
      <c r="BE4" s="1">
        <v>1</v>
      </c>
      <c r="BF4" s="1">
        <v>1</v>
      </c>
      <c r="BG4" s="1">
        <v>1</v>
      </c>
      <c r="BH4" s="1">
        <v>1</v>
      </c>
      <c r="BI4" s="1">
        <v>1</v>
      </c>
      <c r="BJ4" s="1">
        <v>1</v>
      </c>
      <c r="BK4" s="1">
        <v>4</v>
      </c>
      <c r="BL4" s="1">
        <v>5</v>
      </c>
      <c r="BM4" s="1">
        <v>8</v>
      </c>
      <c r="BN4" s="1">
        <v>9</v>
      </c>
      <c r="BO4" s="1">
        <v>12</v>
      </c>
      <c r="BP4" s="1">
        <v>19</v>
      </c>
      <c r="BQ4" s="1">
        <v>20</v>
      </c>
      <c r="BR4" s="1">
        <v>24</v>
      </c>
      <c r="BS4" s="1">
        <v>25</v>
      </c>
      <c r="BT4" s="1">
        <v>29</v>
      </c>
      <c r="BU4" s="1">
        <v>37</v>
      </c>
      <c r="BV4" s="1">
        <v>53</v>
      </c>
      <c r="BW4" s="1">
        <v>60</v>
      </c>
      <c r="BX4" s="1">
        <v>63</v>
      </c>
      <c r="BY4" s="1">
        <v>79</v>
      </c>
    </row>
    <row r="5" spans="1:77" x14ac:dyDescent="0.25">
      <c r="A5" t="s">
        <v>182</v>
      </c>
      <c r="B5" s="1">
        <v>1439323776</v>
      </c>
      <c r="C5">
        <v>9388211</v>
      </c>
      <c r="D5">
        <v>3308</v>
      </c>
      <c r="E5" s="2">
        <v>0.2298301505</v>
      </c>
      <c r="F5" s="3">
        <v>4.0244288199999999E-2</v>
      </c>
      <c r="G5" s="3">
        <v>4.05436874E-2</v>
      </c>
      <c r="I5" s="1">
        <v>17</v>
      </c>
      <c r="J5" s="1">
        <v>18</v>
      </c>
      <c r="K5" s="1">
        <v>26</v>
      </c>
      <c r="L5" s="1">
        <v>42</v>
      </c>
      <c r="M5" s="1">
        <v>56</v>
      </c>
      <c r="N5" s="1">
        <v>82</v>
      </c>
      <c r="O5" s="1">
        <v>131</v>
      </c>
      <c r="P5" s="1">
        <v>133</v>
      </c>
      <c r="Q5" s="1">
        <v>171</v>
      </c>
      <c r="R5" s="1">
        <v>213</v>
      </c>
      <c r="S5" s="1">
        <v>259</v>
      </c>
      <c r="T5" s="1">
        <v>361</v>
      </c>
      <c r="U5" s="1">
        <v>425</v>
      </c>
      <c r="V5" s="1">
        <v>491</v>
      </c>
      <c r="W5" s="1">
        <v>563</v>
      </c>
      <c r="X5" s="1">
        <v>633</v>
      </c>
      <c r="Y5" s="1">
        <v>718</v>
      </c>
      <c r="Z5" s="1">
        <v>805</v>
      </c>
      <c r="AA5" s="1">
        <v>905</v>
      </c>
      <c r="AB5" s="1">
        <v>1012</v>
      </c>
      <c r="AC5" s="1">
        <v>1112</v>
      </c>
      <c r="AD5" s="1">
        <v>1117</v>
      </c>
      <c r="AE5" s="1">
        <v>1369</v>
      </c>
      <c r="AF5" s="1">
        <v>1521</v>
      </c>
      <c r="AG5" s="1">
        <v>1663</v>
      </c>
      <c r="AH5" s="1">
        <v>1766</v>
      </c>
      <c r="AI5" s="1">
        <v>1864</v>
      </c>
      <c r="AJ5" s="1">
        <v>2003</v>
      </c>
      <c r="AK5" s="1">
        <v>2116</v>
      </c>
      <c r="AL5" s="1">
        <v>2238</v>
      </c>
      <c r="AM5" s="1">
        <v>2238</v>
      </c>
      <c r="AN5" s="1">
        <v>2443</v>
      </c>
      <c r="AO5" s="1">
        <v>2445</v>
      </c>
      <c r="AP5" s="1">
        <v>2595</v>
      </c>
      <c r="AQ5" s="1">
        <v>2665</v>
      </c>
      <c r="AR5" s="1">
        <v>2717</v>
      </c>
      <c r="AS5" s="1">
        <v>2746</v>
      </c>
      <c r="AT5" s="1">
        <v>2790</v>
      </c>
      <c r="AU5" s="1">
        <v>2837</v>
      </c>
      <c r="AV5" s="1">
        <v>2872</v>
      </c>
      <c r="AW5" s="1">
        <v>2914</v>
      </c>
      <c r="AX5" s="1">
        <v>2947</v>
      </c>
      <c r="AY5" s="1">
        <v>2983</v>
      </c>
      <c r="AZ5" s="1">
        <v>3015</v>
      </c>
      <c r="BA5" s="1">
        <v>3044</v>
      </c>
      <c r="BB5" s="1">
        <v>3072</v>
      </c>
      <c r="BC5" s="1">
        <v>3100</v>
      </c>
      <c r="BD5" s="1">
        <v>3123</v>
      </c>
      <c r="BE5" s="1">
        <v>3139</v>
      </c>
      <c r="BF5" s="1">
        <v>3161</v>
      </c>
      <c r="BG5" s="1">
        <v>3172</v>
      </c>
      <c r="BH5" s="1">
        <v>3180</v>
      </c>
      <c r="BI5" s="1">
        <v>3193</v>
      </c>
      <c r="BJ5" s="1">
        <v>3203</v>
      </c>
      <c r="BK5" s="1">
        <v>3217</v>
      </c>
      <c r="BL5" s="1">
        <v>3230</v>
      </c>
      <c r="BM5" s="1">
        <v>3241</v>
      </c>
      <c r="BN5" s="1">
        <v>3249</v>
      </c>
      <c r="BO5" s="1">
        <v>3253</v>
      </c>
      <c r="BP5" s="1">
        <v>3259</v>
      </c>
      <c r="BQ5" s="1">
        <v>3274</v>
      </c>
      <c r="BR5" s="1">
        <v>3274</v>
      </c>
      <c r="BS5" s="1">
        <v>3281</v>
      </c>
      <c r="BT5" s="1">
        <v>3285</v>
      </c>
      <c r="BU5" s="1">
        <v>3291</v>
      </c>
      <c r="BV5" s="1">
        <v>3296</v>
      </c>
      <c r="BW5" s="1">
        <v>3299</v>
      </c>
      <c r="BX5" s="1">
        <v>3304</v>
      </c>
      <c r="BY5" s="1">
        <v>3308</v>
      </c>
    </row>
    <row r="6" spans="1:77" x14ac:dyDescent="0.25">
      <c r="A6" t="s">
        <v>181</v>
      </c>
      <c r="B6" s="1">
        <v>65273511</v>
      </c>
      <c r="C6">
        <v>547557</v>
      </c>
      <c r="D6">
        <v>3024</v>
      </c>
      <c r="E6" s="2">
        <v>4.6328134548</v>
      </c>
      <c r="F6" s="3">
        <v>6.7878787900000001E-2</v>
      </c>
      <c r="G6" s="3">
        <v>0.13558106170000001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1</v>
      </c>
      <c r="AH6" s="1">
        <v>1</v>
      </c>
      <c r="AI6" s="1">
        <v>1</v>
      </c>
      <c r="AJ6" s="1">
        <v>1</v>
      </c>
      <c r="AK6" s="1">
        <v>1</v>
      </c>
      <c r="AL6" s="1">
        <v>1</v>
      </c>
      <c r="AM6" s="1">
        <v>1</v>
      </c>
      <c r="AN6" s="1">
        <v>1</v>
      </c>
      <c r="AO6" s="1">
        <v>1</v>
      </c>
      <c r="AP6" s="1">
        <v>1</v>
      </c>
      <c r="AQ6" s="1">
        <v>1</v>
      </c>
      <c r="AR6" s="1">
        <v>2</v>
      </c>
      <c r="AS6" s="1">
        <v>2</v>
      </c>
      <c r="AT6" s="1">
        <v>2</v>
      </c>
      <c r="AU6" s="1">
        <v>2</v>
      </c>
      <c r="AV6" s="1">
        <v>2</v>
      </c>
      <c r="AW6" s="1">
        <v>3</v>
      </c>
      <c r="AX6" s="1">
        <v>4</v>
      </c>
      <c r="AY6" s="1">
        <v>4</v>
      </c>
      <c r="AZ6" s="1">
        <v>6</v>
      </c>
      <c r="BA6" s="1">
        <v>9</v>
      </c>
      <c r="BB6" s="1">
        <v>11</v>
      </c>
      <c r="BC6" s="1">
        <v>19</v>
      </c>
      <c r="BD6" s="1">
        <v>19</v>
      </c>
      <c r="BE6" s="1">
        <v>33</v>
      </c>
      <c r="BF6" s="1">
        <v>48</v>
      </c>
      <c r="BG6" s="1">
        <v>48</v>
      </c>
      <c r="BH6" s="1">
        <v>79</v>
      </c>
      <c r="BI6" s="1">
        <v>91</v>
      </c>
      <c r="BJ6" s="1">
        <v>91</v>
      </c>
      <c r="BK6" s="1">
        <v>148</v>
      </c>
      <c r="BL6" s="1">
        <v>148</v>
      </c>
      <c r="BM6" s="1">
        <v>148</v>
      </c>
      <c r="BN6" s="1">
        <v>243</v>
      </c>
      <c r="BO6" s="1">
        <v>450</v>
      </c>
      <c r="BP6" s="1">
        <v>562</v>
      </c>
      <c r="BQ6" s="1">
        <v>674</v>
      </c>
      <c r="BR6" s="1">
        <v>860</v>
      </c>
      <c r="BS6" s="1">
        <v>1100</v>
      </c>
      <c r="BT6" s="1">
        <v>1331</v>
      </c>
      <c r="BU6" s="1">
        <v>1696</v>
      </c>
      <c r="BV6" s="1">
        <v>1995</v>
      </c>
      <c r="BW6" s="1">
        <v>2314</v>
      </c>
      <c r="BX6" s="1">
        <v>2606</v>
      </c>
      <c r="BY6" s="1">
        <v>3024</v>
      </c>
    </row>
    <row r="7" spans="1:77" x14ac:dyDescent="0.25">
      <c r="A7" t="s">
        <v>180</v>
      </c>
      <c r="B7" s="1">
        <v>83783942</v>
      </c>
      <c r="C7">
        <v>348560</v>
      </c>
      <c r="D7">
        <v>645</v>
      </c>
      <c r="E7" s="2">
        <v>0.76983725589999996</v>
      </c>
      <c r="F7" s="3">
        <v>9.6434177999999999E-3</v>
      </c>
      <c r="G7" s="3">
        <v>1.95537501E-2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2</v>
      </c>
      <c r="BE7" s="1">
        <v>2</v>
      </c>
      <c r="BF7" s="1">
        <v>3</v>
      </c>
      <c r="BG7" s="1">
        <v>3</v>
      </c>
      <c r="BH7" s="1">
        <v>7</v>
      </c>
      <c r="BI7" s="1">
        <v>9</v>
      </c>
      <c r="BJ7" s="1">
        <v>11</v>
      </c>
      <c r="BK7" s="1">
        <v>17</v>
      </c>
      <c r="BL7" s="1">
        <v>24</v>
      </c>
      <c r="BM7" s="1">
        <v>28</v>
      </c>
      <c r="BN7" s="1">
        <v>44</v>
      </c>
      <c r="BO7" s="1">
        <v>67</v>
      </c>
      <c r="BP7" s="1">
        <v>84</v>
      </c>
      <c r="BQ7" s="1">
        <v>94</v>
      </c>
      <c r="BR7" s="1">
        <v>123</v>
      </c>
      <c r="BS7" s="1">
        <v>157</v>
      </c>
      <c r="BT7" s="1">
        <v>206</v>
      </c>
      <c r="BU7" s="1">
        <v>267</v>
      </c>
      <c r="BV7" s="1">
        <v>342</v>
      </c>
      <c r="BW7" s="1">
        <v>433</v>
      </c>
      <c r="BX7" s="1">
        <v>533</v>
      </c>
      <c r="BY7" s="1">
        <v>645</v>
      </c>
    </row>
    <row r="8" spans="1:77" x14ac:dyDescent="0.25">
      <c r="A8" t="s">
        <v>179</v>
      </c>
      <c r="B8" s="1">
        <v>1380004385</v>
      </c>
      <c r="C8">
        <v>2973190</v>
      </c>
      <c r="D8">
        <v>32</v>
      </c>
      <c r="E8" s="2">
        <v>2.3188331999999998E-3</v>
      </c>
      <c r="F8" s="3">
        <v>2.5579536399999998E-2</v>
      </c>
      <c r="G8" s="3">
        <v>5.9701492500000002E-2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1</v>
      </c>
      <c r="BG8" s="1">
        <v>1</v>
      </c>
      <c r="BH8" s="1">
        <v>2</v>
      </c>
      <c r="BI8" s="1">
        <v>2</v>
      </c>
      <c r="BJ8" s="1">
        <v>2</v>
      </c>
      <c r="BK8" s="1">
        <v>2</v>
      </c>
      <c r="BL8" s="1">
        <v>3</v>
      </c>
      <c r="BM8" s="1">
        <v>3</v>
      </c>
      <c r="BN8" s="1">
        <v>4</v>
      </c>
      <c r="BO8" s="1">
        <v>5</v>
      </c>
      <c r="BP8" s="1">
        <v>4</v>
      </c>
      <c r="BQ8" s="1">
        <v>7</v>
      </c>
      <c r="BR8" s="1">
        <v>10</v>
      </c>
      <c r="BS8" s="1">
        <v>10</v>
      </c>
      <c r="BT8" s="1">
        <v>12</v>
      </c>
      <c r="BU8" s="1">
        <v>20</v>
      </c>
      <c r="BV8" s="1">
        <v>20</v>
      </c>
      <c r="BW8" s="1">
        <v>24</v>
      </c>
      <c r="BX8" s="1">
        <v>27</v>
      </c>
      <c r="BY8" s="1">
        <v>32</v>
      </c>
    </row>
    <row r="9" spans="1:77" x14ac:dyDescent="0.25">
      <c r="A9" t="s">
        <v>178</v>
      </c>
      <c r="B9" s="1">
        <v>60461826</v>
      </c>
      <c r="C9">
        <v>294140</v>
      </c>
      <c r="D9">
        <v>11591</v>
      </c>
      <c r="E9" s="2">
        <v>19.170773968999999</v>
      </c>
      <c r="F9" s="3">
        <v>0.11392877849999999</v>
      </c>
      <c r="G9" s="3">
        <v>0.1675581126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1</v>
      </c>
      <c r="AN9" s="1">
        <v>2</v>
      </c>
      <c r="AO9" s="1">
        <v>3</v>
      </c>
      <c r="AP9" s="1">
        <v>7</v>
      </c>
      <c r="AQ9" s="1">
        <v>10</v>
      </c>
      <c r="AR9" s="1">
        <v>12</v>
      </c>
      <c r="AS9" s="1">
        <v>17</v>
      </c>
      <c r="AT9" s="1">
        <v>21</v>
      </c>
      <c r="AU9" s="1">
        <v>29</v>
      </c>
      <c r="AV9" s="1">
        <v>34</v>
      </c>
      <c r="AW9" s="1">
        <v>52</v>
      </c>
      <c r="AX9" s="1">
        <v>79</v>
      </c>
      <c r="AY9" s="1">
        <v>107</v>
      </c>
      <c r="AZ9" s="1">
        <v>148</v>
      </c>
      <c r="BA9" s="1">
        <v>197</v>
      </c>
      <c r="BB9" s="1">
        <v>233</v>
      </c>
      <c r="BC9" s="1">
        <v>366</v>
      </c>
      <c r="BD9" s="1">
        <v>463</v>
      </c>
      <c r="BE9" s="1">
        <v>631</v>
      </c>
      <c r="BF9" s="1">
        <v>827</v>
      </c>
      <c r="BG9" s="1">
        <v>827</v>
      </c>
      <c r="BH9" s="1">
        <v>1266</v>
      </c>
      <c r="BI9" s="1">
        <v>1441</v>
      </c>
      <c r="BJ9" s="1">
        <v>1809</v>
      </c>
      <c r="BK9" s="1">
        <v>2158</v>
      </c>
      <c r="BL9" s="1">
        <v>2503</v>
      </c>
      <c r="BM9" s="1">
        <v>2978</v>
      </c>
      <c r="BN9" s="1">
        <v>3405</v>
      </c>
      <c r="BO9" s="1">
        <v>4032</v>
      </c>
      <c r="BP9" s="1">
        <v>4825</v>
      </c>
      <c r="BQ9" s="1">
        <v>5476</v>
      </c>
      <c r="BR9" s="1">
        <v>6077</v>
      </c>
      <c r="BS9" s="1">
        <v>6820</v>
      </c>
      <c r="BT9" s="1">
        <v>7503</v>
      </c>
      <c r="BU9" s="1">
        <v>8215</v>
      </c>
      <c r="BV9" s="1">
        <v>9134</v>
      </c>
      <c r="BW9" s="1">
        <v>10023</v>
      </c>
      <c r="BX9" s="1">
        <v>10779</v>
      </c>
      <c r="BY9" s="1">
        <v>11591</v>
      </c>
    </row>
    <row r="10" spans="1:77" x14ac:dyDescent="0.25">
      <c r="A10" t="s">
        <v>177</v>
      </c>
      <c r="B10" s="1">
        <v>51269185</v>
      </c>
      <c r="C10">
        <v>97230</v>
      </c>
      <c r="D10">
        <v>158</v>
      </c>
      <c r="E10" s="2">
        <v>0.30817731939999998</v>
      </c>
      <c r="F10" s="3">
        <v>1.63544147E-2</v>
      </c>
      <c r="G10" s="3">
        <v>1.7483678200000002E-2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1</v>
      </c>
      <c r="AM10" s="1">
        <v>2</v>
      </c>
      <c r="AN10" s="1">
        <v>2</v>
      </c>
      <c r="AO10" s="1">
        <v>6</v>
      </c>
      <c r="AP10" s="1">
        <v>8</v>
      </c>
      <c r="AQ10" s="1">
        <v>10</v>
      </c>
      <c r="AR10" s="1">
        <v>12</v>
      </c>
      <c r="AS10" s="1">
        <v>13</v>
      </c>
      <c r="AT10" s="1">
        <v>13</v>
      </c>
      <c r="AU10" s="1">
        <v>16</v>
      </c>
      <c r="AV10" s="1">
        <v>17</v>
      </c>
      <c r="AW10" s="1">
        <v>28</v>
      </c>
      <c r="AX10" s="1">
        <v>28</v>
      </c>
      <c r="AY10" s="1">
        <v>35</v>
      </c>
      <c r="AZ10" s="1">
        <v>35</v>
      </c>
      <c r="BA10" s="1">
        <v>42</v>
      </c>
      <c r="BB10" s="1">
        <v>44</v>
      </c>
      <c r="BC10" s="1">
        <v>50</v>
      </c>
      <c r="BD10" s="1">
        <v>53</v>
      </c>
      <c r="BE10" s="1">
        <v>54</v>
      </c>
      <c r="BF10" s="1">
        <v>60</v>
      </c>
      <c r="BG10" s="1">
        <v>66</v>
      </c>
      <c r="BH10" s="1">
        <v>66</v>
      </c>
      <c r="BI10" s="1">
        <v>72</v>
      </c>
      <c r="BJ10" s="1">
        <v>75</v>
      </c>
      <c r="BK10" s="1">
        <v>75</v>
      </c>
      <c r="BL10" s="1">
        <v>81</v>
      </c>
      <c r="BM10" s="1">
        <v>84</v>
      </c>
      <c r="BN10" s="1">
        <v>91</v>
      </c>
      <c r="BO10" s="1">
        <v>94</v>
      </c>
      <c r="BP10" s="1">
        <v>102</v>
      </c>
      <c r="BQ10" s="1">
        <v>111</v>
      </c>
      <c r="BR10" s="1">
        <v>111</v>
      </c>
      <c r="BS10" s="1">
        <v>120</v>
      </c>
      <c r="BT10" s="1">
        <v>126</v>
      </c>
      <c r="BU10" s="1">
        <v>131</v>
      </c>
      <c r="BV10" s="1">
        <v>139</v>
      </c>
      <c r="BW10" s="1">
        <v>144</v>
      </c>
      <c r="BX10" s="1">
        <v>152</v>
      </c>
      <c r="BY10" s="1">
        <v>158</v>
      </c>
    </row>
    <row r="11" spans="1:77" x14ac:dyDescent="0.25">
      <c r="A11" t="s">
        <v>176</v>
      </c>
      <c r="B11" s="1">
        <v>145934462</v>
      </c>
      <c r="C11">
        <v>16376870</v>
      </c>
      <c r="D11">
        <v>9</v>
      </c>
      <c r="E11" s="2">
        <v>6.1671518999999999E-3</v>
      </c>
      <c r="F11" s="3">
        <v>4.9019607999999998E-3</v>
      </c>
      <c r="G11" s="3">
        <v>1.8181818200000002E-2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1</v>
      </c>
      <c r="BO11" s="1">
        <v>1</v>
      </c>
      <c r="BP11" s="1">
        <v>1</v>
      </c>
      <c r="BQ11" s="1">
        <v>1</v>
      </c>
      <c r="BR11" s="1">
        <v>1</v>
      </c>
      <c r="BS11" s="1">
        <v>1</v>
      </c>
      <c r="BT11" s="1">
        <v>3</v>
      </c>
      <c r="BU11" s="1">
        <v>3</v>
      </c>
      <c r="BV11" s="1">
        <v>4</v>
      </c>
      <c r="BW11" s="1">
        <v>4</v>
      </c>
      <c r="BX11" s="1">
        <v>8</v>
      </c>
      <c r="BY11" s="1">
        <v>9</v>
      </c>
    </row>
    <row r="12" spans="1:77" x14ac:dyDescent="0.25">
      <c r="A12" t="s">
        <v>175</v>
      </c>
      <c r="B12" s="1">
        <v>46754778</v>
      </c>
      <c r="C12">
        <v>498800</v>
      </c>
      <c r="D12">
        <v>7716</v>
      </c>
      <c r="E12" s="2">
        <v>16.503126161800001</v>
      </c>
      <c r="F12" s="3">
        <v>8.7725681E-2</v>
      </c>
      <c r="G12" s="3">
        <v>0.19345618649999999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1</v>
      </c>
      <c r="AY12" s="1">
        <v>2</v>
      </c>
      <c r="AZ12" s="1">
        <v>3</v>
      </c>
      <c r="BA12" s="1">
        <v>5</v>
      </c>
      <c r="BB12" s="1">
        <v>10</v>
      </c>
      <c r="BC12" s="1">
        <v>17</v>
      </c>
      <c r="BD12" s="1">
        <v>28</v>
      </c>
      <c r="BE12" s="1">
        <v>35</v>
      </c>
      <c r="BF12" s="1">
        <v>54</v>
      </c>
      <c r="BG12" s="1">
        <v>55</v>
      </c>
      <c r="BH12" s="1">
        <v>133</v>
      </c>
      <c r="BI12" s="1">
        <v>195</v>
      </c>
      <c r="BJ12" s="1">
        <v>289</v>
      </c>
      <c r="BK12" s="1">
        <v>342</v>
      </c>
      <c r="BL12" s="1">
        <v>533</v>
      </c>
      <c r="BM12" s="1">
        <v>623</v>
      </c>
      <c r="BN12" s="1">
        <v>830</v>
      </c>
      <c r="BO12" s="1">
        <v>1043</v>
      </c>
      <c r="BP12" s="1">
        <v>1375</v>
      </c>
      <c r="BQ12" s="1">
        <v>1772</v>
      </c>
      <c r="BR12" s="1">
        <v>2311</v>
      </c>
      <c r="BS12" s="1">
        <v>2808</v>
      </c>
      <c r="BT12" s="1">
        <v>3647</v>
      </c>
      <c r="BU12" s="1">
        <v>4365</v>
      </c>
      <c r="BV12" s="1">
        <v>5138</v>
      </c>
      <c r="BW12" s="1">
        <v>5982</v>
      </c>
      <c r="BX12" s="1">
        <v>6803</v>
      </c>
      <c r="BY12" s="1">
        <v>7716</v>
      </c>
    </row>
    <row r="13" spans="1:77" x14ac:dyDescent="0.25">
      <c r="A13" t="s">
        <v>174</v>
      </c>
      <c r="B13" s="1">
        <v>10099265</v>
      </c>
      <c r="C13">
        <v>410340</v>
      </c>
      <c r="D13">
        <v>146</v>
      </c>
      <c r="E13" s="2">
        <v>1.4456497577</v>
      </c>
      <c r="F13" s="3">
        <v>3.6246276100000002E-2</v>
      </c>
      <c r="G13" s="3">
        <v>6.3867016600000007E-2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1</v>
      </c>
      <c r="BG13" s="1">
        <v>1</v>
      </c>
      <c r="BH13" s="1">
        <v>1</v>
      </c>
      <c r="BI13" s="1">
        <v>2</v>
      </c>
      <c r="BJ13" s="1">
        <v>3</v>
      </c>
      <c r="BK13" s="1">
        <v>6</v>
      </c>
      <c r="BL13" s="1">
        <v>7</v>
      </c>
      <c r="BM13" s="1">
        <v>10</v>
      </c>
      <c r="BN13" s="1">
        <v>11</v>
      </c>
      <c r="BO13" s="1">
        <v>16</v>
      </c>
      <c r="BP13" s="1">
        <v>20</v>
      </c>
      <c r="BQ13" s="1">
        <v>21</v>
      </c>
      <c r="BR13" s="1">
        <v>25</v>
      </c>
      <c r="BS13" s="1">
        <v>36</v>
      </c>
      <c r="BT13" s="1">
        <v>62</v>
      </c>
      <c r="BU13" s="1">
        <v>77</v>
      </c>
      <c r="BV13" s="1">
        <v>105</v>
      </c>
      <c r="BW13" s="1">
        <v>105</v>
      </c>
      <c r="BX13" s="1">
        <v>110</v>
      </c>
      <c r="BY13" s="1">
        <v>146</v>
      </c>
    </row>
    <row r="14" spans="1:77" x14ac:dyDescent="0.25">
      <c r="A14" t="s">
        <v>0</v>
      </c>
      <c r="B14" s="1">
        <v>8654622</v>
      </c>
      <c r="C14">
        <v>39516</v>
      </c>
      <c r="D14">
        <v>359</v>
      </c>
      <c r="E14" s="2">
        <v>4.1480725558999998</v>
      </c>
      <c r="F14" s="3">
        <v>2.2547418699999999E-2</v>
      </c>
      <c r="G14" s="3">
        <v>3.6347068900000001E-2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1</v>
      </c>
      <c r="BA14" s="1">
        <v>1</v>
      </c>
      <c r="BB14" s="1">
        <v>1</v>
      </c>
      <c r="BC14" s="1">
        <v>2</v>
      </c>
      <c r="BD14" s="1">
        <v>2</v>
      </c>
      <c r="BE14" s="1">
        <v>3</v>
      </c>
      <c r="BF14" s="1">
        <v>4</v>
      </c>
      <c r="BG14" s="1">
        <v>4</v>
      </c>
      <c r="BH14" s="1">
        <v>11</v>
      </c>
      <c r="BI14" s="1">
        <v>13</v>
      </c>
      <c r="BJ14" s="1">
        <v>14</v>
      </c>
      <c r="BK14" s="1">
        <v>14</v>
      </c>
      <c r="BL14" s="1">
        <v>27</v>
      </c>
      <c r="BM14" s="1">
        <v>28</v>
      </c>
      <c r="BN14" s="1">
        <v>41</v>
      </c>
      <c r="BO14" s="1">
        <v>54</v>
      </c>
      <c r="BP14" s="1">
        <v>75</v>
      </c>
      <c r="BQ14" s="1">
        <v>98</v>
      </c>
      <c r="BR14" s="1">
        <v>120</v>
      </c>
      <c r="BS14" s="1">
        <v>122</v>
      </c>
      <c r="BT14" s="1">
        <v>153</v>
      </c>
      <c r="BU14" s="1">
        <v>191</v>
      </c>
      <c r="BV14" s="1">
        <v>231</v>
      </c>
      <c r="BW14" s="1">
        <v>264</v>
      </c>
      <c r="BX14" s="1">
        <v>300</v>
      </c>
      <c r="BY14" s="1">
        <v>359</v>
      </c>
    </row>
    <row r="15" spans="1:77" x14ac:dyDescent="0.25">
      <c r="A15" t="s">
        <v>173</v>
      </c>
      <c r="B15" s="1">
        <v>331002651</v>
      </c>
      <c r="C15">
        <v>9147420</v>
      </c>
      <c r="D15">
        <v>2978</v>
      </c>
      <c r="E15" s="2">
        <v>0.89969067950000003</v>
      </c>
      <c r="F15" s="3">
        <v>1.84046426E-2</v>
      </c>
      <c r="G15" s="3">
        <v>5.5414960899999997E-2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1</v>
      </c>
      <c r="AV15" s="1">
        <v>1</v>
      </c>
      <c r="AW15" s="1">
        <v>6</v>
      </c>
      <c r="AX15" s="1">
        <v>7</v>
      </c>
      <c r="AY15" s="1">
        <v>11</v>
      </c>
      <c r="AZ15" s="1">
        <v>12</v>
      </c>
      <c r="BA15" s="1">
        <v>14</v>
      </c>
      <c r="BB15" s="1">
        <v>17</v>
      </c>
      <c r="BC15" s="1">
        <v>21</v>
      </c>
      <c r="BD15" s="1">
        <v>22</v>
      </c>
      <c r="BE15" s="1">
        <v>28</v>
      </c>
      <c r="BF15" s="1">
        <v>36</v>
      </c>
      <c r="BG15" s="1">
        <v>40</v>
      </c>
      <c r="BH15" s="1">
        <v>47</v>
      </c>
      <c r="BI15" s="1">
        <v>54</v>
      </c>
      <c r="BJ15" s="1">
        <v>63</v>
      </c>
      <c r="BK15" s="1">
        <v>85</v>
      </c>
      <c r="BL15" s="1">
        <v>108</v>
      </c>
      <c r="BM15" s="1">
        <v>118</v>
      </c>
      <c r="BN15" s="1">
        <v>200</v>
      </c>
      <c r="BO15" s="1">
        <v>244</v>
      </c>
      <c r="BP15" s="1">
        <v>307</v>
      </c>
      <c r="BQ15" s="1">
        <v>417</v>
      </c>
      <c r="BR15" s="1">
        <v>557</v>
      </c>
      <c r="BS15" s="1">
        <v>706</v>
      </c>
      <c r="BT15" s="1">
        <v>942</v>
      </c>
      <c r="BU15" s="1">
        <v>1209</v>
      </c>
      <c r="BV15" s="1">
        <v>1581</v>
      </c>
      <c r="BW15" s="1">
        <v>2026</v>
      </c>
      <c r="BX15" s="1">
        <v>2467</v>
      </c>
      <c r="BY15" s="1">
        <v>2978</v>
      </c>
    </row>
    <row r="16" spans="1:77" x14ac:dyDescent="0.25">
      <c r="A16" t="s">
        <v>186</v>
      </c>
      <c r="B16" s="1">
        <v>67886011</v>
      </c>
      <c r="C16">
        <v>241930</v>
      </c>
      <c r="D16">
        <v>1408</v>
      </c>
      <c r="E16" s="2">
        <v>2.0740650087999999</v>
      </c>
      <c r="F16" s="3">
        <v>6.3592430300000002E-2</v>
      </c>
      <c r="G16" s="3">
        <v>0.17432214930000001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1</v>
      </c>
      <c r="BA16" s="1">
        <v>2</v>
      </c>
      <c r="BB16" s="1">
        <v>2</v>
      </c>
      <c r="BC16" s="1">
        <v>3</v>
      </c>
      <c r="BD16" s="1">
        <v>4</v>
      </c>
      <c r="BE16" s="1">
        <v>6</v>
      </c>
      <c r="BF16" s="1">
        <v>8</v>
      </c>
      <c r="BG16" s="1">
        <v>8</v>
      </c>
      <c r="BH16" s="1">
        <v>8</v>
      </c>
      <c r="BI16" s="1">
        <v>21</v>
      </c>
      <c r="BJ16" s="1">
        <v>21</v>
      </c>
      <c r="BK16" s="1">
        <v>55</v>
      </c>
      <c r="BL16" s="1">
        <v>55</v>
      </c>
      <c r="BM16" s="1">
        <v>71</v>
      </c>
      <c r="BN16" s="1">
        <v>137</v>
      </c>
      <c r="BO16" s="1">
        <v>177</v>
      </c>
      <c r="BP16" s="1">
        <v>233</v>
      </c>
      <c r="BQ16" s="1">
        <v>281</v>
      </c>
      <c r="BR16" s="1">
        <v>335</v>
      </c>
      <c r="BS16" s="1">
        <v>422</v>
      </c>
      <c r="BT16" s="1">
        <v>465</v>
      </c>
      <c r="BU16" s="1">
        <v>578</v>
      </c>
      <c r="BV16" s="1">
        <v>759</v>
      </c>
      <c r="BW16" s="1">
        <v>1019</v>
      </c>
      <c r="BX16" s="1">
        <v>1228</v>
      </c>
      <c r="BY16" s="1">
        <v>1408</v>
      </c>
    </row>
  </sheetData>
  <autoFilter ref="A1:BY16" xr:uid="{E501887D-4575-4F31-9807-34162BD00C1B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4 Country Dashboard</vt:lpstr>
      <vt:lpstr>General Dashboard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2020-03-31T19:35:25Z</dcterms:modified>
</cp:coreProperties>
</file>